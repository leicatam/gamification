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irstvitals-my.sharepoint.com/personal/ernie_lee_firstvitals_com/Documents/Documents/FirstVitals Delaware/Corporate/ProForma/Ann and Fred/"/>
    </mc:Choice>
  </mc:AlternateContent>
  <xr:revisionPtr revIDLastSave="0" documentId="8_{36345239-9EF9-45FB-BC38-0BB3881AE9C4}" xr6:coauthVersionLast="47" xr6:coauthVersionMax="47" xr10:uidLastSave="{00000000-0000-0000-0000-000000000000}"/>
  <bookViews>
    <workbookView xWindow="38290" yWindow="1390" windowWidth="19420" windowHeight="11500" xr2:uid="{00000000-000D-0000-FFFF-FFFF00000000}"/>
  </bookViews>
  <sheets>
    <sheet name="Monthly Summary" sheetId="1" r:id="rId1"/>
    <sheet name="Annual Summary" sheetId="2" r:id="rId2"/>
    <sheet name="MRR Analysis" sheetId="3" r:id="rId3"/>
    <sheet name="Assumptions &amp; Notes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T2" i="1"/>
  <c r="S3" i="1"/>
  <c r="T3" i="1"/>
  <c r="S4" i="1"/>
  <c r="T4" i="1"/>
  <c r="S5" i="1"/>
  <c r="T5" i="1"/>
  <c r="S6" i="1"/>
  <c r="T6" i="1" s="1"/>
  <c r="S7" i="1"/>
  <c r="T7" i="1"/>
  <c r="R8" i="1"/>
  <c r="S8" i="1"/>
  <c r="S10" i="1" s="1"/>
  <c r="S9" i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J6" i="1"/>
  <c r="C23" i="1"/>
  <c r="B23" i="1"/>
  <c r="C29" i="1"/>
  <c r="C28" i="1"/>
  <c r="C27" i="1"/>
  <c r="C26" i="1"/>
  <c r="C25" i="1"/>
  <c r="C24" i="1"/>
  <c r="B29" i="1"/>
  <c r="B28" i="1"/>
  <c r="B27" i="1"/>
  <c r="B26" i="1"/>
  <c r="B25" i="1"/>
  <c r="B24" i="1"/>
  <c r="F20" i="1"/>
  <c r="G20" i="1"/>
  <c r="H20" i="1"/>
  <c r="J20" i="1"/>
  <c r="K20" i="1"/>
  <c r="E20" i="1"/>
  <c r="L3" i="1" l="1"/>
  <c r="L4" i="1"/>
  <c r="L5" i="1"/>
  <c r="L6" i="1"/>
  <c r="L20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  <c r="F3" i="1"/>
  <c r="F4" i="1"/>
  <c r="F5" i="1"/>
  <c r="F6" i="1"/>
  <c r="F7" i="1"/>
  <c r="F8" i="1"/>
  <c r="F9" i="1"/>
  <c r="F10" i="1"/>
  <c r="F11" i="1"/>
  <c r="E3" i="2" s="1"/>
  <c r="F12" i="1"/>
  <c r="F13" i="1"/>
  <c r="F14" i="1"/>
  <c r="F15" i="1"/>
  <c r="F16" i="1"/>
  <c r="F17" i="1"/>
  <c r="F18" i="1"/>
  <c r="F19" i="1"/>
  <c r="F2" i="1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" i="3"/>
  <c r="F3" i="2"/>
  <c r="G3" i="2"/>
  <c r="K5" i="1"/>
  <c r="B3" i="2"/>
  <c r="B2" i="2"/>
  <c r="E3" i="1"/>
  <c r="E4" i="1"/>
  <c r="E5" i="1"/>
  <c r="E6" i="1"/>
  <c r="E7" i="1"/>
  <c r="E8" i="1"/>
  <c r="D3" i="2" s="1"/>
  <c r="E9" i="1"/>
  <c r="E10" i="1"/>
  <c r="E11" i="1"/>
  <c r="E12" i="1"/>
  <c r="E13" i="1"/>
  <c r="E14" i="1"/>
  <c r="E15" i="1"/>
  <c r="E16" i="1"/>
  <c r="E17" i="1"/>
  <c r="E18" i="1"/>
  <c r="E19" i="1"/>
  <c r="E2" i="1"/>
  <c r="J3" i="1"/>
  <c r="D2" i="1"/>
  <c r="B27" i="4"/>
  <c r="K4" i="1"/>
  <c r="K3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D2" i="2" l="1"/>
  <c r="G2" i="2"/>
  <c r="E2" i="2"/>
  <c r="F2" i="2"/>
  <c r="C3" i="1"/>
  <c r="J2" i="1"/>
  <c r="D2" i="3" l="1"/>
  <c r="C2" i="3" s="1"/>
  <c r="J4" i="1"/>
  <c r="F3" i="3"/>
  <c r="K6" i="1"/>
  <c r="D3" i="1"/>
  <c r="D3" i="3" s="1"/>
  <c r="C3" i="3" s="1"/>
  <c r="M3" i="1"/>
  <c r="C4" i="1"/>
  <c r="F4" i="3" s="1"/>
  <c r="M2" i="1" l="1"/>
  <c r="D4" i="1"/>
  <c r="D4" i="3" s="1"/>
  <c r="C4" i="3" s="1"/>
  <c r="J5" i="1"/>
  <c r="K7" i="1"/>
  <c r="E23" i="1" l="1"/>
  <c r="C5" i="1"/>
  <c r="M4" i="1"/>
  <c r="D24" i="1" s="1"/>
  <c r="E24" i="1" s="1"/>
  <c r="K8" i="1" l="1"/>
  <c r="F5" i="3"/>
  <c r="D5" i="1"/>
  <c r="M5" i="1" s="1"/>
  <c r="C6" i="1" l="1"/>
  <c r="D5" i="3"/>
  <c r="C5" i="3" s="1"/>
  <c r="J7" i="1"/>
  <c r="I2" i="2" s="1"/>
  <c r="K9" i="1"/>
  <c r="D6" i="1" l="1"/>
  <c r="F6" i="3"/>
  <c r="C7" i="1" l="1"/>
  <c r="D7" i="1"/>
  <c r="C2" i="2" l="1"/>
  <c r="C8" i="1"/>
  <c r="F7" i="3"/>
  <c r="K10" i="1"/>
  <c r="J8" i="1"/>
  <c r="D6" i="3"/>
  <c r="C6" i="3" s="1"/>
  <c r="M6" i="1"/>
  <c r="J9" i="1" l="1"/>
  <c r="F8" i="3"/>
  <c r="D8" i="1"/>
  <c r="K11" i="1"/>
  <c r="H2" i="2"/>
  <c r="J2" i="2" s="1"/>
  <c r="D7" i="3"/>
  <c r="C7" i="3" s="1"/>
  <c r="M7" i="1"/>
  <c r="D25" i="1" l="1"/>
  <c r="E25" i="1"/>
  <c r="C9" i="1"/>
  <c r="D9" i="1" l="1"/>
  <c r="F9" i="3"/>
  <c r="K12" i="1"/>
  <c r="J10" i="1"/>
  <c r="D8" i="3"/>
  <c r="C8" i="3" s="1"/>
  <c r="M8" i="1"/>
  <c r="C10" i="1" l="1"/>
  <c r="D10" i="1" l="1"/>
  <c r="F10" i="3"/>
  <c r="J11" i="1"/>
  <c r="K13" i="1"/>
  <c r="D9" i="3"/>
  <c r="C9" i="3" s="1"/>
  <c r="M9" i="1"/>
  <c r="C11" i="1" l="1"/>
  <c r="D11" i="1" l="1"/>
  <c r="F11" i="3"/>
  <c r="J12" i="1"/>
  <c r="K14" i="1"/>
  <c r="D10" i="3"/>
  <c r="C10" i="3" s="1"/>
  <c r="M10" i="1"/>
  <c r="D26" i="1" l="1"/>
  <c r="C12" i="1"/>
  <c r="E26" i="1" l="1"/>
  <c r="K15" i="1"/>
  <c r="F12" i="3"/>
  <c r="J13" i="1"/>
  <c r="D12" i="1"/>
  <c r="D11" i="3"/>
  <c r="C11" i="3" s="1"/>
  <c r="M11" i="1"/>
  <c r="C13" i="1" l="1"/>
  <c r="D13" i="1"/>
  <c r="C14" i="1" l="1"/>
  <c r="D14" i="1"/>
  <c r="F13" i="3"/>
  <c r="K16" i="1"/>
  <c r="J14" i="1"/>
  <c r="D12" i="3"/>
  <c r="C12" i="3" s="1"/>
  <c r="M12" i="1"/>
  <c r="C15" i="1" l="1"/>
  <c r="F14" i="3"/>
  <c r="J15" i="1"/>
  <c r="K17" i="1"/>
  <c r="M13" i="1"/>
  <c r="D27" i="1" s="1"/>
  <c r="D13" i="3"/>
  <c r="C13" i="3" s="1"/>
  <c r="E27" i="1" l="1"/>
  <c r="F15" i="3"/>
  <c r="J16" i="1"/>
  <c r="K18" i="1"/>
  <c r="D15" i="1"/>
  <c r="M14" i="1"/>
  <c r="D14" i="3"/>
  <c r="C14" i="3" s="1"/>
  <c r="C16" i="1" l="1"/>
  <c r="D16" i="1"/>
  <c r="C17" i="1" l="1"/>
  <c r="D17" i="1" s="1"/>
  <c r="F16" i="3"/>
  <c r="J17" i="1"/>
  <c r="K19" i="1"/>
  <c r="M15" i="1"/>
  <c r="D15" i="3"/>
  <c r="C15" i="3" s="1"/>
  <c r="C18" i="1" l="1"/>
  <c r="D18" i="1"/>
  <c r="F17" i="3"/>
  <c r="J18" i="1"/>
  <c r="M16" i="1"/>
  <c r="D28" i="1" s="1"/>
  <c r="D16" i="3"/>
  <c r="C16" i="3" s="1"/>
  <c r="E28" i="1" l="1"/>
  <c r="C19" i="1"/>
  <c r="M17" i="1"/>
  <c r="D17" i="3"/>
  <c r="C17" i="3" s="1"/>
  <c r="J19" i="1"/>
  <c r="F18" i="3"/>
  <c r="I3" i="2" l="1"/>
  <c r="M18" i="1"/>
  <c r="D18" i="3"/>
  <c r="C18" i="3" s="1"/>
  <c r="D19" i="1"/>
  <c r="F19" i="3"/>
  <c r="B43" i="4" l="1"/>
  <c r="C3" i="2"/>
  <c r="D19" i="3" l="1"/>
  <c r="C19" i="3" s="1"/>
  <c r="H3" i="2"/>
  <c r="M19" i="1"/>
  <c r="B41" i="4"/>
  <c r="M20" i="1" l="1"/>
  <c r="D29" i="1"/>
  <c r="E29" i="1" s="1"/>
  <c r="J3" i="2"/>
  <c r="B40" i="4"/>
  <c r="B39" i="4"/>
  <c r="B42" i="4" s="1"/>
</calcChain>
</file>

<file path=xl/sharedStrings.xml><?xml version="1.0" encoding="utf-8"?>
<sst xmlns="http://schemas.openxmlformats.org/spreadsheetml/2006/main" count="141" uniqueCount="112">
  <si>
    <t>Month</t>
  </si>
  <si>
    <t>New Enrollments</t>
  </si>
  <si>
    <t>Monthly Attrition</t>
  </si>
  <si>
    <t>Active Patients After Attrition</t>
  </si>
  <si>
    <t>99204 (Day 1)</t>
  </si>
  <si>
    <t>99213 (Week 2)</t>
  </si>
  <si>
    <t>G0506 (Care Plan)</t>
  </si>
  <si>
    <t>99453 (Scale Setup)</t>
  </si>
  <si>
    <t>MRR (99426+99454+99457)</t>
  </si>
  <si>
    <t>Retained 30 Days</t>
  </si>
  <si>
    <t>Retained 90 Days</t>
  </si>
  <si>
    <t>99213 (Quarterly)</t>
  </si>
  <si>
    <t>Total Revenue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</si>
  <si>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</si>
  <si>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</si>
  <si>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</si>
  <si>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</si>
  <si>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</si>
  <si>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</si>
  <si>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</si>
  <si>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</si>
  <si>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</si>
  <si>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</si>
  <si>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</si>
  <si>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</si>
  <si>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</si>
  <si>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</si>
  <si>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</si>
  <si>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</si>
  <si>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</si>
  <si>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</si>
  <si>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Year</t>
  </si>
  <si>
    <t>Total Enrollments</t>
  </si>
  <si>
    <t>Avg Active Patients</t>
  </si>
  <si>
    <t>99204</t>
  </si>
  <si>
    <t>G0506</t>
  </si>
  <si>
    <t>99453</t>
  </si>
  <si>
    <t>Active Patients</t>
  </si>
  <si>
    <t>MRR ARPU</t>
  </si>
  <si>
    <t>Monthly Recurring Revenue</t>
  </si>
  <si>
    <t>Churn Rate</t>
  </si>
  <si>
    <t>Patients Churned</t>
  </si>
  <si>
    <t>GLP-1 PROFORMA MODEL - ASSUMPTIONS &amp; NOTES (REVISED)</t>
  </si>
  <si>
    <t>MODEL PERIOD</t>
  </si>
  <si>
    <t>Start Date</t>
  </si>
  <si>
    <t>July 1, 2026</t>
  </si>
  <si>
    <t>End Date</t>
  </si>
  <si>
    <t>December 31, 2027</t>
  </si>
  <si>
    <t>Duration</t>
  </si>
  <si>
    <t>18 months</t>
  </si>
  <si>
    <t>ENROLLMENT TARGETS (REVISED)</t>
  </si>
  <si>
    <t>Target by Dec 31, 2026</t>
  </si>
  <si>
    <t>2,500 patients</t>
  </si>
  <si>
    <t>Target by Dec 31, 2027</t>
  </si>
  <si>
    <t>10,000 patients (2,500 + 7,500 additional)</t>
  </si>
  <si>
    <t>Enrollment Pattern</t>
  </si>
  <si>
    <t>Accelerating ramp</t>
  </si>
  <si>
    <t>PATIENT LIFECYCLE</t>
  </si>
  <si>
    <t>Day 1</t>
  </si>
  <si>
    <t>Comprehensive GI &amp; Metabolic Assessment (99204) - $150.76</t>
  </si>
  <si>
    <t>Week 2</t>
  </si>
  <si>
    <t>Review labs, assessment, treatment initiation (99213) - $89.16</t>
  </si>
  <si>
    <t>Month 1</t>
  </si>
  <si>
    <t>Establish care plan (G0506) - $62.44 + Scale onboarding (99453) - $22.00</t>
  </si>
  <si>
    <t>Months 1-12</t>
  </si>
  <si>
    <t>Recurring monthly services (MRR):</t>
  </si>
  <si>
    <t xml:space="preserve">  - PCM (99426)</t>
  </si>
  <si>
    <t>$67.80/month</t>
  </si>
  <si>
    <t xml:space="preserve">  - RPM Data Transmission (99445)</t>
  </si>
  <si>
    <t>$52.11/month</t>
  </si>
  <si>
    <t xml:space="preserve">  - RPM Weight Management (99457)</t>
  </si>
  <si>
    <t>$49.01/month</t>
  </si>
  <si>
    <t xml:space="preserve">  - MRR ARPU Total</t>
  </si>
  <si>
    <t>$168.92/month per patient</t>
  </si>
  <si>
    <t>First Quarterly E/M</t>
  </si>
  <si>
    <t>4 weeks after Week 2 visit (approximately month 2) - 99213 @ $89.16</t>
  </si>
  <si>
    <t>Subsequent Quarterly E/M</t>
  </si>
  <si>
    <t>Every 3 months thereafter - 99213 @ $89.16</t>
  </si>
  <si>
    <t>ATTRITION &amp; MRR</t>
  </si>
  <si>
    <t>Annual Attrition Rate</t>
  </si>
  <si>
    <t>Monthly Attrition Rate</t>
  </si>
  <si>
    <t>MRR Calculation</t>
  </si>
  <si>
    <t>MRR = ARPU × Active Paying Customers</t>
  </si>
  <si>
    <t>MRR ARPU (99426+99454+99457)</t>
  </si>
  <si>
    <t>REVENUE ASSUMPTIONS</t>
  </si>
  <si>
    <t>Gross Reimbursement</t>
  </si>
  <si>
    <t>Revenue only (no operating expenses)</t>
  </si>
  <si>
    <t>RPM Coverage</t>
  </si>
  <si>
    <t>All patients receive RPM services</t>
  </si>
  <si>
    <t>Monthly PCM Billing</t>
  </si>
  <si>
    <t>CPT 99426 only (no 99427)</t>
  </si>
  <si>
    <t>Reimbursement Rates</t>
  </si>
  <si>
    <t>LA County Nurse Practitioner rates</t>
  </si>
  <si>
    <t>KEY METRICS</t>
  </si>
  <si>
    <t>Total Enrollments (18 months)</t>
  </si>
  <si>
    <t>10,000 patients</t>
  </si>
  <si>
    <t>Total Revenue (18 months)</t>
  </si>
  <si>
    <t>Average Monthly Revenue</t>
  </si>
  <si>
    <t>Total MRR Revenue</t>
  </si>
  <si>
    <t>Average Revenue per Patient (LTV)</t>
  </si>
  <si>
    <t>Peak Active Patients</t>
  </si>
  <si>
    <t>Q3 2026</t>
  </si>
  <si>
    <t>Q4 2026</t>
  </si>
  <si>
    <t>Q3 2027</t>
  </si>
  <si>
    <t>Q4 2027</t>
  </si>
  <si>
    <t>Q1 2027</t>
  </si>
  <si>
    <t>Q2 2027</t>
  </si>
  <si>
    <t>Active patients</t>
  </si>
  <si>
    <t>Patients enrolled</t>
  </si>
  <si>
    <t>Revenue by Q</t>
  </si>
  <si>
    <t>Cummulative Revenue</t>
  </si>
  <si>
    <t>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</si>
</sst>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10" fontId="0" fillId="0" borderId="0" xfId="0" applyNumberFormat="1"/>
    <xf numFmtId="0" fontId="3" fillId="0" borderId="0" xfId="0" applyFont="1"/>
    <xf numFmtId="10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16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8" fontId="0" fillId="0" borderId="0" xfId="0" applyNumberFormat="1"/>
    <xf numFmtId="5" fontId="0" fillId="0" borderId="0" xfId="0" applyNumberFormat="1"/>
    <xf numFmtId="6" fontId="0" fillId="0" borderId="0" xfId="0" applyNumberFormat="1"/>
    <xf numFmtId="17" fontId="0" fillId="0" borderId="0" xfId="0" quotePrefix="1" applyNumberFormat="1"/>
    <xf numFmtId="3" fontId="1" fillId="2" borderId="0" xfId="0" applyNumberFormat="1" applyFont="1" applyFill="1" applyAlignment="1">
      <alignment horizontal="center" vertical="center" wrapText="1"/>
    </xf>
    <xf numFmtId="3" fontId="0" fillId="0" borderId="3" xfId="0" applyNumberFormat="1" applyBorder="1"/>
    <xf numFmtId="6" fontId="5" fillId="0" borderId="2" xfId="0" applyNumberFormat="1" applyFont="1" applyBorder="1"/>
    <xf numFmtId="3" fontId="5" fillId="0" borderId="2" xfId="0" applyNumberFormat="1" applyFont="1" applyBorder="1"/>
    <xf numFmtId="0" fontId="5" fillId="0" borderId="0" xfId="0" applyFont="1"/>
    <xf numFmtId="0" fontId="1" fillId="2" borderId="0" xfId="0" applyFont="1" applyFill="1"/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irstvitals.sharepoint.com/sites/Management/Shared%20Documents/FirstVitals%20Inc/Funding%20Documents/ProForma/FirstVitals%20ProForma%20(Draft)%2020260618_MP.xlsx" TargetMode="External"/><Relationship Id="rId1" Type="http://schemas.openxmlformats.org/officeDocument/2006/relationships/externalLinkPath" Target="https://firstvitals.sharepoint.com/sites/Management/Shared%20Documents/FirstVitals%20Inc/Funding%20Documents/ProForma/FirstVitals%20ProForma%20(Draft)%2020260618_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BS"/>
      <sheetName val="IS"/>
      <sheetName val="Equity"/>
      <sheetName val="DCF Valuation"/>
      <sheetName val="rNPV Valuation"/>
      <sheetName val="VC Valuation"/>
      <sheetName val="Scorecard Valuation"/>
      <sheetName val="WACC"/>
      <sheetName val="NOTES"/>
      <sheetName val="Proforma_FirstVitals"/>
      <sheetName val="KPI"/>
      <sheetName val="Use of Proceeds"/>
      <sheetName val="Conso_FirstVitals Inc."/>
      <sheetName val="Sources and Uses"/>
      <sheetName val="Capsule_US+Overhead"/>
      <sheetName val="Global Distribution"/>
      <sheetName val="IDTF"/>
      <sheetName val="MSO"/>
      <sheetName val="MSO_Placeholder"/>
      <sheetName val="MSO_GLP-1"/>
      <sheetName val="GLP-1_Sources and Uses"/>
      <sheetName val="Companion Animal GI"/>
      <sheetName val="Equine GI"/>
      <sheetName val="Peptides_US"/>
      <sheetName val="Supplements &amp; K-Beauty"/>
      <sheetName val="Platform Develpoment"/>
      <sheetName val="FTEs"/>
      <sheetName val="Marketing Plan"/>
      <sheetName val="GLP-1"/>
      <sheetName val="GI Wellness_P&amp;L"/>
      <sheetName val="GI Wellness_CF"/>
      <sheetName val="Proforma Summary_GI Clin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4">
          <cell r="AX14">
            <v>1507600</v>
          </cell>
        </row>
        <row r="15">
          <cell r="AX15">
            <v>891600</v>
          </cell>
        </row>
        <row r="16">
          <cell r="AX16">
            <v>2233190.52</v>
          </cell>
        </row>
        <row r="18">
          <cell r="AX18">
            <v>220000</v>
          </cell>
        </row>
        <row r="19">
          <cell r="AX19">
            <v>4152489.57</v>
          </cell>
        </row>
        <row r="20">
          <cell r="AX20">
            <v>3905459.8699999996</v>
          </cell>
        </row>
        <row r="22">
          <cell r="AX22">
            <v>5402778.5999999996</v>
          </cell>
        </row>
        <row r="26">
          <cell r="AX26">
            <v>624399.99999999988</v>
          </cell>
        </row>
        <row r="37">
          <cell r="AX37">
            <v>18937518.560000002</v>
          </cell>
        </row>
      </sheetData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4" sqref="H24"/>
    </sheetView>
  </sheetViews>
  <sheetFormatPr defaultRowHeight="15" outlineLevelCol="1" x14ac:dyDescent="0.25"/>
  <cols>
    <col min="1" max="1" width="12" customWidth="1"/>
    <col min="2" max="2" width="15" customWidth="1"/>
    <col min="3" max="3" width="15" customWidth="1" outlineLevel="1"/>
    <col min="4" max="4" width="15" customWidth="1"/>
    <col min="5" max="5" width="13.7109375" customWidth="1"/>
    <col min="6" max="8" width="13.140625" bestFit="1" customWidth="1"/>
    <col min="9" max="9" width="16" bestFit="1" customWidth="1"/>
    <col min="10" max="10" width="10.7109375" style="8" customWidth="1" outlineLevel="1"/>
    <col min="11" max="11" width="11.7109375" style="8" customWidth="1" outlineLevel="1"/>
    <col min="12" max="12" width="14.7109375" bestFit="1" customWidth="1"/>
    <col min="13" max="13" width="16" bestFit="1" customWidth="1"/>
    <col min="17" max="17" width="23.7109375" bestFit="1" customWidth="1"/>
    <col min="18" max="18" width="12.28515625" style="8" bestFit="1" customWidth="1"/>
    <col min="19" max="19" width="12" bestFit="1" customWidth="1"/>
    <col min="20" max="20" width="10.28515625" bestFit="1" customWidth="1"/>
  </cols>
  <sheetData>
    <row r="1" spans="1:2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7" t="s">
        <v>9</v>
      </c>
      <c r="K1" s="17" t="s">
        <v>10</v>
      </c>
      <c r="L1" s="1" t="s">
        <v>11</v>
      </c>
      <c r="M1" s="1" t="s">
        <v>12</v>
      </c>
    </row>
    <row r="2" spans="1:20" x14ac:dyDescent="0.25">
      <c r="A2" t="s">
        <v>13</v>
      </c>
      <c r="B2" s="8">
        <v>92</v>
      </c>
      <c r="C2" s="8">
        <v>0</v>
      </c>
      <c r="D2" s="8">
        <f>B2+C2</f>
        <v>92</v>
      </c>
      <c r="E2" s="15">
        <f>$B2*150.76</f>
        <v>13869.919999999998</v>
      </c>
      <c r="F2" s="15">
        <f>$B2*89.16</f>
        <v>8202.7199999999993</v>
      </c>
      <c r="G2" s="15">
        <f>$B2*62.44</f>
        <v>5744.48</v>
      </c>
      <c r="H2" s="15">
        <f>$B2*22</f>
        <v>2024</v>
      </c>
      <c r="I2" s="15">
        <f>'Assumptions &amp; Notes'!$B$29*D2</f>
        <v>15540.64</v>
      </c>
      <c r="J2" s="9">
        <f>D2-B2</f>
        <v>0</v>
      </c>
      <c r="K2" s="9">
        <f>0</f>
        <v>0</v>
      </c>
      <c r="L2" s="15">
        <f>SUM(J2:K2)*89.16</f>
        <v>0</v>
      </c>
      <c r="M2" s="15">
        <f t="shared" ref="M2:M19" si="0">SUM(E2,F2,G2,H2,I2,L2)</f>
        <v>45381.759999999995</v>
      </c>
      <c r="Q2" t="s">
        <v>4</v>
      </c>
      <c r="R2" s="8">
        <v>1507600</v>
      </c>
      <c r="S2" s="14">
        <f>'[1]GLP-1'!$AX$14</f>
        <v>1507600</v>
      </c>
      <c r="T2" s="14">
        <f>R2-S2</f>
        <v>0</v>
      </c>
    </row>
    <row r="3" spans="1:20" x14ac:dyDescent="0.25">
      <c r="A3" t="s">
        <v>14</v>
      </c>
      <c r="B3" s="8">
        <v>193</v>
      </c>
      <c r="C3" s="8">
        <f>ROUND(D2*'Assumptions &amp; Notes'!$B$27,0)</f>
        <v>1</v>
      </c>
      <c r="D3" s="8">
        <f>D2+B3-C3</f>
        <v>284</v>
      </c>
      <c r="E3" s="15">
        <f t="shared" ref="E3:E19" si="1">$B3*150.76</f>
        <v>29096.679999999997</v>
      </c>
      <c r="F3" s="15">
        <f t="shared" ref="F3:F19" si="2">$B3*89.16</f>
        <v>17207.88</v>
      </c>
      <c r="G3" s="15">
        <f t="shared" ref="G3:G19" si="3">$B3*62.44</f>
        <v>12050.92</v>
      </c>
      <c r="H3" s="15">
        <f t="shared" ref="H3:H19" si="4">$B3*22</f>
        <v>4246</v>
      </c>
      <c r="I3" s="15">
        <f>'Assumptions &amp; Notes'!$B$29*D3</f>
        <v>47973.279999999999</v>
      </c>
      <c r="J3" s="9">
        <f t="shared" ref="J3:J19" si="5">B2-C2</f>
        <v>92</v>
      </c>
      <c r="K3" s="9">
        <f>0</f>
        <v>0</v>
      </c>
      <c r="L3" s="15">
        <f t="shared" ref="L3:L19" si="6">SUM(J3:K3)*89.16</f>
        <v>8202.7199999999993</v>
      </c>
      <c r="M3" s="15">
        <f t="shared" si="0"/>
        <v>118777.48</v>
      </c>
      <c r="Q3" t="s">
        <v>5</v>
      </c>
      <c r="R3" s="8">
        <v>891599.99999999988</v>
      </c>
      <c r="S3" s="14">
        <f>'[1]GLP-1'!$AX$15</f>
        <v>891600</v>
      </c>
      <c r="T3" s="14">
        <f t="shared" ref="T3:T7" si="7">R3-S3</f>
        <v>0</v>
      </c>
    </row>
    <row r="4" spans="1:20" x14ac:dyDescent="0.25">
      <c r="A4" t="s">
        <v>15</v>
      </c>
      <c r="B4" s="8">
        <v>438</v>
      </c>
      <c r="C4" s="8">
        <f>ROUND(D3*'Assumptions &amp; Notes'!$B$27,0)</f>
        <v>2</v>
      </c>
      <c r="D4" s="8">
        <f t="shared" ref="D4:D19" si="8">D3+B4-C4</f>
        <v>720</v>
      </c>
      <c r="E4" s="15">
        <f t="shared" si="1"/>
        <v>66032.87999999999</v>
      </c>
      <c r="F4" s="15">
        <f t="shared" si="2"/>
        <v>39052.080000000002</v>
      </c>
      <c r="G4" s="15">
        <f t="shared" si="3"/>
        <v>27348.719999999998</v>
      </c>
      <c r="H4" s="15">
        <f t="shared" si="4"/>
        <v>9636</v>
      </c>
      <c r="I4" s="15">
        <f>'Assumptions &amp; Notes'!$B$29*D4</f>
        <v>121622.39999999999</v>
      </c>
      <c r="J4" s="9">
        <f t="shared" si="5"/>
        <v>192</v>
      </c>
      <c r="K4" s="9">
        <f>0</f>
        <v>0</v>
      </c>
      <c r="L4" s="15">
        <f t="shared" si="6"/>
        <v>17118.72</v>
      </c>
      <c r="M4" s="15">
        <f t="shared" si="0"/>
        <v>280810.79999999993</v>
      </c>
      <c r="Q4" t="s">
        <v>6</v>
      </c>
      <c r="R4" s="8">
        <v>624399.99999999988</v>
      </c>
      <c r="S4" s="14">
        <f>'[1]GLP-1'!$AX$26</f>
        <v>624399.99999999988</v>
      </c>
      <c r="T4" s="14">
        <f t="shared" si="7"/>
        <v>0</v>
      </c>
    </row>
    <row r="5" spans="1:20" x14ac:dyDescent="0.25">
      <c r="A5" t="s">
        <v>16</v>
      </c>
      <c r="B5" s="8">
        <v>638</v>
      </c>
      <c r="C5" s="8">
        <f>ROUND(D4*'Assumptions &amp; Notes'!$B$27,0)</f>
        <v>6</v>
      </c>
      <c r="D5" s="8">
        <f t="shared" si="8"/>
        <v>1352</v>
      </c>
      <c r="E5" s="15">
        <f t="shared" si="1"/>
        <v>96184.87999999999</v>
      </c>
      <c r="F5" s="15">
        <f t="shared" si="2"/>
        <v>56884.079999999994</v>
      </c>
      <c r="G5" s="15">
        <f t="shared" si="3"/>
        <v>39836.720000000001</v>
      </c>
      <c r="H5" s="15">
        <f t="shared" si="4"/>
        <v>14036</v>
      </c>
      <c r="I5" s="15">
        <f>'Assumptions &amp; Notes'!$B$29*D5</f>
        <v>228379.84</v>
      </c>
      <c r="J5" s="9">
        <f t="shared" si="5"/>
        <v>436</v>
      </c>
      <c r="K5" s="9">
        <f>B2</f>
        <v>92</v>
      </c>
      <c r="L5" s="15">
        <f t="shared" si="6"/>
        <v>47076.479999999996</v>
      </c>
      <c r="M5" s="15">
        <f t="shared" si="0"/>
        <v>482398</v>
      </c>
      <c r="Q5" t="s">
        <v>7</v>
      </c>
      <c r="R5" s="8">
        <v>220000</v>
      </c>
      <c r="S5" s="14">
        <f>'[1]GLP-1'!$AX$18</f>
        <v>220000</v>
      </c>
      <c r="T5" s="14">
        <f t="shared" si="7"/>
        <v>0</v>
      </c>
    </row>
    <row r="6" spans="1:20" x14ac:dyDescent="0.25">
      <c r="A6" t="s">
        <v>17</v>
      </c>
      <c r="B6" s="8">
        <v>670</v>
      </c>
      <c r="C6" s="8">
        <f>ROUND(D5*'Assumptions &amp; Notes'!$B$27,0)</f>
        <v>11</v>
      </c>
      <c r="D6" s="8">
        <f t="shared" si="8"/>
        <v>2011</v>
      </c>
      <c r="E6" s="15">
        <f t="shared" si="1"/>
        <v>101009.2</v>
      </c>
      <c r="F6" s="15">
        <f t="shared" si="2"/>
        <v>59737.2</v>
      </c>
      <c r="G6" s="15">
        <f t="shared" si="3"/>
        <v>41834.799999999996</v>
      </c>
      <c r="H6" s="15">
        <f t="shared" si="4"/>
        <v>14740</v>
      </c>
      <c r="I6" s="15">
        <f>'Assumptions &amp; Notes'!$B$29*D6</f>
        <v>339698.12</v>
      </c>
      <c r="J6" s="9">
        <f t="shared" si="5"/>
        <v>632</v>
      </c>
      <c r="K6" s="9">
        <f>B3-C3</f>
        <v>192</v>
      </c>
      <c r="L6" s="15">
        <f t="shared" si="6"/>
        <v>73467.839999999997</v>
      </c>
      <c r="M6" s="15">
        <f t="shared" si="0"/>
        <v>630487.15999999992</v>
      </c>
      <c r="Q6" t="s">
        <v>8</v>
      </c>
      <c r="R6" s="8">
        <v>13460728.039999999</v>
      </c>
      <c r="S6" s="14">
        <f>'[1]GLP-1'!$AX$22+'[1]GLP-1'!$AX$20+'[1]GLP-1'!$AX$19</f>
        <v>13460728.039999999</v>
      </c>
      <c r="T6" s="14">
        <f t="shared" si="7"/>
        <v>0</v>
      </c>
    </row>
    <row r="7" spans="1:20" x14ac:dyDescent="0.25">
      <c r="A7" t="s">
        <v>18</v>
      </c>
      <c r="B7" s="8">
        <v>469</v>
      </c>
      <c r="C7" s="8">
        <f>ROUND(D6*'Assumptions &amp; Notes'!$B$27,0)</f>
        <v>17</v>
      </c>
      <c r="D7" s="8">
        <f t="shared" si="8"/>
        <v>2463</v>
      </c>
      <c r="E7" s="15">
        <f t="shared" si="1"/>
        <v>70706.44</v>
      </c>
      <c r="F7" s="15">
        <f t="shared" si="2"/>
        <v>41816.04</v>
      </c>
      <c r="G7" s="15">
        <f t="shared" si="3"/>
        <v>29284.36</v>
      </c>
      <c r="H7" s="15">
        <f t="shared" si="4"/>
        <v>10318</v>
      </c>
      <c r="I7" s="15">
        <f>'Assumptions &amp; Notes'!$B$29*D7</f>
        <v>416049.95999999996</v>
      </c>
      <c r="J7" s="9">
        <f t="shared" si="5"/>
        <v>659</v>
      </c>
      <c r="K7" s="9">
        <f>B4-C4</f>
        <v>436</v>
      </c>
      <c r="L7" s="15">
        <f t="shared" si="6"/>
        <v>97630.2</v>
      </c>
      <c r="M7" s="15">
        <f t="shared" si="0"/>
        <v>665805</v>
      </c>
      <c r="Q7" t="s">
        <v>11</v>
      </c>
      <c r="R7" s="8">
        <v>2233190.52</v>
      </c>
      <c r="S7" s="14">
        <f>'[1]GLP-1'!$AX$16</f>
        <v>2233190.52</v>
      </c>
      <c r="T7" s="14">
        <f t="shared" si="7"/>
        <v>0</v>
      </c>
    </row>
    <row r="8" spans="1:20" x14ac:dyDescent="0.25">
      <c r="A8" t="s">
        <v>19</v>
      </c>
      <c r="B8" s="8">
        <v>528</v>
      </c>
      <c r="C8" s="8">
        <f>ROUND(D7*'Assumptions &amp; Notes'!$B$27,0)</f>
        <v>21</v>
      </c>
      <c r="D8" s="8">
        <f t="shared" si="8"/>
        <v>2970</v>
      </c>
      <c r="E8" s="15">
        <f t="shared" si="1"/>
        <v>79601.279999999999</v>
      </c>
      <c r="F8" s="15">
        <f t="shared" si="2"/>
        <v>47076.479999999996</v>
      </c>
      <c r="G8" s="15">
        <f t="shared" si="3"/>
        <v>32968.32</v>
      </c>
      <c r="H8" s="15">
        <f t="shared" si="4"/>
        <v>11616</v>
      </c>
      <c r="I8" s="15">
        <f>'Assumptions &amp; Notes'!$B$29*D8</f>
        <v>501692.39999999997</v>
      </c>
      <c r="J8" s="9">
        <f t="shared" si="5"/>
        <v>452</v>
      </c>
      <c r="K8" s="9">
        <f>B5-C5</f>
        <v>632</v>
      </c>
      <c r="L8" s="15">
        <f t="shared" si="6"/>
        <v>96649.44</v>
      </c>
      <c r="M8" s="15">
        <f t="shared" si="0"/>
        <v>769603.91999999993</v>
      </c>
      <c r="R8" s="8">
        <f>SUM(R2:R7)</f>
        <v>18937518.559999999</v>
      </c>
      <c r="S8" s="14">
        <f>SUM(S2:S7)</f>
        <v>18937518.559999999</v>
      </c>
    </row>
    <row r="9" spans="1:20" x14ac:dyDescent="0.25">
      <c r="A9" t="s">
        <v>20</v>
      </c>
      <c r="B9" s="8">
        <v>544</v>
      </c>
      <c r="C9" s="8">
        <f>ROUND(D8*'Assumptions &amp; Notes'!$B$27,0)</f>
        <v>25</v>
      </c>
      <c r="D9" s="8">
        <f t="shared" si="8"/>
        <v>3489</v>
      </c>
      <c r="E9" s="15">
        <f t="shared" si="1"/>
        <v>82013.440000000002</v>
      </c>
      <c r="F9" s="15">
        <f t="shared" si="2"/>
        <v>48503.040000000001</v>
      </c>
      <c r="G9" s="15">
        <f t="shared" si="3"/>
        <v>33967.360000000001</v>
      </c>
      <c r="H9" s="15">
        <f t="shared" si="4"/>
        <v>11968</v>
      </c>
      <c r="I9" s="15">
        <f>'Assumptions &amp; Notes'!$B$29*D9</f>
        <v>589361.88</v>
      </c>
      <c r="J9" s="9">
        <f t="shared" si="5"/>
        <v>507</v>
      </c>
      <c r="K9" s="9">
        <f t="shared" ref="K9:K19" si="9">B6-C6+K5</f>
        <v>751</v>
      </c>
      <c r="L9" s="15">
        <f t="shared" si="6"/>
        <v>112163.28</v>
      </c>
      <c r="M9" s="15">
        <f t="shared" si="0"/>
        <v>877977</v>
      </c>
      <c r="S9" s="14">
        <f>'[1]GLP-1'!$AX$37</f>
        <v>18937518.560000002</v>
      </c>
    </row>
    <row r="10" spans="1:20" x14ac:dyDescent="0.25">
      <c r="A10" t="s">
        <v>21</v>
      </c>
      <c r="B10" s="8">
        <v>561</v>
      </c>
      <c r="C10" s="8">
        <f>ROUND(D9*'Assumptions &amp; Notes'!$B$27,0)</f>
        <v>29</v>
      </c>
      <c r="D10" s="8">
        <f t="shared" si="8"/>
        <v>4021</v>
      </c>
      <c r="E10" s="15">
        <f t="shared" si="1"/>
        <v>84576.36</v>
      </c>
      <c r="F10" s="15">
        <f t="shared" si="2"/>
        <v>50018.759999999995</v>
      </c>
      <c r="G10" s="15">
        <f t="shared" si="3"/>
        <v>35028.839999999997</v>
      </c>
      <c r="H10" s="15">
        <f t="shared" si="4"/>
        <v>12342</v>
      </c>
      <c r="I10" s="15">
        <f>'Assumptions &amp; Notes'!$B$29*D10</f>
        <v>679227.32</v>
      </c>
      <c r="J10" s="9">
        <f t="shared" si="5"/>
        <v>519</v>
      </c>
      <c r="K10" s="9">
        <f t="shared" si="9"/>
        <v>644</v>
      </c>
      <c r="L10" s="15">
        <f t="shared" si="6"/>
        <v>103693.08</v>
      </c>
      <c r="M10" s="15">
        <f t="shared" si="0"/>
        <v>964886.35999999987</v>
      </c>
      <c r="S10" s="14">
        <f>S8-S9</f>
        <v>0</v>
      </c>
    </row>
    <row r="11" spans="1:20" x14ac:dyDescent="0.25">
      <c r="A11" t="s">
        <v>22</v>
      </c>
      <c r="B11" s="8">
        <v>577</v>
      </c>
      <c r="C11" s="8">
        <f>ROUND(D10*'Assumptions &amp; Notes'!$B$27,0)</f>
        <v>34</v>
      </c>
      <c r="D11" s="8">
        <f t="shared" si="8"/>
        <v>4564</v>
      </c>
      <c r="E11" s="15">
        <f t="shared" si="1"/>
        <v>86988.51999999999</v>
      </c>
      <c r="F11" s="15">
        <f t="shared" si="2"/>
        <v>51445.32</v>
      </c>
      <c r="G11" s="15">
        <f t="shared" si="3"/>
        <v>36027.879999999997</v>
      </c>
      <c r="H11" s="15">
        <f t="shared" si="4"/>
        <v>12694</v>
      </c>
      <c r="I11" s="15">
        <f>'Assumptions &amp; Notes'!$B$29*D11</f>
        <v>770950.87999999989</v>
      </c>
      <c r="J11" s="9">
        <f t="shared" si="5"/>
        <v>532</v>
      </c>
      <c r="K11" s="9">
        <f t="shared" si="9"/>
        <v>943</v>
      </c>
      <c r="L11" s="15">
        <f t="shared" si="6"/>
        <v>131511</v>
      </c>
      <c r="M11" s="15">
        <f t="shared" si="0"/>
        <v>1089617.5999999999</v>
      </c>
    </row>
    <row r="12" spans="1:20" x14ac:dyDescent="0.25">
      <c r="A12" t="s">
        <v>23</v>
      </c>
      <c r="B12" s="8">
        <v>595</v>
      </c>
      <c r="C12" s="8">
        <f>ROUND(D11*'Assumptions &amp; Notes'!$B$27,0)</f>
        <v>38</v>
      </c>
      <c r="D12" s="8">
        <f t="shared" si="8"/>
        <v>5121</v>
      </c>
      <c r="E12" s="15">
        <f t="shared" si="1"/>
        <v>89702.2</v>
      </c>
      <c r="F12" s="15">
        <f t="shared" si="2"/>
        <v>53050.2</v>
      </c>
      <c r="G12" s="15">
        <f t="shared" si="3"/>
        <v>37151.799999999996</v>
      </c>
      <c r="H12" s="15">
        <f t="shared" si="4"/>
        <v>13090</v>
      </c>
      <c r="I12" s="15">
        <f>'Assumptions &amp; Notes'!$B$29*D12</f>
        <v>865039.32</v>
      </c>
      <c r="J12" s="9">
        <f t="shared" si="5"/>
        <v>543</v>
      </c>
      <c r="K12" s="9">
        <f t="shared" si="9"/>
        <v>1151</v>
      </c>
      <c r="L12" s="15">
        <f t="shared" si="6"/>
        <v>151037.04</v>
      </c>
      <c r="M12" s="15">
        <f t="shared" si="0"/>
        <v>1209070.56</v>
      </c>
    </row>
    <row r="13" spans="1:20" x14ac:dyDescent="0.25">
      <c r="A13" t="s">
        <v>24</v>
      </c>
      <c r="B13" s="8">
        <v>613</v>
      </c>
      <c r="C13" s="8">
        <f>ROUND(D12*'Assumptions &amp; Notes'!$B$27,0)</f>
        <v>43</v>
      </c>
      <c r="D13" s="8">
        <f t="shared" si="8"/>
        <v>5691</v>
      </c>
      <c r="E13" s="15">
        <f t="shared" si="1"/>
        <v>92415.87999999999</v>
      </c>
      <c r="F13" s="15">
        <f t="shared" si="2"/>
        <v>54655.079999999994</v>
      </c>
      <c r="G13" s="15">
        <f t="shared" si="3"/>
        <v>38275.72</v>
      </c>
      <c r="H13" s="15">
        <f t="shared" si="4"/>
        <v>13486</v>
      </c>
      <c r="I13" s="15">
        <f>'Assumptions &amp; Notes'!$B$29*D13</f>
        <v>961323.72</v>
      </c>
      <c r="J13" s="9">
        <f t="shared" si="5"/>
        <v>557</v>
      </c>
      <c r="K13" s="9">
        <f t="shared" si="9"/>
        <v>1283</v>
      </c>
      <c r="L13" s="15">
        <f t="shared" si="6"/>
        <v>164054.39999999999</v>
      </c>
      <c r="M13" s="15">
        <f t="shared" si="0"/>
        <v>1324210.7999999998</v>
      </c>
    </row>
    <row r="14" spans="1:20" x14ac:dyDescent="0.25">
      <c r="A14" t="s">
        <v>25</v>
      </c>
      <c r="B14" s="8">
        <v>631</v>
      </c>
      <c r="C14" s="8">
        <f>ROUND(D13*'Assumptions &amp; Notes'!$B$27,0)</f>
        <v>47</v>
      </c>
      <c r="D14" s="8">
        <f t="shared" si="8"/>
        <v>6275</v>
      </c>
      <c r="E14" s="15">
        <f t="shared" si="1"/>
        <v>95129.56</v>
      </c>
      <c r="F14" s="15">
        <f t="shared" si="2"/>
        <v>56259.96</v>
      </c>
      <c r="G14" s="15">
        <f t="shared" si="3"/>
        <v>39399.64</v>
      </c>
      <c r="H14" s="15">
        <f t="shared" si="4"/>
        <v>13882</v>
      </c>
      <c r="I14" s="15">
        <f>'Assumptions &amp; Notes'!$B$29*D14</f>
        <v>1059973</v>
      </c>
      <c r="J14" s="9">
        <f t="shared" si="5"/>
        <v>570</v>
      </c>
      <c r="K14" s="9">
        <f t="shared" si="9"/>
        <v>1187</v>
      </c>
      <c r="L14" s="15">
        <f t="shared" si="6"/>
        <v>156654.12</v>
      </c>
      <c r="M14" s="15">
        <f t="shared" si="0"/>
        <v>1421298.2799999998</v>
      </c>
    </row>
    <row r="15" spans="1:20" x14ac:dyDescent="0.25">
      <c r="A15" t="s">
        <v>26</v>
      </c>
      <c r="B15" s="8">
        <v>650</v>
      </c>
      <c r="C15" s="8">
        <f>ROUND(D14*'Assumptions &amp; Notes'!$B$27,0)</f>
        <v>52</v>
      </c>
      <c r="D15" s="8">
        <f t="shared" si="8"/>
        <v>6873</v>
      </c>
      <c r="E15" s="15">
        <f t="shared" si="1"/>
        <v>97994</v>
      </c>
      <c r="F15" s="15">
        <f t="shared" si="2"/>
        <v>57954</v>
      </c>
      <c r="G15" s="15">
        <f t="shared" si="3"/>
        <v>40586</v>
      </c>
      <c r="H15" s="15">
        <f t="shared" si="4"/>
        <v>14300</v>
      </c>
      <c r="I15" s="15">
        <f>'Assumptions &amp; Notes'!$B$29*D15</f>
        <v>1160987.1599999999</v>
      </c>
      <c r="J15" s="9">
        <f t="shared" si="5"/>
        <v>584</v>
      </c>
      <c r="K15" s="9">
        <f t="shared" si="9"/>
        <v>1500</v>
      </c>
      <c r="L15" s="15">
        <f t="shared" si="6"/>
        <v>185809.44</v>
      </c>
      <c r="M15" s="15">
        <f t="shared" si="0"/>
        <v>1557630.5999999999</v>
      </c>
    </row>
    <row r="16" spans="1:20" x14ac:dyDescent="0.25">
      <c r="A16" t="s">
        <v>27</v>
      </c>
      <c r="B16" s="8">
        <v>668</v>
      </c>
      <c r="C16" s="8">
        <f>ROUND(D15*'Assumptions &amp; Notes'!$B$27,0)</f>
        <v>57</v>
      </c>
      <c r="D16" s="8">
        <f t="shared" si="8"/>
        <v>7484</v>
      </c>
      <c r="E16" s="15">
        <f t="shared" si="1"/>
        <v>100707.68</v>
      </c>
      <c r="F16" s="15">
        <f t="shared" si="2"/>
        <v>59558.879999999997</v>
      </c>
      <c r="G16" s="15">
        <f t="shared" si="3"/>
        <v>41709.919999999998</v>
      </c>
      <c r="H16" s="15">
        <f t="shared" si="4"/>
        <v>14696</v>
      </c>
      <c r="I16" s="15">
        <f>'Assumptions &amp; Notes'!$B$29*D16</f>
        <v>1264197.2799999998</v>
      </c>
      <c r="J16" s="9">
        <f t="shared" si="5"/>
        <v>598</v>
      </c>
      <c r="K16" s="9">
        <f t="shared" si="9"/>
        <v>1721</v>
      </c>
      <c r="L16" s="15">
        <f t="shared" si="6"/>
        <v>206762.03999999998</v>
      </c>
      <c r="M16" s="15">
        <f t="shared" si="0"/>
        <v>1687631.7999999998</v>
      </c>
    </row>
    <row r="17" spans="1:13" x14ac:dyDescent="0.25">
      <c r="A17" t="s">
        <v>28</v>
      </c>
      <c r="B17" s="8">
        <v>689</v>
      </c>
      <c r="C17" s="8">
        <f>ROUND(D16*'Assumptions &amp; Notes'!$B$27,0)</f>
        <v>62</v>
      </c>
      <c r="D17" s="8">
        <f t="shared" si="8"/>
        <v>8111</v>
      </c>
      <c r="E17" s="15">
        <f t="shared" si="1"/>
        <v>103873.64</v>
      </c>
      <c r="F17" s="15">
        <f t="shared" si="2"/>
        <v>61431.24</v>
      </c>
      <c r="G17" s="15">
        <f t="shared" si="3"/>
        <v>43021.159999999996</v>
      </c>
      <c r="H17" s="15">
        <f t="shared" si="4"/>
        <v>15158</v>
      </c>
      <c r="I17" s="15">
        <f>'Assumptions &amp; Notes'!$B$29*D17</f>
        <v>1370110.1199999999</v>
      </c>
      <c r="J17" s="9">
        <f t="shared" si="5"/>
        <v>611</v>
      </c>
      <c r="K17" s="9">
        <f t="shared" si="9"/>
        <v>1867</v>
      </c>
      <c r="L17" s="15">
        <f t="shared" si="6"/>
        <v>220938.47999999998</v>
      </c>
      <c r="M17" s="15">
        <f t="shared" si="0"/>
        <v>1814532.64</v>
      </c>
    </row>
    <row r="18" spans="1:13" x14ac:dyDescent="0.25">
      <c r="A18" t="s">
        <v>29</v>
      </c>
      <c r="B18" s="8">
        <v>709</v>
      </c>
      <c r="C18" s="8">
        <f>ROUND(D17*'Assumptions &amp; Notes'!$B$27,0)</f>
        <v>68</v>
      </c>
      <c r="D18" s="8">
        <f t="shared" si="8"/>
        <v>8752</v>
      </c>
      <c r="E18" s="15">
        <f t="shared" si="1"/>
        <v>106888.84</v>
      </c>
      <c r="F18" s="15">
        <f t="shared" si="2"/>
        <v>63214.439999999995</v>
      </c>
      <c r="G18" s="15">
        <f t="shared" si="3"/>
        <v>44269.96</v>
      </c>
      <c r="H18" s="15">
        <f t="shared" si="4"/>
        <v>15598</v>
      </c>
      <c r="I18" s="15">
        <f>'Assumptions &amp; Notes'!$B$29*D18</f>
        <v>1478387.8399999999</v>
      </c>
      <c r="J18" s="9">
        <f t="shared" si="5"/>
        <v>627</v>
      </c>
      <c r="K18" s="9">
        <f t="shared" si="9"/>
        <v>1785</v>
      </c>
      <c r="L18" s="15">
        <f t="shared" si="6"/>
        <v>215053.91999999998</v>
      </c>
      <c r="M18" s="15">
        <f t="shared" si="0"/>
        <v>1923412.9999999998</v>
      </c>
    </row>
    <row r="19" spans="1:13" x14ac:dyDescent="0.25">
      <c r="A19" t="s">
        <v>30</v>
      </c>
      <c r="B19" s="8">
        <v>735</v>
      </c>
      <c r="C19" s="8">
        <f>ROUND(D18*'Assumptions &amp; Notes'!$B$27,0)</f>
        <v>73</v>
      </c>
      <c r="D19" s="8">
        <f t="shared" si="8"/>
        <v>9414</v>
      </c>
      <c r="E19" s="15">
        <f t="shared" si="1"/>
        <v>110808.59999999999</v>
      </c>
      <c r="F19" s="15">
        <f t="shared" si="2"/>
        <v>65532.6</v>
      </c>
      <c r="G19" s="15">
        <f t="shared" si="3"/>
        <v>45893.4</v>
      </c>
      <c r="H19" s="15">
        <f t="shared" si="4"/>
        <v>16170</v>
      </c>
      <c r="I19" s="15">
        <f>'Assumptions &amp; Notes'!$B$29*D19</f>
        <v>1590212.88</v>
      </c>
      <c r="J19" s="18">
        <f t="shared" si="5"/>
        <v>641</v>
      </c>
      <c r="K19" s="18">
        <f t="shared" si="9"/>
        <v>2111</v>
      </c>
      <c r="L19" s="15">
        <f t="shared" si="6"/>
        <v>245368.31999999998</v>
      </c>
      <c r="M19" s="15">
        <f t="shared" si="0"/>
        <v>2073985.8</v>
      </c>
    </row>
    <row r="20" spans="1:13" ht="15.75" thickBot="1" x14ac:dyDescent="0.3">
      <c r="E20" s="19">
        <f>SUM(E2:E19)</f>
        <v>1507600</v>
      </c>
      <c r="F20" s="19">
        <f t="shared" ref="F20:M20" si="10">SUM(F2:F19)</f>
        <v>891599.99999999988</v>
      </c>
      <c r="G20" s="19">
        <f t="shared" si="10"/>
        <v>624399.99999999988</v>
      </c>
      <c r="H20" s="19">
        <f t="shared" si="10"/>
        <v>220000</v>
      </c>
      <c r="I20" s="19">
        <f>SUM(I2:I19)</f>
        <v>13460728.039999999</v>
      </c>
      <c r="J20" s="20">
        <f t="shared" si="10"/>
        <v>8752</v>
      </c>
      <c r="K20" s="20">
        <f t="shared" si="10"/>
        <v>16295</v>
      </c>
      <c r="L20" s="19">
        <f t="shared" si="10"/>
        <v>2233190.52</v>
      </c>
      <c r="M20" s="19">
        <f t="shared" si="10"/>
        <v>18937518.559999999</v>
      </c>
    </row>
    <row r="21" spans="1:13" ht="15.75" thickTop="1" x14ac:dyDescent="0.25"/>
    <row r="22" spans="1:13" x14ac:dyDescent="0.25">
      <c r="B22" s="21" t="s">
        <v>107</v>
      </c>
      <c r="C22" s="21" t="s">
        <v>108</v>
      </c>
      <c r="D22" s="21" t="s">
        <v>109</v>
      </c>
      <c r="E22" s="21" t="s">
        <v>110</v>
      </c>
    </row>
    <row r="23" spans="1:13" x14ac:dyDescent="0.25">
      <c r="A23" s="16" t="s">
        <v>111</v>
      </c>
      <c r="B23" s="8">
        <f>B2</f>
        <v>92</v>
      </c>
      <c r="C23" s="8">
        <f>B23</f>
        <v>92</v>
      </c>
      <c r="E23" s="15">
        <f>M2</f>
        <v>45381.759999999995</v>
      </c>
    </row>
    <row r="24" spans="1:13" x14ac:dyDescent="0.25">
      <c r="A24" t="s">
        <v>101</v>
      </c>
      <c r="B24" s="8">
        <f>D4</f>
        <v>720</v>
      </c>
      <c r="C24" s="8">
        <f>SUM(B2:B4)</f>
        <v>723</v>
      </c>
      <c r="D24" s="15">
        <f>SUM(M2:M4)</f>
        <v>444970.03999999992</v>
      </c>
      <c r="E24" s="15">
        <f>D24</f>
        <v>444970.03999999992</v>
      </c>
    </row>
    <row r="25" spans="1:13" x14ac:dyDescent="0.25">
      <c r="A25" t="s">
        <v>102</v>
      </c>
      <c r="B25" s="8">
        <f>D7</f>
        <v>2463</v>
      </c>
      <c r="C25" s="8">
        <f>SUM(B2:B7)</f>
        <v>2500</v>
      </c>
      <c r="D25" s="15">
        <f>SUM(M5:M7)</f>
        <v>1778690.16</v>
      </c>
      <c r="E25" s="15">
        <f>SUM(D24:D25)</f>
        <v>2223660.1999999997</v>
      </c>
    </row>
    <row r="26" spans="1:13" x14ac:dyDescent="0.25">
      <c r="A26" t="s">
        <v>105</v>
      </c>
      <c r="B26" s="8">
        <f>D10</f>
        <v>4021</v>
      </c>
      <c r="C26" s="8">
        <f>SUM(B2:B10)</f>
        <v>4133</v>
      </c>
      <c r="D26" s="15">
        <f>SUM(M8:M10)</f>
        <v>2612467.2799999998</v>
      </c>
      <c r="E26" s="15">
        <f>SUM(D24:D26)</f>
        <v>4836127.4799999995</v>
      </c>
    </row>
    <row r="27" spans="1:13" x14ac:dyDescent="0.25">
      <c r="A27" t="s">
        <v>106</v>
      </c>
      <c r="B27" s="8">
        <f>D13</f>
        <v>5691</v>
      </c>
      <c r="C27" s="8">
        <f>SUM(B2:B13)</f>
        <v>5918</v>
      </c>
      <c r="D27" s="15">
        <f>SUM(M11:M13)</f>
        <v>3622898.96</v>
      </c>
      <c r="E27" s="15">
        <f>SUM(D24:D27)</f>
        <v>8459026.4399999995</v>
      </c>
    </row>
    <row r="28" spans="1:13" x14ac:dyDescent="0.25">
      <c r="A28" t="s">
        <v>103</v>
      </c>
      <c r="B28" s="8">
        <f>D16</f>
        <v>7484</v>
      </c>
      <c r="C28" s="8">
        <f>SUM(B2:B16)</f>
        <v>7867</v>
      </c>
      <c r="D28" s="15">
        <f>SUM(M14:M16)</f>
        <v>4666560.68</v>
      </c>
      <c r="E28" s="15">
        <f>SUM(D24:D28)</f>
        <v>13125587.119999999</v>
      </c>
    </row>
    <row r="29" spans="1:13" x14ac:dyDescent="0.25">
      <c r="A29" t="s">
        <v>104</v>
      </c>
      <c r="B29" s="8">
        <f>D19</f>
        <v>9414</v>
      </c>
      <c r="C29" s="8">
        <f>SUM(B2:B19)</f>
        <v>10000</v>
      </c>
      <c r="D29" s="15">
        <f>SUM(M17:M19)</f>
        <v>5811931.4399999995</v>
      </c>
      <c r="E29" s="15">
        <f>SUM(D24:D29)</f>
        <v>18937518.559999999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J4" sqref="J4"/>
    </sheetView>
  </sheetViews>
  <sheetFormatPr defaultRowHeight="15" x14ac:dyDescent="0.25"/>
  <cols>
    <col min="1" max="9" width="16" customWidth="1"/>
    <col min="10" max="10" width="14.7109375" bestFit="1" customWidth="1"/>
  </cols>
  <sheetData>
    <row r="1" spans="1:10" ht="45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5</v>
      </c>
      <c r="F1" s="1" t="s">
        <v>35</v>
      </c>
      <c r="G1" s="1" t="s">
        <v>36</v>
      </c>
      <c r="H1" s="1" t="s">
        <v>8</v>
      </c>
      <c r="I1" s="1" t="s">
        <v>11</v>
      </c>
      <c r="J1" s="1" t="s">
        <v>12</v>
      </c>
    </row>
    <row r="2" spans="1:10" x14ac:dyDescent="0.25">
      <c r="A2">
        <v>2026</v>
      </c>
      <c r="B2" s="8">
        <f>SUM('Monthly Summary'!B2:B7)</f>
        <v>2500</v>
      </c>
      <c r="C2" s="8">
        <f>'Monthly Summary'!D7</f>
        <v>2463</v>
      </c>
      <c r="D2" s="2">
        <f>SUM('Monthly Summary'!E2:E7)</f>
        <v>376900</v>
      </c>
      <c r="E2" s="2">
        <f>SUM('Monthly Summary'!F2:F7)</f>
        <v>222900</v>
      </c>
      <c r="F2" s="2">
        <f>SUM('Monthly Summary'!G2:G7)</f>
        <v>156100</v>
      </c>
      <c r="G2" s="2">
        <f>SUM('Monthly Summary'!H2:H7)</f>
        <v>55000</v>
      </c>
      <c r="H2" s="2">
        <f>SUM('Monthly Summary'!I2:I7)</f>
        <v>1169264.24</v>
      </c>
      <c r="I2" s="2">
        <f>SUM('Monthly Summary'!L2:L7)</f>
        <v>243495.96000000002</v>
      </c>
      <c r="J2" s="2">
        <f>SUM(D2:I2)</f>
        <v>2223660.2000000002</v>
      </c>
    </row>
    <row r="3" spans="1:10" x14ac:dyDescent="0.25">
      <c r="A3">
        <v>2027</v>
      </c>
      <c r="B3" s="8">
        <f>SUM('Monthly Summary'!B8:B19)</f>
        <v>7500</v>
      </c>
      <c r="C3" s="8">
        <f>'Monthly Summary'!D19</f>
        <v>9414</v>
      </c>
      <c r="D3" s="2">
        <f>SUM('Monthly Summary'!E8:E19)</f>
        <v>1130700</v>
      </c>
      <c r="E3" s="2">
        <f>SUM('Monthly Summary'!F8:F19)</f>
        <v>668700</v>
      </c>
      <c r="F3" s="2">
        <f>SUM('Monthly Summary'!G8:G19)</f>
        <v>468300</v>
      </c>
      <c r="G3" s="2">
        <f>SUM('Monthly Summary'!H8:H19)</f>
        <v>165000</v>
      </c>
      <c r="H3" s="2">
        <f>SUM('Monthly Summary'!I8:I19)</f>
        <v>12291463.799999997</v>
      </c>
      <c r="I3" s="2">
        <f>SUM('Monthly Summary'!L8:L19)</f>
        <v>1989694.56</v>
      </c>
      <c r="J3" s="2">
        <f>SUM(D3:I3)</f>
        <v>16713858.359999998</v>
      </c>
    </row>
    <row r="4" spans="1:10" x14ac:dyDescent="0.25">
      <c r="J4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2" sqref="F2"/>
    </sheetView>
  </sheetViews>
  <sheetFormatPr defaultRowHeight="15" x14ac:dyDescent="0.25"/>
  <cols>
    <col min="1" max="6" width="16" customWidth="1"/>
  </cols>
  <sheetData>
    <row r="1" spans="1:6" ht="45" x14ac:dyDescent="0.25">
      <c r="A1" s="3" t="s">
        <v>0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  <row r="2" spans="1:6" x14ac:dyDescent="0.25">
      <c r="A2" t="s">
        <v>13</v>
      </c>
      <c r="B2" s="8">
        <f>'Monthly Summary'!B2</f>
        <v>92</v>
      </c>
      <c r="C2" s="2">
        <f>D2/B2</f>
        <v>168.92</v>
      </c>
      <c r="D2" s="2">
        <f>'Monthly Summary'!I2</f>
        <v>15540.64</v>
      </c>
      <c r="E2" s="4">
        <f>'Assumptions &amp; Notes'!$B$27</f>
        <v>8.3333333333333332E-3</v>
      </c>
      <c r="F2" s="8">
        <f>'Monthly Summary'!C2</f>
        <v>0</v>
      </c>
    </row>
    <row r="3" spans="1:6" x14ac:dyDescent="0.25">
      <c r="A3" t="s">
        <v>14</v>
      </c>
      <c r="B3" s="8">
        <f>'Monthly Summary'!B3</f>
        <v>193</v>
      </c>
      <c r="C3" s="2">
        <f t="shared" ref="C3:C19" si="0">D3/B3</f>
        <v>248.5662176165803</v>
      </c>
      <c r="D3" s="2">
        <f>'Monthly Summary'!I3</f>
        <v>47973.279999999999</v>
      </c>
      <c r="E3" s="4">
        <f>'Assumptions &amp; Notes'!$B$27</f>
        <v>8.3333333333333332E-3</v>
      </c>
      <c r="F3" s="8">
        <f>'Monthly Summary'!C3</f>
        <v>1</v>
      </c>
    </row>
    <row r="4" spans="1:6" x14ac:dyDescent="0.25">
      <c r="A4" t="s">
        <v>15</v>
      </c>
      <c r="B4" s="8">
        <f>'Monthly Summary'!B4</f>
        <v>438</v>
      </c>
      <c r="C4" s="2">
        <f t="shared" si="0"/>
        <v>277.67671232876711</v>
      </c>
      <c r="D4" s="2">
        <f>'Monthly Summary'!I4</f>
        <v>121622.39999999999</v>
      </c>
      <c r="E4" s="4">
        <f>'Assumptions &amp; Notes'!$B$27</f>
        <v>8.3333333333333332E-3</v>
      </c>
      <c r="F4" s="8">
        <f>'Monthly Summary'!C4</f>
        <v>2</v>
      </c>
    </row>
    <row r="5" spans="1:6" x14ac:dyDescent="0.25">
      <c r="A5" t="s">
        <v>16</v>
      </c>
      <c r="B5" s="8">
        <f>'Monthly Summary'!B5</f>
        <v>638</v>
      </c>
      <c r="C5" s="2">
        <f t="shared" si="0"/>
        <v>357.96213166144202</v>
      </c>
      <c r="D5" s="2">
        <f>'Monthly Summary'!I5</f>
        <v>228379.84</v>
      </c>
      <c r="E5" s="4">
        <f>'Assumptions &amp; Notes'!$B$27</f>
        <v>8.3333333333333332E-3</v>
      </c>
      <c r="F5" s="8">
        <f>'Monthly Summary'!C5</f>
        <v>6</v>
      </c>
    </row>
    <row r="6" spans="1:6" x14ac:dyDescent="0.25">
      <c r="A6" t="s">
        <v>17</v>
      </c>
      <c r="B6" s="8">
        <f>'Monthly Summary'!B6</f>
        <v>670</v>
      </c>
      <c r="C6" s="2">
        <f t="shared" si="0"/>
        <v>507.01211940298509</v>
      </c>
      <c r="D6" s="2">
        <f>'Monthly Summary'!I6</f>
        <v>339698.12</v>
      </c>
      <c r="E6" s="4">
        <f>'Assumptions &amp; Notes'!$B$27</f>
        <v>8.3333333333333332E-3</v>
      </c>
      <c r="F6" s="8">
        <f>'Monthly Summary'!C6</f>
        <v>11</v>
      </c>
    </row>
    <row r="7" spans="1:6" x14ac:dyDescent="0.25">
      <c r="A7" t="s">
        <v>18</v>
      </c>
      <c r="B7" s="8">
        <f>'Monthly Summary'!B7</f>
        <v>469</v>
      </c>
      <c r="C7" s="2">
        <f t="shared" si="0"/>
        <v>887.10012793176963</v>
      </c>
      <c r="D7" s="2">
        <f>'Monthly Summary'!I7</f>
        <v>416049.95999999996</v>
      </c>
      <c r="E7" s="4">
        <f>'Assumptions &amp; Notes'!$B$27</f>
        <v>8.3333333333333332E-3</v>
      </c>
      <c r="F7" s="8">
        <f>'Monthly Summary'!C7</f>
        <v>17</v>
      </c>
    </row>
    <row r="8" spans="1:6" x14ac:dyDescent="0.25">
      <c r="A8" t="s">
        <v>19</v>
      </c>
      <c r="B8" s="8">
        <f>'Monthly Summary'!B8</f>
        <v>528</v>
      </c>
      <c r="C8" s="2">
        <f t="shared" si="0"/>
        <v>950.17499999999995</v>
      </c>
      <c r="D8" s="2">
        <f>'Monthly Summary'!I8</f>
        <v>501692.39999999997</v>
      </c>
      <c r="E8" s="4">
        <f>'Assumptions &amp; Notes'!$B$27</f>
        <v>8.3333333333333332E-3</v>
      </c>
      <c r="F8" s="8">
        <f>'Monthly Summary'!C8</f>
        <v>21</v>
      </c>
    </row>
    <row r="9" spans="1:6" x14ac:dyDescent="0.25">
      <c r="A9" t="s">
        <v>20</v>
      </c>
      <c r="B9" s="8">
        <f>'Monthly Summary'!B9</f>
        <v>544</v>
      </c>
      <c r="C9" s="2">
        <f t="shared" si="0"/>
        <v>1083.3858088235295</v>
      </c>
      <c r="D9" s="2">
        <f>'Monthly Summary'!I9</f>
        <v>589361.88</v>
      </c>
      <c r="E9" s="4">
        <f>'Assumptions &amp; Notes'!$B$27</f>
        <v>8.3333333333333332E-3</v>
      </c>
      <c r="F9" s="8">
        <f>'Monthly Summary'!C9</f>
        <v>25</v>
      </c>
    </row>
    <row r="10" spans="1:6" x14ac:dyDescent="0.25">
      <c r="A10" t="s">
        <v>21</v>
      </c>
      <c r="B10" s="8">
        <f>'Monthly Summary'!B10</f>
        <v>561</v>
      </c>
      <c r="C10" s="2">
        <f t="shared" si="0"/>
        <v>1210.7438859180036</v>
      </c>
      <c r="D10" s="2">
        <f>'Monthly Summary'!I10</f>
        <v>679227.32</v>
      </c>
      <c r="E10" s="4">
        <f>'Assumptions &amp; Notes'!$B$27</f>
        <v>8.3333333333333332E-3</v>
      </c>
      <c r="F10" s="8">
        <f>'Monthly Summary'!C10</f>
        <v>29</v>
      </c>
    </row>
    <row r="11" spans="1:6" x14ac:dyDescent="0.25">
      <c r="A11" t="s">
        <v>22</v>
      </c>
      <c r="B11" s="8">
        <f>'Monthly Summary'!B11</f>
        <v>577</v>
      </c>
      <c r="C11" s="2">
        <f t="shared" si="0"/>
        <v>1336.1367071057191</v>
      </c>
      <c r="D11" s="2">
        <f>'Monthly Summary'!I11</f>
        <v>770950.87999999989</v>
      </c>
      <c r="E11" s="4">
        <f>'Assumptions &amp; Notes'!$B$27</f>
        <v>8.3333333333333332E-3</v>
      </c>
      <c r="F11" s="8">
        <f>'Monthly Summary'!C11</f>
        <v>34</v>
      </c>
    </row>
    <row r="12" spans="1:6" x14ac:dyDescent="0.25">
      <c r="A12" t="s">
        <v>23</v>
      </c>
      <c r="B12" s="8">
        <f>'Monthly Summary'!B12</f>
        <v>595</v>
      </c>
      <c r="C12" s="2">
        <f t="shared" si="0"/>
        <v>1453.8475966386554</v>
      </c>
      <c r="D12" s="2">
        <f>'Monthly Summary'!I12</f>
        <v>865039.32</v>
      </c>
      <c r="E12" s="4">
        <f>'Assumptions &amp; Notes'!$B$27</f>
        <v>8.3333333333333332E-3</v>
      </c>
      <c r="F12" s="8">
        <f>'Monthly Summary'!C12</f>
        <v>38</v>
      </c>
    </row>
    <row r="13" spans="1:6" x14ac:dyDescent="0.25">
      <c r="A13" t="s">
        <v>24</v>
      </c>
      <c r="B13" s="8">
        <f>'Monthly Summary'!B13</f>
        <v>613</v>
      </c>
      <c r="C13" s="2">
        <f t="shared" si="0"/>
        <v>1568.2279282218597</v>
      </c>
      <c r="D13" s="2">
        <f>'Monthly Summary'!I13</f>
        <v>961323.72</v>
      </c>
      <c r="E13" s="4">
        <f>'Assumptions &amp; Notes'!$B$27</f>
        <v>8.3333333333333332E-3</v>
      </c>
      <c r="F13" s="8">
        <f>'Monthly Summary'!C13</f>
        <v>43</v>
      </c>
    </row>
    <row r="14" spans="1:6" x14ac:dyDescent="0.25">
      <c r="A14" t="s">
        <v>25</v>
      </c>
      <c r="B14" s="8">
        <f>'Monthly Summary'!B14</f>
        <v>631</v>
      </c>
      <c r="C14" s="2">
        <f t="shared" si="0"/>
        <v>1679.8304278922346</v>
      </c>
      <c r="D14" s="2">
        <f>'Monthly Summary'!I14</f>
        <v>1059973</v>
      </c>
      <c r="E14" s="4">
        <f>'Assumptions &amp; Notes'!$B$27</f>
        <v>8.3333333333333332E-3</v>
      </c>
      <c r="F14" s="8">
        <f>'Monthly Summary'!C14</f>
        <v>47</v>
      </c>
    </row>
    <row r="15" spans="1:6" x14ac:dyDescent="0.25">
      <c r="A15" t="s">
        <v>26</v>
      </c>
      <c r="B15" s="8">
        <f>'Monthly Summary'!B15</f>
        <v>650</v>
      </c>
      <c r="C15" s="2">
        <f t="shared" si="0"/>
        <v>1786.1340923076921</v>
      </c>
      <c r="D15" s="2">
        <f>'Monthly Summary'!I15</f>
        <v>1160987.1599999999</v>
      </c>
      <c r="E15" s="4">
        <f>'Assumptions &amp; Notes'!$B$27</f>
        <v>8.3333333333333332E-3</v>
      </c>
      <c r="F15" s="8">
        <f>'Monthly Summary'!C15</f>
        <v>52</v>
      </c>
    </row>
    <row r="16" spans="1:6" x14ac:dyDescent="0.25">
      <c r="A16" t="s">
        <v>27</v>
      </c>
      <c r="B16" s="8">
        <f>'Monthly Summary'!B16</f>
        <v>668</v>
      </c>
      <c r="C16" s="2">
        <f t="shared" si="0"/>
        <v>1892.5108982035924</v>
      </c>
      <c r="D16" s="2">
        <f>'Monthly Summary'!I16</f>
        <v>1264197.2799999998</v>
      </c>
      <c r="E16" s="4">
        <f>'Assumptions &amp; Notes'!$B$27</f>
        <v>8.3333333333333332E-3</v>
      </c>
      <c r="F16" s="8">
        <f>'Monthly Summary'!C16</f>
        <v>57</v>
      </c>
    </row>
    <row r="17" spans="1:6" x14ac:dyDescent="0.25">
      <c r="A17" t="s">
        <v>28</v>
      </c>
      <c r="B17" s="8">
        <f>'Monthly Summary'!B17</f>
        <v>689</v>
      </c>
      <c r="C17" s="2">
        <f t="shared" si="0"/>
        <v>1988.5487953555876</v>
      </c>
      <c r="D17" s="2">
        <f>'Monthly Summary'!I17</f>
        <v>1370110.1199999999</v>
      </c>
      <c r="E17" s="4">
        <f>'Assumptions &amp; Notes'!$B$27</f>
        <v>8.3333333333333332E-3</v>
      </c>
      <c r="F17" s="8">
        <f>'Monthly Summary'!C17</f>
        <v>62</v>
      </c>
    </row>
    <row r="18" spans="1:6" x14ac:dyDescent="0.25">
      <c r="A18" t="s">
        <v>29</v>
      </c>
      <c r="B18" s="8">
        <f>'Monthly Summary'!B18</f>
        <v>709</v>
      </c>
      <c r="C18" s="2">
        <f t="shared" si="0"/>
        <v>2085.1732581100141</v>
      </c>
      <c r="D18" s="2">
        <f>'Monthly Summary'!I18</f>
        <v>1478387.8399999999</v>
      </c>
      <c r="E18" s="4">
        <f>'Assumptions &amp; Notes'!$B$27</f>
        <v>8.3333333333333332E-3</v>
      </c>
      <c r="F18" s="8">
        <f>'Monthly Summary'!C18</f>
        <v>68</v>
      </c>
    </row>
    <row r="19" spans="1:6" x14ac:dyDescent="0.25">
      <c r="A19" t="s">
        <v>30</v>
      </c>
      <c r="B19" s="8">
        <f>'Monthly Summary'!B19</f>
        <v>735</v>
      </c>
      <c r="C19" s="2">
        <f t="shared" si="0"/>
        <v>2163.55493877551</v>
      </c>
      <c r="D19" s="2">
        <f>'Monthly Summary'!I19</f>
        <v>1590212.88</v>
      </c>
      <c r="E19" s="4">
        <f>'Assumptions &amp; Notes'!$B$27</f>
        <v>8.3333333333333332E-3</v>
      </c>
      <c r="F19" s="8">
        <f>'Monthly Summary'!C19</f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topLeftCell="A26" zoomScale="115" zoomScaleNormal="115" workbookViewId="0">
      <selection activeCell="G24" sqref="G24"/>
    </sheetView>
  </sheetViews>
  <sheetFormatPr defaultRowHeight="15" x14ac:dyDescent="0.25"/>
  <cols>
    <col min="1" max="1" width="40" customWidth="1"/>
    <col min="2" max="2" width="60.7109375" bestFit="1" customWidth="1"/>
  </cols>
  <sheetData>
    <row r="1" spans="1:6" ht="18.75" x14ac:dyDescent="0.3">
      <c r="A1" s="24" t="s">
        <v>42</v>
      </c>
      <c r="B1" s="23"/>
      <c r="F1" s="5"/>
    </row>
    <row r="2" spans="1:6" x14ac:dyDescent="0.25">
      <c r="F2" s="5"/>
    </row>
    <row r="3" spans="1:6" x14ac:dyDescent="0.25">
      <c r="A3" s="22" t="s">
        <v>43</v>
      </c>
      <c r="B3" s="23"/>
    </row>
    <row r="4" spans="1:6" x14ac:dyDescent="0.25">
      <c r="A4" t="s">
        <v>44</v>
      </c>
      <c r="B4" t="s">
        <v>45</v>
      </c>
    </row>
    <row r="5" spans="1:6" x14ac:dyDescent="0.25">
      <c r="A5" t="s">
        <v>46</v>
      </c>
      <c r="B5" t="s">
        <v>47</v>
      </c>
    </row>
    <row r="6" spans="1:6" x14ac:dyDescent="0.25">
      <c r="A6" t="s">
        <v>48</v>
      </c>
      <c r="B6" t="s">
        <v>49</v>
      </c>
    </row>
    <row r="8" spans="1:6" x14ac:dyDescent="0.25">
      <c r="A8" s="22" t="s">
        <v>50</v>
      </c>
      <c r="B8" s="23"/>
    </row>
    <row r="9" spans="1:6" x14ac:dyDescent="0.25">
      <c r="A9" t="s">
        <v>51</v>
      </c>
      <c r="B9" t="s">
        <v>52</v>
      </c>
    </row>
    <row r="10" spans="1:6" x14ac:dyDescent="0.25">
      <c r="A10" t="s">
        <v>53</v>
      </c>
      <c r="B10" t="s">
        <v>54</v>
      </c>
    </row>
    <row r="11" spans="1:6" x14ac:dyDescent="0.25">
      <c r="A11" t="s">
        <v>55</v>
      </c>
      <c r="B11" t="s">
        <v>56</v>
      </c>
    </row>
    <row r="13" spans="1:6" x14ac:dyDescent="0.25">
      <c r="A13" s="22" t="s">
        <v>57</v>
      </c>
      <c r="B13" s="23"/>
    </row>
    <row r="14" spans="1:6" x14ac:dyDescent="0.25">
      <c r="A14" t="s">
        <v>58</v>
      </c>
      <c r="B14" t="s">
        <v>59</v>
      </c>
    </row>
    <row r="15" spans="1:6" x14ac:dyDescent="0.25">
      <c r="A15" t="s">
        <v>60</v>
      </c>
      <c r="B15" t="s">
        <v>61</v>
      </c>
    </row>
    <row r="16" spans="1:6" x14ac:dyDescent="0.25">
      <c r="A16" t="s">
        <v>62</v>
      </c>
      <c r="B16" t="s">
        <v>63</v>
      </c>
    </row>
    <row r="17" spans="1:5" x14ac:dyDescent="0.25">
      <c r="A17" t="s">
        <v>64</v>
      </c>
      <c r="B17" t="s">
        <v>65</v>
      </c>
    </row>
    <row r="18" spans="1:5" x14ac:dyDescent="0.25">
      <c r="A18" t="s">
        <v>66</v>
      </c>
      <c r="B18" s="2" t="s">
        <v>67</v>
      </c>
    </row>
    <row r="19" spans="1:5" x14ac:dyDescent="0.25">
      <c r="A19" t="s">
        <v>68</v>
      </c>
      <c r="B19" s="2" t="s">
        <v>69</v>
      </c>
    </row>
    <row r="20" spans="1:5" x14ac:dyDescent="0.25">
      <c r="A20" t="s">
        <v>70</v>
      </c>
      <c r="B20" s="2" t="s">
        <v>71</v>
      </c>
    </row>
    <row r="21" spans="1:5" x14ac:dyDescent="0.25">
      <c r="A21" t="s">
        <v>72</v>
      </c>
      <c r="B21" s="2" t="s">
        <v>73</v>
      </c>
    </row>
    <row r="22" spans="1:5" x14ac:dyDescent="0.25">
      <c r="A22" t="s">
        <v>74</v>
      </c>
      <c r="B22" t="s">
        <v>75</v>
      </c>
    </row>
    <row r="23" spans="1:5" x14ac:dyDescent="0.25">
      <c r="A23" t="s">
        <v>76</v>
      </c>
      <c r="B23" t="s">
        <v>77</v>
      </c>
    </row>
    <row r="25" spans="1:5" x14ac:dyDescent="0.25">
      <c r="A25" s="22" t="s">
        <v>78</v>
      </c>
      <c r="B25" s="23"/>
    </row>
    <row r="26" spans="1:5" x14ac:dyDescent="0.25">
      <c r="A26" t="s">
        <v>79</v>
      </c>
      <c r="B26" s="6">
        <v>0.1</v>
      </c>
    </row>
    <row r="27" spans="1:5" x14ac:dyDescent="0.25">
      <c r="A27" t="s">
        <v>80</v>
      </c>
      <c r="B27" s="6">
        <f>B26/12</f>
        <v>8.3333333333333332E-3</v>
      </c>
    </row>
    <row r="28" spans="1:5" x14ac:dyDescent="0.25">
      <c r="A28" t="s">
        <v>81</v>
      </c>
      <c r="B28" t="s">
        <v>82</v>
      </c>
    </row>
    <row r="29" spans="1:5" x14ac:dyDescent="0.25">
      <c r="A29" t="s">
        <v>83</v>
      </c>
      <c r="B29" s="10">
        <v>168.92</v>
      </c>
      <c r="D29" s="13"/>
      <c r="E29" s="13"/>
    </row>
    <row r="31" spans="1:5" x14ac:dyDescent="0.25">
      <c r="A31" s="22" t="s">
        <v>84</v>
      </c>
      <c r="B31" s="23"/>
    </row>
    <row r="32" spans="1:5" x14ac:dyDescent="0.25">
      <c r="A32" t="s">
        <v>85</v>
      </c>
      <c r="B32" t="s">
        <v>86</v>
      </c>
    </row>
    <row r="33" spans="1:2" x14ac:dyDescent="0.25">
      <c r="A33" t="s">
        <v>87</v>
      </c>
      <c r="B33" t="s">
        <v>88</v>
      </c>
    </row>
    <row r="34" spans="1:2" x14ac:dyDescent="0.25">
      <c r="A34" t="s">
        <v>89</v>
      </c>
      <c r="B34" t="s">
        <v>90</v>
      </c>
    </row>
    <row r="35" spans="1:2" x14ac:dyDescent="0.25">
      <c r="A35" t="s">
        <v>91</v>
      </c>
      <c r="B35" t="s">
        <v>92</v>
      </c>
    </row>
    <row r="37" spans="1:2" x14ac:dyDescent="0.25">
      <c r="A37" s="22" t="s">
        <v>93</v>
      </c>
      <c r="B37" s="23"/>
    </row>
    <row r="38" spans="1:2" x14ac:dyDescent="0.25">
      <c r="A38" t="s">
        <v>94</v>
      </c>
      <c r="B38" t="s">
        <v>95</v>
      </c>
    </row>
    <row r="39" spans="1:2" x14ac:dyDescent="0.25">
      <c r="A39" t="s">
        <v>96</v>
      </c>
      <c r="B39" s="10">
        <f>SUM('Monthly Summary'!M:M)</f>
        <v>37875037.119999997</v>
      </c>
    </row>
    <row r="40" spans="1:2" x14ac:dyDescent="0.25">
      <c r="A40" t="s">
        <v>97</v>
      </c>
      <c r="B40" s="10">
        <f>AVERAGE('Monthly Summary'!M2:M19)</f>
        <v>1052084.3644444444</v>
      </c>
    </row>
    <row r="41" spans="1:2" x14ac:dyDescent="0.25">
      <c r="A41" t="s">
        <v>98</v>
      </c>
      <c r="B41" s="10">
        <f>SUM('Monthly Summary'!I:I)</f>
        <v>26921456.079999998</v>
      </c>
    </row>
    <row r="42" spans="1:2" x14ac:dyDescent="0.25">
      <c r="A42" t="s">
        <v>99</v>
      </c>
      <c r="B42" s="10">
        <f>B39/10000</f>
        <v>3787.5037119999997</v>
      </c>
    </row>
    <row r="43" spans="1:2" x14ac:dyDescent="0.25">
      <c r="A43" t="s">
        <v>100</v>
      </c>
      <c r="B43" s="11">
        <f>'Monthly Summary'!D19</f>
        <v>9414</v>
      </c>
    </row>
  </sheetData>
  <mergeCells count="7">
    <mergeCell ref="A31:B31"/>
    <mergeCell ref="A25:B25"/>
    <mergeCell ref="A37:B37"/>
    <mergeCell ref="A13:B13"/>
    <mergeCell ref="A1:B1"/>
    <mergeCell ref="A8:B8"/>
    <mergeCell ref="A3:B3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A1D8B4D8C094AB3AE4C0668BF4D8D" ma:contentTypeVersion="11" ma:contentTypeDescription="Create a new document." ma:contentTypeScope="" ma:versionID="d73a5fad609faca589eb27749b39429d">
  <xsd:schema xmlns:xsd="http://www.w3.org/2001/XMLSchema" xmlns:xs="http://www.w3.org/2001/XMLSchema" xmlns:p="http://schemas.microsoft.com/office/2006/metadata/properties" xmlns:ns2="5626769e-c79e-4e85-be74-0bf50f148cbb" xmlns:ns3="42068c1f-bf8b-463c-ac54-4e7477446a17" targetNamespace="http://schemas.microsoft.com/office/2006/metadata/properties" ma:root="true" ma:fieldsID="12a40cc4445a56c1ed0a4f4248ba459f" ns2:_="" ns3:_="">
    <xsd:import namespace="5626769e-c79e-4e85-be74-0bf50f148cbb"/>
    <xsd:import namespace="42068c1f-bf8b-463c-ac54-4e7477446a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769e-c79e-4e85-be74-0bf50f148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6ecc15-f51a-49bc-bf6b-ad8d1cd86b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68c1f-bf8b-463c-ac54-4e7477446a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438b2c-883e-4dd1-a217-5c5c57aea4b3}" ma:internalName="TaxCatchAll" ma:showField="CatchAllData" ma:web="42068c1f-bf8b-463c-ac54-4e7477446a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6769e-c79e-4e85-be74-0bf50f148cbb">
      <Terms xmlns="http://schemas.microsoft.com/office/infopath/2007/PartnerControls"/>
    </lcf76f155ced4ddcb4097134ff3c332f>
    <TaxCatchAll xmlns="42068c1f-bf8b-463c-ac54-4e7477446a17" xsi:nil="true"/>
  </documentManagement>
</p:properties>
</file>

<file path=customXml/itemProps1.xml><?xml version="1.0" encoding="utf-8"?>
<ds:datastoreItem xmlns:ds="http://schemas.openxmlformats.org/officeDocument/2006/customXml" ds:itemID="{AFFC6EF2-E825-49D6-8898-BD30D1C820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3B340-C1E4-43C6-A5B2-0D6CB6C1F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26769e-c79e-4e85-be74-0bf50f148cbb"/>
    <ds:schemaRef ds:uri="42068c1f-bf8b-463c-ac54-4e7477446a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9A43F-339B-487C-8CAE-645D1187ACDF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42068c1f-bf8b-463c-ac54-4e7477446a17"/>
    <ds:schemaRef ds:uri="http://purl.org/dc/elements/1.1/"/>
    <ds:schemaRef ds:uri="http://schemas.microsoft.com/office/2006/metadata/properties"/>
    <ds:schemaRef ds:uri="5626769e-c79e-4e85-be74-0bf50f148cb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Summary</vt:lpstr>
      <vt:lpstr>Annual Summary</vt:lpstr>
      <vt:lpstr>MRR Analysis</vt:lpstr>
      <vt:lpstr>Assumptions &amp;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Ernie Lee</cp:lastModifiedBy>
  <cp:revision/>
  <dcterms:created xsi:type="dcterms:W3CDTF">2026-06-14T00:44:55Z</dcterms:created>
  <dcterms:modified xsi:type="dcterms:W3CDTF">2026-06-23T19:52:31Z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0x0101005FCA1D8B4D8C094AB3AE4C0668BF4D8D</vt:lpwstr>
  </property>
  <property fmtid="{D5CDD505-2E9C-101B-9397-08002B2CF9AE}" pid="3" name="MediaServiceImageTags">
    <vt:lpwstr/>
  </property>
</Properties>
</file>