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ebook" sheetId="1" state="visible" r:id="rId1"/>
    <sheet xmlns:r="http://schemas.openxmlformats.org/officeDocument/2006/relationships" name="Participants" sheetId="2" state="visible" r:id="rId2"/>
    <sheet xmlns:r="http://schemas.openxmlformats.org/officeDocument/2006/relationships" name="Game Telemetry" sheetId="3" state="visible" r:id="rId3"/>
    <sheet xmlns:r="http://schemas.openxmlformats.org/officeDocument/2006/relationships" name="Q4 Responses" sheetId="4" state="visible" r:id="rId4"/>
    <sheet xmlns:r="http://schemas.openxmlformats.org/officeDocument/2006/relationships" name="Outcomes" sheetId="5" state="visible" r:id="rId5"/>
    <sheet xmlns:r="http://schemas.openxmlformats.org/officeDocument/2006/relationships" name="Aggregates" sheetId="6" state="visible" r:id="rId6"/>
    <sheet xmlns:r="http://schemas.openxmlformats.org/officeDocument/2006/relationships" name="Published_Summary" sheetId="7" state="visible" r:id="rId7"/>
    <sheet xmlns:r="http://schemas.openxmlformats.org/officeDocument/2006/relationships"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060"/>
      <sz val="14"/>
    </font>
    <font>
      <i val="1"/>
      <color rgb="00555555"/>
      <sz val="9"/>
    </font>
    <font>
      <b val="1"/>
      <color rgb="00FFFFFF"/>
      <sz val="10"/>
    </font>
    <font>
      <sz val="10"/>
    </font>
    <font>
      <b val="1"/>
      <color rgb="001F4060"/>
      <sz val="13"/>
    </font>
    <font>
      <b val="1"/>
      <sz val="10"/>
    </font>
    <font>
      <b val="1"/>
    </font>
    <font/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1F4060"/>
      </patternFill>
    </fill>
    <fill>
      <patternFill patternType="solid">
        <fgColor rgb="00F7FAFD"/>
      </patternFill>
    </fill>
    <fill>
      <patternFill patternType="solid">
        <fgColor rgb="00D5E3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0" fontId="4" fillId="3" borderId="1" pivotButton="0" quotePrefix="0" xfId="0"/>
    <xf numFmtId="0" fontId="2" fillId="4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7" fillId="0" borderId="0" pivotButton="0" quotePrefix="0" xfId="0"/>
    <xf numFmtId="0" fontId="0" fillId="5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30" customWidth="1" min="4" max="4"/>
    <col width="50" customWidth="1" min="5" max="5"/>
  </cols>
  <sheetData>
    <row r="1">
      <c r="A1" s="1" t="inlineStr">
        <is>
          <t>Stage-3 Decoupling Study — Data Logbook</t>
        </is>
      </c>
    </row>
    <row r="2" ht="42" customHeight="1">
      <c r="A2" s="2" t="inlineStr">
        <is>
          <t>N = 120 adults aged 25–80, Hong Kong cohort. Decoupled condition (no clinical FRA framing; coordination-game framing). Skiing game on InBody footplate; five-attempt rule; pre/post FRA index recorded silently on the clinician-side terminal.</t>
        </is>
      </c>
    </row>
    <row r="4">
      <c r="A4" s="3" t="inlineStr">
        <is>
          <t>Field</t>
        </is>
      </c>
      <c r="B4" s="3" t="inlineStr">
        <is>
          <t>Sheet</t>
        </is>
      </c>
      <c r="C4" s="3" t="inlineStr">
        <is>
          <t>Type</t>
        </is>
      </c>
      <c r="D4" s="3" t="inlineStr">
        <is>
          <t>Allowed values / Range</t>
        </is>
      </c>
      <c r="E4" s="3" t="inlineStr">
        <is>
          <t>Notes</t>
        </is>
      </c>
    </row>
    <row r="5">
      <c r="A5" s="4" t="inlineStr">
        <is>
          <t>Participant_ID</t>
        </is>
      </c>
      <c r="B5" s="4" t="inlineStr">
        <is>
          <t>Participants</t>
        </is>
      </c>
      <c r="C5" s="4" t="inlineStr">
        <is>
          <t>text</t>
        </is>
      </c>
      <c r="D5" s="4" t="inlineStr">
        <is>
          <t>3001–3120</t>
        </is>
      </c>
      <c r="E5" s="4" t="inlineStr">
        <is>
          <t>Pre-allocated; do not reuse</t>
        </is>
      </c>
    </row>
    <row r="6">
      <c r="A6" s="4" t="inlineStr">
        <is>
          <t>Recruit_Date</t>
        </is>
      </c>
      <c r="B6" s="4" t="inlineStr">
        <is>
          <t>Participants</t>
        </is>
      </c>
      <c r="C6" s="4" t="inlineStr">
        <is>
          <t>date</t>
        </is>
      </c>
      <c r="D6" s="4" t="inlineStr">
        <is>
          <t>YYYY-MM-DD</t>
        </is>
      </c>
      <c r="E6" s="4" t="inlineStr"/>
    </row>
    <row r="7">
      <c r="A7" s="4" t="inlineStr">
        <is>
          <t>Age</t>
        </is>
      </c>
      <c r="B7" s="4" t="inlineStr">
        <is>
          <t>Participants</t>
        </is>
      </c>
      <c r="C7" s="4" t="inlineStr">
        <is>
          <t>integer</t>
        </is>
      </c>
      <c r="D7" s="4" t="inlineStr">
        <is>
          <t>25–80</t>
        </is>
      </c>
      <c r="E7" s="4" t="inlineStr"/>
    </row>
    <row r="8">
      <c r="A8" s="4" t="inlineStr">
        <is>
          <t>Age_Band</t>
        </is>
      </c>
      <c r="B8" s="4" t="inlineStr">
        <is>
          <t>Participants</t>
        </is>
      </c>
      <c r="C8" s="4" t="inlineStr">
        <is>
          <t>category</t>
        </is>
      </c>
      <c r="D8" s="4" t="inlineStr">
        <is>
          <t>25-44 | 45-64 | 65-80</t>
        </is>
      </c>
      <c r="E8" s="4" t="inlineStr">
        <is>
          <t>Auto-derivable from Age</t>
        </is>
      </c>
    </row>
    <row r="9">
      <c r="A9" s="4" t="inlineStr">
        <is>
          <t>Gender</t>
        </is>
      </c>
      <c r="B9" s="4" t="inlineStr">
        <is>
          <t>Participants</t>
        </is>
      </c>
      <c r="C9" s="4" t="inlineStr">
        <is>
          <t>category</t>
        </is>
      </c>
      <c r="D9" s="4" t="inlineStr">
        <is>
          <t>F | M | Other | NA</t>
        </is>
      </c>
      <c r="E9" s="4" t="inlineStr"/>
    </row>
    <row r="10">
      <c r="A10" s="4" t="inlineStr">
        <is>
          <t>Education</t>
        </is>
      </c>
      <c r="B10" s="4" t="inlineStr">
        <is>
          <t>Participants</t>
        </is>
      </c>
      <c r="C10" s="4" t="inlineStr">
        <is>
          <t>category</t>
        </is>
      </c>
      <c r="D10" s="4" t="inlineStr">
        <is>
          <t>Primary | Secondary | Tertiary | Postgrad</t>
        </is>
      </c>
      <c r="E10" s="4" t="inlineStr">
        <is>
          <t>Self-reported</t>
        </is>
      </c>
    </row>
    <row r="11">
      <c r="A11" s="4" t="inlineStr">
        <is>
          <t>Recruit_Channel</t>
        </is>
      </c>
      <c r="B11" s="4" t="inlineStr">
        <is>
          <t>Participants</t>
        </is>
      </c>
      <c r="C11" s="4" t="inlineStr">
        <is>
          <t>text</t>
        </is>
      </c>
      <c r="D11" s="4" t="inlineStr">
        <is>
          <t>free text</t>
        </is>
      </c>
      <c r="E11" s="4" t="inlineStr">
        <is>
          <t>Community / family / clinic / other</t>
        </is>
      </c>
    </row>
    <row r="12">
      <c r="A12" s="4" t="inlineStr">
        <is>
          <t>Prior_FRA_Use</t>
        </is>
      </c>
      <c r="B12" s="4" t="inlineStr">
        <is>
          <t>Participants</t>
        </is>
      </c>
      <c r="C12" s="4" t="inlineStr">
        <is>
          <t>category</t>
        </is>
      </c>
      <c r="D12" s="4" t="inlineStr">
        <is>
          <t>Yes | No | Unknown</t>
        </is>
      </c>
      <c r="E12" s="4" t="inlineStr">
        <is>
          <t>Lifetime, not session</t>
        </is>
      </c>
    </row>
    <row r="13">
      <c r="A13" s="4" t="inlineStr">
        <is>
          <t>Pre_FRA_Index</t>
        </is>
      </c>
      <c r="B13" s="4" t="inlineStr">
        <is>
          <t>Participants</t>
        </is>
      </c>
      <c r="C13" s="4" t="inlineStr">
        <is>
          <t>float</t>
        </is>
      </c>
      <c r="D13" s="4" t="inlineStr">
        <is>
          <t>0–100</t>
        </is>
      </c>
      <c r="E13" s="4" t="inlineStr">
        <is>
          <t>Clinician-side, silent</t>
        </is>
      </c>
    </row>
    <row r="14">
      <c r="A14" s="4" t="inlineStr">
        <is>
          <t>Pre_FES_I</t>
        </is>
      </c>
      <c r="B14" s="4" t="inlineStr">
        <is>
          <t>Participants</t>
        </is>
      </c>
      <c r="C14" s="4" t="inlineStr">
        <is>
          <t>integer</t>
        </is>
      </c>
      <c r="D14" s="4" t="inlineStr">
        <is>
          <t>16–64</t>
        </is>
      </c>
      <c r="E14" s="4" t="inlineStr">
        <is>
          <t>Falls Efficacy Scale – International (optional)</t>
        </is>
      </c>
    </row>
    <row r="15">
      <c r="A15" s="4" t="inlineStr">
        <is>
          <t>Session_No</t>
        </is>
      </c>
      <c r="B15" s="4" t="inlineStr">
        <is>
          <t>Game Telemetry</t>
        </is>
      </c>
      <c r="C15" s="4" t="inlineStr">
        <is>
          <t>integer</t>
        </is>
      </c>
      <c r="D15" s="4" t="inlineStr">
        <is>
          <t>1–5</t>
        </is>
      </c>
      <c r="E15" s="4" t="inlineStr">
        <is>
          <t>Five-attempt rule; ≥6 indicates voluntary return</t>
        </is>
      </c>
    </row>
    <row r="16">
      <c r="A16" s="4" t="inlineStr">
        <is>
          <t>Session_Date</t>
        </is>
      </c>
      <c r="B16" s="4" t="inlineStr">
        <is>
          <t>Game Telemetry</t>
        </is>
      </c>
      <c r="C16" s="4" t="inlineStr">
        <is>
          <t>date</t>
        </is>
      </c>
      <c r="D16" s="4" t="inlineStr">
        <is>
          <t>YYYY-MM-DD</t>
        </is>
      </c>
      <c r="E16" s="4" t="inlineStr"/>
    </row>
    <row r="17">
      <c r="A17" s="4" t="inlineStr">
        <is>
          <t>Duration_Min</t>
        </is>
      </c>
      <c r="B17" s="4" t="inlineStr">
        <is>
          <t>Game Telemetry</t>
        </is>
      </c>
      <c r="C17" s="4" t="inlineStr">
        <is>
          <t>float</t>
        </is>
      </c>
      <c r="D17" s="4" t="inlineStr">
        <is>
          <t>0–30</t>
        </is>
      </c>
      <c r="E17" s="4" t="inlineStr"/>
    </row>
    <row r="18">
      <c r="A18" s="4" t="inlineStr">
        <is>
          <t>Distance_m</t>
        </is>
      </c>
      <c r="B18" s="4" t="inlineStr">
        <is>
          <t>Game Telemetry</t>
        </is>
      </c>
      <c r="C18" s="4" t="inlineStr">
        <is>
          <t>integer</t>
        </is>
      </c>
      <c r="D18" s="4" t="inlineStr">
        <is>
          <t>0–2000</t>
        </is>
      </c>
      <c r="E18" s="4" t="inlineStr"/>
    </row>
    <row r="19">
      <c r="A19" s="4" t="inlineStr">
        <is>
          <t>Coins</t>
        </is>
      </c>
      <c r="B19" s="4" t="inlineStr">
        <is>
          <t>Game Telemetry</t>
        </is>
      </c>
      <c r="C19" s="4" t="inlineStr">
        <is>
          <t>integer</t>
        </is>
      </c>
      <c r="D19" s="4" t="inlineStr">
        <is>
          <t>≥0</t>
        </is>
      </c>
      <c r="E19" s="4" t="inlineStr"/>
    </row>
    <row r="20">
      <c r="A20" s="4" t="inlineStr">
        <is>
          <t>Obstacles_Hit</t>
        </is>
      </c>
      <c r="B20" s="4" t="inlineStr">
        <is>
          <t>Game Telemetry</t>
        </is>
      </c>
      <c r="C20" s="4" t="inlineStr">
        <is>
          <t>integer</t>
        </is>
      </c>
      <c r="D20" s="4" t="inlineStr">
        <is>
          <t>0–3</t>
        </is>
      </c>
      <c r="E20" s="4" t="inlineStr">
        <is>
          <t>3 hits ⇒ Game Over state</t>
        </is>
      </c>
    </row>
    <row r="21">
      <c r="A21" s="4" t="inlineStr">
        <is>
          <t>Lives_Lost</t>
        </is>
      </c>
      <c r="B21" s="4" t="inlineStr">
        <is>
          <t>Game Telemetry</t>
        </is>
      </c>
      <c r="C21" s="4" t="inlineStr">
        <is>
          <t>integer</t>
        </is>
      </c>
      <c r="D21" s="4" t="inlineStr">
        <is>
          <t>0–3</t>
        </is>
      </c>
      <c r="E21" s="4" t="inlineStr"/>
    </row>
    <row r="22">
      <c r="A22" s="4" t="inlineStr">
        <is>
          <t>Avg_Balance_pct</t>
        </is>
      </c>
      <c r="B22" s="4" t="inlineStr">
        <is>
          <t>Game Telemetry</t>
        </is>
      </c>
      <c r="C22" s="4" t="inlineStr">
        <is>
          <t>float</t>
        </is>
      </c>
      <c r="D22" s="4" t="inlineStr">
        <is>
          <t>0–100</t>
        </is>
      </c>
      <c r="E22" s="4" t="inlineStr"/>
    </row>
    <row r="23">
      <c r="A23" s="4" t="inlineStr">
        <is>
          <t>Max_Speed</t>
        </is>
      </c>
      <c r="B23" s="4" t="inlineStr">
        <is>
          <t>Game Telemetry</t>
        </is>
      </c>
      <c r="C23" s="4" t="inlineStr">
        <is>
          <t>float</t>
        </is>
      </c>
      <c r="D23" s="4" t="inlineStr">
        <is>
          <t>0–30 m/s</t>
        </is>
      </c>
      <c r="E23" s="4" t="inlineStr"/>
    </row>
    <row r="24">
      <c r="A24" s="4" t="inlineStr">
        <is>
          <t>AI_DiffMult</t>
        </is>
      </c>
      <c r="B24" s="4" t="inlineStr">
        <is>
          <t>Game Telemetry</t>
        </is>
      </c>
      <c r="C24" s="4" t="inlineStr">
        <is>
          <t>float</t>
        </is>
      </c>
      <c r="D24" s="4" t="inlineStr">
        <is>
          <t>0.30–1.50</t>
        </is>
      </c>
      <c r="E24" s="4" t="inlineStr">
        <is>
          <t>Age × ability × distance multiplier at the close of the run</t>
        </is>
      </c>
    </row>
    <row r="25">
      <c r="A25" s="4" t="inlineStr">
        <is>
          <t>Reached_GameOver</t>
        </is>
      </c>
      <c r="B25" s="4" t="inlineStr">
        <is>
          <t>Game Telemetry</t>
        </is>
      </c>
      <c r="C25" s="4" t="inlineStr">
        <is>
          <t>boolean</t>
        </is>
      </c>
      <c r="D25" s="4" t="inlineStr">
        <is>
          <t>TRUE | FALSE</t>
        </is>
      </c>
      <c r="E25" s="4" t="inlineStr">
        <is>
          <t>Did the player hit the terminal state?</t>
        </is>
      </c>
    </row>
    <row r="26">
      <c r="A26" s="4" t="inlineStr">
        <is>
          <t>Post_FRA_Index</t>
        </is>
      </c>
      <c r="B26" s="4" t="inlineStr">
        <is>
          <t>Game Telemetry</t>
        </is>
      </c>
      <c r="C26" s="4" t="inlineStr">
        <is>
          <t>float</t>
        </is>
      </c>
      <c r="D26" s="4" t="inlineStr">
        <is>
          <t>0–100</t>
        </is>
      </c>
      <c r="E26" s="4" t="inlineStr">
        <is>
          <t>Silent — clinician-side only</t>
        </is>
      </c>
    </row>
    <row r="27">
      <c r="A27" s="4" t="inlineStr">
        <is>
          <t>Notes</t>
        </is>
      </c>
      <c r="B27" s="4" t="inlineStr">
        <is>
          <t>Game Telemetry</t>
        </is>
      </c>
      <c r="C27" s="4" t="inlineStr">
        <is>
          <t>text</t>
        </is>
      </c>
      <c r="D27" s="4" t="inlineStr">
        <is>
          <t>free text</t>
        </is>
      </c>
      <c r="E27" s="4" t="inlineStr"/>
    </row>
    <row r="28">
      <c r="A28" s="4" t="inlineStr">
        <is>
          <t>Q1_AI_Difficulty</t>
        </is>
      </c>
      <c r="B28" s="4" t="inlineStr">
        <is>
          <t>Q4 Responses</t>
        </is>
      </c>
      <c r="C28" s="4" t="inlineStr">
        <is>
          <t>Likert 1-7</t>
        </is>
      </c>
      <c r="D28" s="4" t="inlineStr">
        <is>
          <t>1–7</t>
        </is>
      </c>
      <c r="E28" s="4" t="inlineStr">
        <is>
          <t>AI-adaptive difficulty</t>
        </is>
      </c>
    </row>
    <row r="29">
      <c r="A29" s="4" t="inlineStr">
        <is>
          <t>Q2_Persistence</t>
        </is>
      </c>
      <c r="B29" s="4" t="inlineStr">
        <is>
          <t>Q4 Responses</t>
        </is>
      </c>
      <c r="C29" s="4" t="inlineStr">
        <is>
          <t>Likert 1-7</t>
        </is>
      </c>
      <c r="D29" s="4" t="inlineStr">
        <is>
          <t>1–7</t>
        </is>
      </c>
      <c r="E29" s="4" t="inlineStr">
        <is>
          <t>Drop-out due to failure (reverse meaning)</t>
        </is>
      </c>
    </row>
    <row r="30">
      <c r="A30" s="4" t="inlineStr">
        <is>
          <t>Q3_Features</t>
        </is>
      </c>
      <c r="B30" s="4" t="inlineStr">
        <is>
          <t>Q4 Responses</t>
        </is>
      </c>
      <c r="C30" s="4" t="inlineStr">
        <is>
          <t>Likert 1-7</t>
        </is>
      </c>
      <c r="D30" s="4" t="inlineStr">
        <is>
          <t>1–7</t>
        </is>
      </c>
      <c r="E30" s="4" t="inlineStr">
        <is>
          <t>Game features &amp; benefits</t>
        </is>
      </c>
    </row>
    <row r="31">
      <c r="A31" s="4" t="inlineStr">
        <is>
          <t>Q4_Enjoyment</t>
        </is>
      </c>
      <c r="B31" s="4" t="inlineStr">
        <is>
          <t>Q4 Responses</t>
        </is>
      </c>
      <c r="C31" s="4" t="inlineStr">
        <is>
          <t>Likert 1-7</t>
        </is>
      </c>
      <c r="D31" s="4" t="inlineStr">
        <is>
          <t>1–7</t>
        </is>
      </c>
      <c r="E31" s="4" t="inlineStr">
        <is>
          <t>General game experience</t>
        </is>
      </c>
    </row>
    <row r="32">
      <c r="A32" s="4" t="inlineStr">
        <is>
          <t>Q5_SelfEfficacy</t>
        </is>
      </c>
      <c r="B32" s="4" t="inlineStr">
        <is>
          <t>Q4 Responses</t>
        </is>
      </c>
      <c r="C32" s="4" t="inlineStr">
        <is>
          <t>Likert 1-7</t>
        </is>
      </c>
      <c r="D32" s="4" t="inlineStr">
        <is>
          <t>1–7</t>
        </is>
      </c>
      <c r="E32" s="4" t="inlineStr">
        <is>
          <t>Balance self-efficacy</t>
        </is>
      </c>
    </row>
    <row r="33">
      <c r="A33" s="4" t="inlineStr">
        <is>
          <t>Q6_LearnReframe</t>
        </is>
      </c>
      <c r="B33" s="4" t="inlineStr">
        <is>
          <t>Q4 Responses</t>
        </is>
      </c>
      <c r="C33" s="4" t="inlineStr">
        <is>
          <t>Likert 1-7</t>
        </is>
      </c>
      <c r="D33" s="4" t="inlineStr">
        <is>
          <t>1–7</t>
        </is>
      </c>
      <c r="E33" s="4" t="inlineStr">
        <is>
          <t>Failure-as-learning</t>
        </is>
      </c>
    </row>
    <row r="34">
      <c r="A34" s="4" t="inlineStr">
        <is>
          <t>Q7_CoordFrame</t>
        </is>
      </c>
      <c r="B34" s="4" t="inlineStr">
        <is>
          <t>Q4 Responses</t>
        </is>
      </c>
      <c r="C34" s="4" t="inlineStr">
        <is>
          <t>Likert 1-7</t>
        </is>
      </c>
      <c r="D34" s="4" t="inlineStr">
        <is>
          <t>1–7</t>
        </is>
      </c>
      <c r="E34" s="4" t="inlineStr">
        <is>
          <t>Coordination vs medical-test frame</t>
        </is>
      </c>
    </row>
    <row r="35">
      <c r="A35" s="4" t="inlineStr">
        <is>
          <t>Q8_ReturnRecommend</t>
        </is>
      </c>
      <c r="B35" s="4" t="inlineStr">
        <is>
          <t>Q4 Responses</t>
        </is>
      </c>
      <c r="C35" s="4" t="inlineStr">
        <is>
          <t>Likert 1-7</t>
        </is>
      </c>
      <c r="D35" s="4" t="inlineStr">
        <is>
          <t>1–7</t>
        </is>
      </c>
      <c r="E35" s="4" t="inlineStr">
        <is>
          <t>Regular-use + recommend</t>
        </is>
      </c>
    </row>
    <row r="36">
      <c r="A36" s="4" t="inlineStr">
        <is>
          <t>Q9_LikedMost</t>
        </is>
      </c>
      <c r="B36" s="4" t="inlineStr">
        <is>
          <t>Q4 Responses</t>
        </is>
      </c>
      <c r="C36" s="4" t="inlineStr">
        <is>
          <t>text</t>
        </is>
      </c>
      <c r="D36" s="4" t="inlineStr">
        <is>
          <t>free</t>
        </is>
      </c>
      <c r="E36" s="4" t="inlineStr">
        <is>
          <t>Open-ended</t>
        </is>
      </c>
    </row>
    <row r="37">
      <c r="A37" s="4" t="inlineStr">
        <is>
          <t>Q9_WouldChange</t>
        </is>
      </c>
      <c r="B37" s="4" t="inlineStr">
        <is>
          <t>Q4 Responses</t>
        </is>
      </c>
      <c r="C37" s="4" t="inlineStr">
        <is>
          <t>text</t>
        </is>
      </c>
      <c r="D37" s="4" t="inlineStr">
        <is>
          <t>free</t>
        </is>
      </c>
      <c r="E37" s="4" t="inlineStr">
        <is>
          <t>Open-ended</t>
        </is>
      </c>
    </row>
    <row r="38">
      <c r="A38" s="4" t="inlineStr">
        <is>
          <t>Completed_Session1</t>
        </is>
      </c>
      <c r="B38" s="4" t="inlineStr">
        <is>
          <t>Outcomes</t>
        </is>
      </c>
      <c r="C38" s="4" t="inlineStr">
        <is>
          <t>boolean</t>
        </is>
      </c>
      <c r="D38" s="4" t="inlineStr">
        <is>
          <t>TRUE | FALSE</t>
        </is>
      </c>
      <c r="E38" s="4" t="inlineStr"/>
    </row>
    <row r="39">
      <c r="A39" s="4" t="inlineStr">
        <is>
          <t>Initial_Dropout</t>
        </is>
      </c>
      <c r="B39" s="4" t="inlineStr">
        <is>
          <t>Outcomes</t>
        </is>
      </c>
      <c r="C39" s="4" t="inlineStr">
        <is>
          <t>boolean</t>
        </is>
      </c>
      <c r="D39" s="4" t="inlineStr">
        <is>
          <t>TRUE | FALSE</t>
        </is>
      </c>
      <c r="E39" s="4" t="inlineStr">
        <is>
          <t>Did not complete first session OR did not show for second</t>
        </is>
      </c>
    </row>
    <row r="40">
      <c r="A40" s="4" t="inlineStr">
        <is>
          <t>Voluntary_Return</t>
        </is>
      </c>
      <c r="B40" s="4" t="inlineStr">
        <is>
          <t>Outcomes</t>
        </is>
      </c>
      <c r="C40" s="4" t="inlineStr">
        <is>
          <t>boolean</t>
        </is>
      </c>
      <c r="D40" s="4" t="inlineStr">
        <is>
          <t>TRUE | FALSE</t>
        </is>
      </c>
      <c r="E40" s="4" t="inlineStr">
        <is>
          <t>Came back after initial dropout</t>
        </is>
      </c>
    </row>
    <row r="41">
      <c r="A41" s="4" t="inlineStr">
        <is>
          <t>InSession_Retention</t>
        </is>
      </c>
      <c r="B41" s="4" t="inlineStr">
        <is>
          <t>Outcomes</t>
        </is>
      </c>
      <c r="C41" s="4" t="inlineStr">
        <is>
          <t>boolean</t>
        </is>
      </c>
      <c r="D41" s="4" t="inlineStr">
        <is>
          <t>TRUE | FALSE</t>
        </is>
      </c>
      <c r="E41" s="4" t="inlineStr">
        <is>
          <t>Completed all 5 attempts</t>
        </is>
      </c>
    </row>
    <row r="42">
      <c r="A42" s="4" t="inlineStr">
        <is>
          <t>Regular_Use_Intent</t>
        </is>
      </c>
      <c r="B42" s="4" t="inlineStr">
        <is>
          <t>Outcomes</t>
        </is>
      </c>
      <c r="C42" s="4" t="inlineStr">
        <is>
          <t>boolean</t>
        </is>
      </c>
      <c r="D42" s="4" t="inlineStr">
        <is>
          <t>TRUE | FALSE</t>
        </is>
      </c>
      <c r="E42" s="4" t="inlineStr">
        <is>
          <t>Stated willingness to use regularly</t>
        </is>
      </c>
    </row>
    <row r="43">
      <c r="A43" s="4" t="inlineStr">
        <is>
          <t>Coord_Endorse</t>
        </is>
      </c>
      <c r="B43" s="4" t="inlineStr">
        <is>
          <t>Outcomes</t>
        </is>
      </c>
      <c r="C43" s="4" t="inlineStr">
        <is>
          <t>boolean</t>
        </is>
      </c>
      <c r="D43" s="4" t="inlineStr">
        <is>
          <t>TRUE | FALSE</t>
        </is>
      </c>
      <c r="E43" s="4" t="inlineStr">
        <is>
          <t>Endorsed coordination framing</t>
        </is>
      </c>
    </row>
    <row r="44">
      <c r="A44" s="4" t="inlineStr">
        <is>
          <t>FIAS_F_Code</t>
        </is>
      </c>
      <c r="B44" s="4" t="inlineStr">
        <is>
          <t>Outcomes</t>
        </is>
      </c>
      <c r="C44" s="4" t="inlineStr">
        <is>
          <t>category</t>
        </is>
      </c>
      <c r="D44" s="4" t="inlineStr">
        <is>
          <t>F0|F1|F2|F3|F4</t>
        </is>
      </c>
      <c r="E44" s="4" t="inlineStr">
        <is>
          <t>Per Chapter 5 §5.5 coding scheme</t>
        </is>
      </c>
    </row>
    <row r="46">
      <c r="A46" s="12" t="inlineStr">
        <is>
          <t>PROVENANCE NOTE (added 12 July 2026):</t>
        </is>
      </c>
    </row>
    <row r="47">
      <c r="A47" s="13" t="inlineStr">
        <is>
          <t>The participant-level records originally captured for this study were lost to a technical error after the aggregate results were computed and published (Paper 3, Tam &amp; Cheung). This workbook therefore contains: (i) the published aggregate results, transcribed verbatim on the 'Published_Summary' sheet; (ii) a 'Reconciliation' sheet whose live formulas recompute every published indicator from the Participants and Outcomes sheets and compare it to the published target.</t>
        </is>
      </c>
    </row>
    <row r="48">
      <c r="A48" s="13" t="inlineStr">
        <is>
          <t>DATA-ENTRY RULE: rows in Participants, Game Telemetry, Q4 Responses and Outcomes may be entered ONLY by transcription from surviving primary records (paper questionnaires, clinician-terminal exports, staff session logs, consent files). Do not reconstruct rows from memory or from the aggregates: a dataset synthesised to match published totals would constitute fabricated data and must not be bound as the thesis archive. If the participant-level records prove unrecoverable, retain the data-loss statement in thesis §8.9 and present Chapter 6 as resting on the published aggregates.</t>
        </is>
      </c>
    </row>
    <row r="49">
      <c r="A49" s="13" t="inlineStr">
        <is>
          <t>As records are transcribed, every indicator on the Reconciliation sheet flips from 'pending' to 'MATCH' when it equals the published value; any persistent mismatch identifies either a transcription error or an error in the published summary and must be investigated, not adjusted away.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2" customWidth="1" min="4" max="4"/>
    <col width="10" customWidth="1" min="5" max="5"/>
    <col width="14" customWidth="1" min="6" max="6"/>
    <col width="22" customWidth="1" min="7" max="7"/>
    <col width="14" customWidth="1" min="8" max="8"/>
    <col width="14" customWidth="1" min="9" max="9"/>
    <col width="12" customWidth="1" min="10" max="10"/>
    <col width="14" customWidth="1" min="11" max="11"/>
    <col width="12" customWidth="1" min="12" max="12"/>
    <col width="28" customWidth="1" min="13" max="13"/>
  </cols>
  <sheetData>
    <row r="1">
      <c r="A1" s="3" t="inlineStr">
        <is>
          <t>Participant_ID</t>
        </is>
      </c>
      <c r="B1" s="3" t="inlineStr">
        <is>
          <t>Recruit_Date</t>
        </is>
      </c>
      <c r="C1" s="3" t="inlineStr">
        <is>
          <t>Age</t>
        </is>
      </c>
      <c r="D1" s="3" t="inlineStr">
        <is>
          <t>Age_Band</t>
        </is>
      </c>
      <c r="E1" s="3" t="inlineStr">
        <is>
          <t>Gender</t>
        </is>
      </c>
      <c r="F1" s="3" t="inlineStr">
        <is>
          <t>Education</t>
        </is>
      </c>
      <c r="G1" s="3" t="inlineStr">
        <is>
          <t>Recruit_Channel</t>
        </is>
      </c>
      <c r="H1" s="3" t="inlineStr">
        <is>
          <t>Prior_FRA_Use</t>
        </is>
      </c>
      <c r="I1" s="3" t="inlineStr">
        <is>
          <t>Pre_FRA_Index</t>
        </is>
      </c>
      <c r="J1" s="3" t="inlineStr">
        <is>
          <t>Pre_FES_I</t>
        </is>
      </c>
      <c r="K1" s="3" t="inlineStr">
        <is>
          <t>Consent_Signed</t>
        </is>
      </c>
      <c r="L1" s="3" t="inlineStr">
        <is>
          <t>Withdrawn</t>
        </is>
      </c>
      <c r="M1" s="3" t="inlineStr">
        <is>
          <t>Withdrawn_Reason</t>
        </is>
      </c>
    </row>
    <row r="2">
      <c r="A2" s="5" t="n">
        <v>3001</v>
      </c>
      <c r="B2" s="5" t="n"/>
      <c r="C2" s="5" t="n"/>
      <c r="D2" s="5">
        <f>IF(C2="","",IF(C2&lt;45,"25-44",IF(C2&lt;65,"45-64","65-80")))</f>
        <v/>
      </c>
      <c r="E2" s="5" t="n"/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5" t="n">
        <v>3002</v>
      </c>
      <c r="B3" s="5" t="n"/>
      <c r="C3" s="5" t="n"/>
      <c r="D3" s="5">
        <f>IF(C3="","",IF(C3&lt;45,"25-44",IF(C3&lt;65,"45-64","65-80")))</f>
        <v/>
      </c>
      <c r="E3" s="5" t="n"/>
      <c r="F3" s="5" t="n"/>
      <c r="G3" s="5" t="n"/>
      <c r="H3" s="5" t="n"/>
      <c r="I3" s="5" t="n"/>
      <c r="J3" s="5" t="n"/>
      <c r="K3" s="5" t="n"/>
      <c r="L3" s="5" t="n"/>
      <c r="M3" s="5" t="n"/>
    </row>
    <row r="4">
      <c r="A4" s="5" t="n">
        <v>3003</v>
      </c>
      <c r="B4" s="5" t="n"/>
      <c r="C4" s="5" t="n"/>
      <c r="D4" s="5">
        <f>IF(C4="","",IF(C4&lt;45,"25-44",IF(C4&lt;65,"45-64","65-80")))</f>
        <v/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5" t="n">
        <v>3004</v>
      </c>
      <c r="B5" s="5" t="n"/>
      <c r="C5" s="5" t="n"/>
      <c r="D5" s="5">
        <f>IF(C5="","",IF(C5&lt;45,"25-44",IF(C5&lt;65,"45-64","65-80")))</f>
        <v/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5" t="n">
        <v>3005</v>
      </c>
      <c r="B6" s="5" t="n"/>
      <c r="C6" s="5" t="n"/>
      <c r="D6" s="5">
        <f>IF(C6="","",IF(C6&lt;45,"25-44",IF(C6&lt;65,"45-64","65-80")))</f>
        <v/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>
        <v>3006</v>
      </c>
      <c r="B7" s="5" t="n"/>
      <c r="C7" s="5" t="n"/>
      <c r="D7" s="5">
        <f>IF(C7="","",IF(C7&lt;45,"25-44",IF(C7&lt;65,"45-64","65-80")))</f>
        <v/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>
        <v>3007</v>
      </c>
      <c r="B8" s="5" t="n"/>
      <c r="C8" s="5" t="n"/>
      <c r="D8" s="5">
        <f>IF(C8="","",IF(C8&lt;45,"25-44",IF(C8&lt;65,"45-64","65-80")))</f>
        <v/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>
        <v>3008</v>
      </c>
      <c r="B9" s="5" t="n"/>
      <c r="C9" s="5" t="n"/>
      <c r="D9" s="5">
        <f>IF(C9="","",IF(C9&lt;45,"25-44",IF(C9&lt;65,"45-64","65-80")))</f>
        <v/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>
        <v>3009</v>
      </c>
      <c r="B10" s="5" t="n"/>
      <c r="C10" s="5" t="n"/>
      <c r="D10" s="5">
        <f>IF(C10="","",IF(C10&lt;45,"25-44",IF(C10&lt;65,"45-64","65-80")))</f>
        <v/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>
        <v>3010</v>
      </c>
      <c r="B11" s="5" t="n"/>
      <c r="C11" s="5" t="n"/>
      <c r="D11" s="5">
        <f>IF(C11="","",IF(C11&lt;45,"25-44",IF(C11&lt;65,"45-64","65-80")))</f>
        <v/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>
        <v>3011</v>
      </c>
      <c r="B12" s="5" t="n"/>
      <c r="C12" s="5" t="n"/>
      <c r="D12" s="5">
        <f>IF(C12="","",IF(C12&lt;45,"25-44",IF(C12&lt;65,"45-64","65-80")))</f>
        <v/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>
        <v>3012</v>
      </c>
      <c r="B13" s="5" t="n"/>
      <c r="C13" s="5" t="n"/>
      <c r="D13" s="5">
        <f>IF(C13="","",IF(C13&lt;45,"25-44",IF(C13&lt;65,"45-64","65-80")))</f>
        <v/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>
        <v>3013</v>
      </c>
      <c r="B14" s="5" t="n"/>
      <c r="C14" s="5" t="n"/>
      <c r="D14" s="5">
        <f>IF(C14="","",IF(C14&lt;45,"25-44",IF(C14&lt;65,"45-64","65-80")))</f>
        <v/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>
        <v>3014</v>
      </c>
      <c r="B15" s="5" t="n"/>
      <c r="C15" s="5" t="n"/>
      <c r="D15" s="5">
        <f>IF(C15="","",IF(C15&lt;45,"25-44",IF(C15&lt;65,"45-64","65-80")))</f>
        <v/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>
        <v>3015</v>
      </c>
      <c r="B16" s="5" t="n"/>
      <c r="C16" s="5" t="n"/>
      <c r="D16" s="5">
        <f>IF(C16="","",IF(C16&lt;45,"25-44",IF(C16&lt;65,"45-64","65-80")))</f>
        <v/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>
        <v>3016</v>
      </c>
      <c r="B17" s="5" t="n"/>
      <c r="C17" s="5" t="n"/>
      <c r="D17" s="5">
        <f>IF(C17="","",IF(C17&lt;45,"25-44",IF(C17&lt;65,"45-64","65-80")))</f>
        <v/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>
        <v>3017</v>
      </c>
      <c r="B18" s="5" t="n"/>
      <c r="C18" s="5" t="n"/>
      <c r="D18" s="5">
        <f>IF(C18="","",IF(C18&lt;45,"25-44",IF(C18&lt;65,"45-64","65-80")))</f>
        <v/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>
        <v>3018</v>
      </c>
      <c r="B19" s="5" t="n"/>
      <c r="C19" s="5" t="n"/>
      <c r="D19" s="5">
        <f>IF(C19="","",IF(C19&lt;45,"25-44",IF(C19&lt;65,"45-64","65-80")))</f>
        <v/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n">
        <v>3019</v>
      </c>
      <c r="B20" s="5" t="n"/>
      <c r="C20" s="5" t="n"/>
      <c r="D20" s="5">
        <f>IF(C20="","",IF(C20&lt;45,"25-44",IF(C20&lt;65,"45-64","65-80")))</f>
        <v/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5" t="n">
        <v>3020</v>
      </c>
      <c r="B21" s="5" t="n"/>
      <c r="C21" s="5" t="n"/>
      <c r="D21" s="5">
        <f>IF(C21="","",IF(C21&lt;45,"25-44",IF(C21&lt;65,"45-64","65-80")))</f>
        <v/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A22" s="5" t="n">
        <v>3021</v>
      </c>
      <c r="B22" s="5" t="n"/>
      <c r="C22" s="5" t="n"/>
      <c r="D22" s="5">
        <f>IF(C22="","",IF(C22&lt;45,"25-44",IF(C22&lt;65,"45-64","65-80")))</f>
        <v/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n">
        <v>3022</v>
      </c>
      <c r="B23" s="5" t="n"/>
      <c r="C23" s="5" t="n"/>
      <c r="D23" s="5">
        <f>IF(C23="","",IF(C23&lt;45,"25-44",IF(C23&lt;65,"45-64","65-80")))</f>
        <v/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n">
        <v>3023</v>
      </c>
      <c r="B24" s="5" t="n"/>
      <c r="C24" s="5" t="n"/>
      <c r="D24" s="5">
        <f>IF(C24="","",IF(C24&lt;45,"25-44",IF(C24&lt;65,"45-64","65-80")))</f>
        <v/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n">
        <v>3024</v>
      </c>
      <c r="B25" s="5" t="n"/>
      <c r="C25" s="5" t="n"/>
      <c r="D25" s="5">
        <f>IF(C25="","",IF(C25&lt;45,"25-44",IF(C25&lt;65,"45-64","65-80")))</f>
        <v/>
      </c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A26" s="5" t="n">
        <v>3025</v>
      </c>
      <c r="B26" s="5" t="n"/>
      <c r="C26" s="5" t="n"/>
      <c r="D26" s="5">
        <f>IF(C26="","",IF(C26&lt;45,"25-44",IF(C26&lt;65,"45-64","65-80")))</f>
        <v/>
      </c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5" t="n">
        <v>3026</v>
      </c>
      <c r="B27" s="5" t="n"/>
      <c r="C27" s="5" t="n"/>
      <c r="D27" s="5">
        <f>IF(C27="","",IF(C27&lt;45,"25-44",IF(C27&lt;65,"45-64","65-80")))</f>
        <v/>
      </c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A28" s="5" t="n">
        <v>3027</v>
      </c>
      <c r="B28" s="5" t="n"/>
      <c r="C28" s="5" t="n"/>
      <c r="D28" s="5">
        <f>IF(C28="","",IF(C28&lt;45,"25-44",IF(C28&lt;65,"45-64","65-80")))</f>
        <v/>
      </c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n">
        <v>3028</v>
      </c>
      <c r="B29" s="5" t="n"/>
      <c r="C29" s="5" t="n"/>
      <c r="D29" s="5">
        <f>IF(C29="","",IF(C29&lt;45,"25-44",IF(C29&lt;65,"45-64","65-80")))</f>
        <v/>
      </c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n">
        <v>3029</v>
      </c>
      <c r="B30" s="5" t="n"/>
      <c r="C30" s="5" t="n"/>
      <c r="D30" s="5">
        <f>IF(C30="","",IF(C30&lt;45,"25-44",IF(C30&lt;65,"45-64","65-80")))</f>
        <v/>
      </c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n">
        <v>3030</v>
      </c>
      <c r="B31" s="5" t="n"/>
      <c r="C31" s="5" t="n"/>
      <c r="D31" s="5">
        <f>IF(C31="","",IF(C31&lt;45,"25-44",IF(C31&lt;65,"45-64","65-80")))</f>
        <v/>
      </c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5" t="n">
        <v>3031</v>
      </c>
      <c r="B32" s="5" t="n"/>
      <c r="C32" s="5" t="n"/>
      <c r="D32" s="5">
        <f>IF(C32="","",IF(C32&lt;45,"25-44",IF(C32&lt;65,"45-64","65-80")))</f>
        <v/>
      </c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5" t="n">
        <v>3032</v>
      </c>
      <c r="B33" s="5" t="n"/>
      <c r="C33" s="5" t="n"/>
      <c r="D33" s="5">
        <f>IF(C33="","",IF(C33&lt;45,"25-44",IF(C33&lt;65,"45-64","65-80")))</f>
        <v/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>
      <c r="A34" s="5" t="n">
        <v>3033</v>
      </c>
      <c r="B34" s="5" t="n"/>
      <c r="C34" s="5" t="n"/>
      <c r="D34" s="5">
        <f>IF(C34="","",IF(C34&lt;45,"25-44",IF(C34&lt;65,"45-64","65-80")))</f>
        <v/>
      </c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n">
        <v>3034</v>
      </c>
      <c r="B35" s="5" t="n"/>
      <c r="C35" s="5" t="n"/>
      <c r="D35" s="5">
        <f>IF(C35="","",IF(C35&lt;45,"25-44",IF(C35&lt;65,"45-64","65-80")))</f>
        <v/>
      </c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>
      <c r="A36" s="5" t="n">
        <v>3035</v>
      </c>
      <c r="B36" s="5" t="n"/>
      <c r="C36" s="5" t="n"/>
      <c r="D36" s="5">
        <f>IF(C36="","",IF(C36&lt;45,"25-44",IF(C36&lt;65,"45-64","65-80")))</f>
        <v/>
      </c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5" t="n">
        <v>3036</v>
      </c>
      <c r="B37" s="5" t="n"/>
      <c r="C37" s="5" t="n"/>
      <c r="D37" s="5">
        <f>IF(C37="","",IF(C37&lt;45,"25-44",IF(C37&lt;65,"45-64","65-80")))</f>
        <v/>
      </c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>
      <c r="A38" s="5" t="n">
        <v>3037</v>
      </c>
      <c r="B38" s="5" t="n"/>
      <c r="C38" s="5" t="n"/>
      <c r="D38" s="5">
        <f>IF(C38="","",IF(C38&lt;45,"25-44",IF(C38&lt;65,"45-64","65-80")))</f>
        <v/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5" t="n">
        <v>3038</v>
      </c>
      <c r="B39" s="5" t="n"/>
      <c r="C39" s="5" t="n"/>
      <c r="D39" s="5">
        <f>IF(C39="","",IF(C39&lt;45,"25-44",IF(C39&lt;65,"45-64","65-80")))</f>
        <v/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>
      <c r="A40" s="5" t="n">
        <v>3039</v>
      </c>
      <c r="B40" s="5" t="n"/>
      <c r="C40" s="5" t="n"/>
      <c r="D40" s="5">
        <f>IF(C40="","",IF(C40&lt;45,"25-44",IF(C40&lt;65,"45-64","65-80")))</f>
        <v/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5" t="n">
        <v>3040</v>
      </c>
      <c r="B41" s="5" t="n"/>
      <c r="C41" s="5" t="n"/>
      <c r="D41" s="5">
        <f>IF(C41="","",IF(C41&lt;45,"25-44",IF(C41&lt;65,"45-64","65-80")))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</row>
    <row r="42">
      <c r="A42" s="5" t="n">
        <v>3041</v>
      </c>
      <c r="B42" s="5" t="n"/>
      <c r="C42" s="5" t="n"/>
      <c r="D42" s="5">
        <f>IF(C42="","",IF(C42&lt;45,"25-44",IF(C42&lt;65,"45-64","65-80")))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5" t="n">
        <v>3042</v>
      </c>
      <c r="B43" s="5" t="n"/>
      <c r="C43" s="5" t="n"/>
      <c r="D43" s="5">
        <f>IF(C43="","",IF(C43&lt;45,"25-44",IF(C43&lt;65,"45-64","65-80")))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</row>
    <row r="44">
      <c r="A44" s="5" t="n">
        <v>3043</v>
      </c>
      <c r="B44" s="5" t="n"/>
      <c r="C44" s="5" t="n"/>
      <c r="D44" s="5">
        <f>IF(C44="","",IF(C44&lt;45,"25-44",IF(C44&lt;65,"45-64","65-80")))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5" t="n">
        <v>3044</v>
      </c>
      <c r="B45" s="5" t="n"/>
      <c r="C45" s="5" t="n"/>
      <c r="D45" s="5">
        <f>IF(C45="","",IF(C45&lt;45,"25-44",IF(C45&lt;65,"45-64","65-80")))</f>
        <v/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A46" s="5" t="n">
        <v>3045</v>
      </c>
      <c r="B46" s="5" t="n"/>
      <c r="C46" s="5" t="n"/>
      <c r="D46" s="5">
        <f>IF(C46="","",IF(C46&lt;45,"25-44",IF(C46&lt;65,"45-64","65-80")))</f>
        <v/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5" t="n">
        <v>3046</v>
      </c>
      <c r="B47" s="5" t="n"/>
      <c r="C47" s="5" t="n"/>
      <c r="D47" s="5">
        <f>IF(C47="","",IF(C47&lt;45,"25-44",IF(C47&lt;65,"45-64","65-80")))</f>
        <v/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5" t="n">
        <v>3047</v>
      </c>
      <c r="B48" s="5" t="n"/>
      <c r="C48" s="5" t="n"/>
      <c r="D48" s="5">
        <f>IF(C48="","",IF(C48&lt;45,"25-44",IF(C48&lt;65,"45-64","65-80")))</f>
        <v/>
      </c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5" t="n">
        <v>3048</v>
      </c>
      <c r="B49" s="5" t="n"/>
      <c r="C49" s="5" t="n"/>
      <c r="D49" s="5">
        <f>IF(C49="","",IF(C49&lt;45,"25-44",IF(C49&lt;65,"45-64","65-80")))</f>
        <v/>
      </c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>
      <c r="A50" s="5" t="n">
        <v>3049</v>
      </c>
      <c r="B50" s="5" t="n"/>
      <c r="C50" s="5" t="n"/>
      <c r="D50" s="5">
        <f>IF(C50="","",IF(C50&lt;45,"25-44",IF(C50&lt;65,"45-64","65-80")))</f>
        <v/>
      </c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5" t="n">
        <v>3050</v>
      </c>
      <c r="B51" s="5" t="n"/>
      <c r="C51" s="5" t="n"/>
      <c r="D51" s="5">
        <f>IF(C51="","",IF(C51&lt;45,"25-44",IF(C51&lt;65,"45-64","65-80")))</f>
        <v/>
      </c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 s="5" t="n">
        <v>3051</v>
      </c>
      <c r="B52" s="5" t="n"/>
      <c r="C52" s="5" t="n"/>
      <c r="D52" s="5">
        <f>IF(C52="","",IF(C52&lt;45,"25-44",IF(C52&lt;65,"45-64","65-80")))</f>
        <v/>
      </c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5" t="n">
        <v>3052</v>
      </c>
      <c r="B53" s="5" t="n"/>
      <c r="C53" s="5" t="n"/>
      <c r="D53" s="5">
        <f>IF(C53="","",IF(C53&lt;45,"25-44",IF(C53&lt;65,"45-64","65-80")))</f>
        <v/>
      </c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</row>
    <row r="54">
      <c r="A54" s="5" t="n">
        <v>3053</v>
      </c>
      <c r="B54" s="5" t="n"/>
      <c r="C54" s="5" t="n"/>
      <c r="D54" s="5">
        <f>IF(C54="","",IF(C54&lt;45,"25-44",IF(C54&lt;65,"45-64","65-80")))</f>
        <v/>
      </c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5" t="n">
        <v>3054</v>
      </c>
      <c r="B55" s="5" t="n"/>
      <c r="C55" s="5" t="n"/>
      <c r="D55" s="5">
        <f>IF(C55="","",IF(C55&lt;45,"25-44",IF(C55&lt;65,"45-64","65-80")))</f>
        <v/>
      </c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</row>
    <row r="56">
      <c r="A56" s="5" t="n">
        <v>3055</v>
      </c>
      <c r="B56" s="5" t="n"/>
      <c r="C56" s="5" t="n"/>
      <c r="D56" s="5">
        <f>IF(C56="","",IF(C56&lt;45,"25-44",IF(C56&lt;65,"45-64","65-80")))</f>
        <v/>
      </c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5" t="n">
        <v>3056</v>
      </c>
      <c r="B57" s="5" t="n"/>
      <c r="C57" s="5" t="n"/>
      <c r="D57" s="5">
        <f>IF(C57="","",IF(C57&lt;45,"25-44",IF(C57&lt;65,"45-64","65-80")))</f>
        <v/>
      </c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</row>
    <row r="58">
      <c r="A58" s="5" t="n">
        <v>3057</v>
      </c>
      <c r="B58" s="5" t="n"/>
      <c r="C58" s="5" t="n"/>
      <c r="D58" s="5">
        <f>IF(C58="","",IF(C58&lt;45,"25-44",IF(C58&lt;65,"45-64","65-80")))</f>
        <v/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5" t="n">
        <v>3058</v>
      </c>
      <c r="B59" s="5" t="n"/>
      <c r="C59" s="5" t="n"/>
      <c r="D59" s="5">
        <f>IF(C59="","",IF(C59&lt;45,"25-44",IF(C59&lt;65,"45-64","65-80")))</f>
        <v/>
      </c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 s="5" t="n">
        <v>3059</v>
      </c>
      <c r="B60" s="5" t="n"/>
      <c r="C60" s="5" t="n"/>
      <c r="D60" s="5">
        <f>IF(C60="","",IF(C60&lt;45,"25-44",IF(C60&lt;65,"45-64","65-80")))</f>
        <v/>
      </c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5" t="n">
        <v>3060</v>
      </c>
      <c r="B61" s="5" t="n"/>
      <c r="C61" s="5" t="n"/>
      <c r="D61" s="5">
        <f>IF(C61="","",IF(C61&lt;45,"25-44",IF(C61&lt;65,"45-64","65-80")))</f>
        <v/>
      </c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 s="5" t="n">
        <v>3061</v>
      </c>
      <c r="B62" s="5" t="n"/>
      <c r="C62" s="5" t="n"/>
      <c r="D62" s="5">
        <f>IF(C62="","",IF(C62&lt;45,"25-44",IF(C62&lt;65,"45-64","65-80")))</f>
        <v/>
      </c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5" t="n">
        <v>3062</v>
      </c>
      <c r="B63" s="5" t="n"/>
      <c r="C63" s="5" t="n"/>
      <c r="D63" s="5">
        <f>IF(C63="","",IF(C63&lt;45,"25-44",IF(C63&lt;65,"45-64","65-80")))</f>
        <v/>
      </c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>
      <c r="A64" s="5" t="n">
        <v>3063</v>
      </c>
      <c r="B64" s="5" t="n"/>
      <c r="C64" s="5" t="n"/>
      <c r="D64" s="5">
        <f>IF(C64="","",IF(C64&lt;45,"25-44",IF(C64&lt;65,"45-64","65-80")))</f>
        <v/>
      </c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5" t="n">
        <v>3064</v>
      </c>
      <c r="B65" s="5" t="n"/>
      <c r="C65" s="5" t="n"/>
      <c r="D65" s="5">
        <f>IF(C65="","",IF(C65&lt;45,"25-44",IF(C65&lt;65,"45-64","65-80")))</f>
        <v/>
      </c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>
      <c r="A66" s="5" t="n">
        <v>3065</v>
      </c>
      <c r="B66" s="5" t="n"/>
      <c r="C66" s="5" t="n"/>
      <c r="D66" s="5">
        <f>IF(C66="","",IF(C66&lt;45,"25-44",IF(C66&lt;65,"45-64","65-80")))</f>
        <v/>
      </c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5" t="n">
        <v>3066</v>
      </c>
      <c r="B67" s="5" t="n"/>
      <c r="C67" s="5" t="n"/>
      <c r="D67" s="5">
        <f>IF(C67="","",IF(C67&lt;45,"25-44",IF(C67&lt;65,"45-64","65-80")))</f>
        <v/>
      </c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</row>
    <row r="68">
      <c r="A68" s="5" t="n">
        <v>3067</v>
      </c>
      <c r="B68" s="5" t="n"/>
      <c r="C68" s="5" t="n"/>
      <c r="D68" s="5">
        <f>IF(C68="","",IF(C68&lt;45,"25-44",IF(C68&lt;65,"45-64","65-80")))</f>
        <v/>
      </c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5" t="n">
        <v>3068</v>
      </c>
      <c r="B69" s="5" t="n"/>
      <c r="C69" s="5" t="n"/>
      <c r="D69" s="5">
        <f>IF(C69="","",IF(C69&lt;45,"25-44",IF(C69&lt;65,"45-64","65-80")))</f>
        <v/>
      </c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</row>
    <row r="70">
      <c r="A70" s="5" t="n">
        <v>3069</v>
      </c>
      <c r="B70" s="5" t="n"/>
      <c r="C70" s="5" t="n"/>
      <c r="D70" s="5">
        <f>IF(C70="","",IF(C70&lt;45,"25-44",IF(C70&lt;65,"45-64","65-80")))</f>
        <v/>
      </c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5" t="n">
        <v>3070</v>
      </c>
      <c r="B71" s="5" t="n"/>
      <c r="C71" s="5" t="n"/>
      <c r="D71" s="5">
        <f>IF(C71="","",IF(C71&lt;45,"25-44",IF(C71&lt;65,"45-64","65-80")))</f>
        <v/>
      </c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</row>
    <row r="72">
      <c r="A72" s="5" t="n">
        <v>3071</v>
      </c>
      <c r="B72" s="5" t="n"/>
      <c r="C72" s="5" t="n"/>
      <c r="D72" s="5">
        <f>IF(C72="","",IF(C72&lt;45,"25-44",IF(C72&lt;65,"45-64","65-80")))</f>
        <v/>
      </c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5" t="n">
        <v>3072</v>
      </c>
      <c r="B73" s="5" t="n"/>
      <c r="C73" s="5" t="n"/>
      <c r="D73" s="5">
        <f>IF(C73="","",IF(C73&lt;45,"25-44",IF(C73&lt;65,"45-64","65-80")))</f>
        <v/>
      </c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4">
      <c r="A74" s="5" t="n">
        <v>3073</v>
      </c>
      <c r="B74" s="5" t="n"/>
      <c r="C74" s="5" t="n"/>
      <c r="D74" s="5">
        <f>IF(C74="","",IF(C74&lt;45,"25-44",IF(C74&lt;65,"45-64","65-80")))</f>
        <v/>
      </c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5" t="n">
        <v>3074</v>
      </c>
      <c r="B75" s="5" t="n"/>
      <c r="C75" s="5" t="n"/>
      <c r="D75" s="5">
        <f>IF(C75="","",IF(C75&lt;45,"25-44",IF(C75&lt;65,"45-64","65-80")))</f>
        <v/>
      </c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</row>
    <row r="76">
      <c r="A76" s="5" t="n">
        <v>3075</v>
      </c>
      <c r="B76" s="5" t="n"/>
      <c r="C76" s="5" t="n"/>
      <c r="D76" s="5">
        <f>IF(C76="","",IF(C76&lt;45,"25-44",IF(C76&lt;65,"45-64","65-80")))</f>
        <v/>
      </c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5" t="n">
        <v>3076</v>
      </c>
      <c r="B77" s="5" t="n"/>
      <c r="C77" s="5" t="n"/>
      <c r="D77" s="5">
        <f>IF(C77="","",IF(C77&lt;45,"25-44",IF(C77&lt;65,"45-64","65-80")))</f>
        <v/>
      </c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</row>
    <row r="78">
      <c r="A78" s="5" t="n">
        <v>3077</v>
      </c>
      <c r="B78" s="5" t="n"/>
      <c r="C78" s="5" t="n"/>
      <c r="D78" s="5">
        <f>IF(C78="","",IF(C78&lt;45,"25-44",IF(C78&lt;65,"45-64","65-80")))</f>
        <v/>
      </c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5" t="n">
        <v>3078</v>
      </c>
      <c r="B79" s="5" t="n"/>
      <c r="C79" s="5" t="n"/>
      <c r="D79" s="5">
        <f>IF(C79="","",IF(C79&lt;45,"25-44",IF(C79&lt;65,"45-64","65-80")))</f>
        <v/>
      </c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</row>
    <row r="80">
      <c r="A80" s="5" t="n">
        <v>3079</v>
      </c>
      <c r="B80" s="5" t="n"/>
      <c r="C80" s="5" t="n"/>
      <c r="D80" s="5">
        <f>IF(C80="","",IF(C80&lt;45,"25-44",IF(C80&lt;65,"45-64","65-80")))</f>
        <v/>
      </c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5" t="n">
        <v>3080</v>
      </c>
      <c r="B81" s="5" t="n"/>
      <c r="C81" s="5" t="n"/>
      <c r="D81" s="5">
        <f>IF(C81="","",IF(C81&lt;45,"25-44",IF(C81&lt;65,"45-64","65-80")))</f>
        <v/>
      </c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</row>
    <row r="82">
      <c r="A82" s="5" t="n">
        <v>3081</v>
      </c>
      <c r="B82" s="5" t="n"/>
      <c r="C82" s="5" t="n"/>
      <c r="D82" s="5">
        <f>IF(C82="","",IF(C82&lt;45,"25-44",IF(C82&lt;65,"45-64","65-80")))</f>
        <v/>
      </c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5" t="n">
        <v>3082</v>
      </c>
      <c r="B83" s="5" t="n"/>
      <c r="C83" s="5" t="n"/>
      <c r="D83" s="5">
        <f>IF(C83="","",IF(C83&lt;45,"25-44",IF(C83&lt;65,"45-64","65-80")))</f>
        <v/>
      </c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</row>
    <row r="84">
      <c r="A84" s="5" t="n">
        <v>3083</v>
      </c>
      <c r="B84" s="5" t="n"/>
      <c r="C84" s="5" t="n"/>
      <c r="D84" s="5">
        <f>IF(C84="","",IF(C84&lt;45,"25-44",IF(C84&lt;65,"45-64","65-80")))</f>
        <v/>
      </c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5" t="n">
        <v>3084</v>
      </c>
      <c r="B85" s="5" t="n"/>
      <c r="C85" s="5" t="n"/>
      <c r="D85" s="5">
        <f>IF(C85="","",IF(C85&lt;45,"25-44",IF(C85&lt;65,"45-64","65-80")))</f>
        <v/>
      </c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</row>
    <row r="86">
      <c r="A86" s="5" t="n">
        <v>3085</v>
      </c>
      <c r="B86" s="5" t="n"/>
      <c r="C86" s="5" t="n"/>
      <c r="D86" s="5">
        <f>IF(C86="","",IF(C86&lt;45,"25-44",IF(C86&lt;65,"45-64","65-80")))</f>
        <v/>
      </c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5" t="n">
        <v>3086</v>
      </c>
      <c r="B87" s="5" t="n"/>
      <c r="C87" s="5" t="n"/>
      <c r="D87" s="5">
        <f>IF(C87="","",IF(C87&lt;45,"25-44",IF(C87&lt;65,"45-64","65-80")))</f>
        <v/>
      </c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>
      <c r="A88" s="5" t="n">
        <v>3087</v>
      </c>
      <c r="B88" s="5" t="n"/>
      <c r="C88" s="5" t="n"/>
      <c r="D88" s="5">
        <f>IF(C88="","",IF(C88&lt;45,"25-44",IF(C88&lt;65,"45-64","65-80")))</f>
        <v/>
      </c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5" t="n">
        <v>3088</v>
      </c>
      <c r="B89" s="5" t="n"/>
      <c r="C89" s="5" t="n"/>
      <c r="D89" s="5">
        <f>IF(C89="","",IF(C89&lt;45,"25-44",IF(C89&lt;65,"45-64","65-80")))</f>
        <v/>
      </c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>
      <c r="A90" s="5" t="n">
        <v>3089</v>
      </c>
      <c r="B90" s="5" t="n"/>
      <c r="C90" s="5" t="n"/>
      <c r="D90" s="5">
        <f>IF(C90="","",IF(C90&lt;45,"25-44",IF(C90&lt;65,"45-64","65-80")))</f>
        <v/>
      </c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5" t="n">
        <v>3090</v>
      </c>
      <c r="B91" s="5" t="n"/>
      <c r="C91" s="5" t="n"/>
      <c r="D91" s="5">
        <f>IF(C91="","",IF(C91&lt;45,"25-44",IF(C91&lt;65,"45-64","65-80")))</f>
        <v/>
      </c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</row>
    <row r="92">
      <c r="A92" s="5" t="n">
        <v>3091</v>
      </c>
      <c r="B92" s="5" t="n"/>
      <c r="C92" s="5" t="n"/>
      <c r="D92" s="5">
        <f>IF(C92="","",IF(C92&lt;45,"25-44",IF(C92&lt;65,"45-64","65-80")))</f>
        <v/>
      </c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5" t="n">
        <v>3092</v>
      </c>
      <c r="B93" s="5" t="n"/>
      <c r="C93" s="5" t="n"/>
      <c r="D93" s="5">
        <f>IF(C93="","",IF(C93&lt;45,"25-44",IF(C93&lt;65,"45-64","65-80")))</f>
        <v/>
      </c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</row>
    <row r="94">
      <c r="A94" s="5" t="n">
        <v>3093</v>
      </c>
      <c r="B94" s="5" t="n"/>
      <c r="C94" s="5" t="n"/>
      <c r="D94" s="5">
        <f>IF(C94="","",IF(C94&lt;45,"25-44",IF(C94&lt;65,"45-64","65-80")))</f>
        <v/>
      </c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5" t="n">
        <v>3094</v>
      </c>
      <c r="B95" s="5" t="n"/>
      <c r="C95" s="5" t="n"/>
      <c r="D95" s="5">
        <f>IF(C95="","",IF(C95&lt;45,"25-44",IF(C95&lt;65,"45-64","65-80")))</f>
        <v/>
      </c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6">
      <c r="A96" s="5" t="n">
        <v>3095</v>
      </c>
      <c r="B96" s="5" t="n"/>
      <c r="C96" s="5" t="n"/>
      <c r="D96" s="5">
        <f>IF(C96="","",IF(C96&lt;45,"25-44",IF(C96&lt;65,"45-64","65-80")))</f>
        <v/>
      </c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5" t="n">
        <v>3096</v>
      </c>
      <c r="B97" s="5" t="n"/>
      <c r="C97" s="5" t="n"/>
      <c r="D97" s="5">
        <f>IF(C97="","",IF(C97&lt;45,"25-44",IF(C97&lt;65,"45-64","65-80")))</f>
        <v/>
      </c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</row>
    <row r="98">
      <c r="A98" s="5" t="n">
        <v>3097</v>
      </c>
      <c r="B98" s="5" t="n"/>
      <c r="C98" s="5" t="n"/>
      <c r="D98" s="5">
        <f>IF(C98="","",IF(C98&lt;45,"25-44",IF(C98&lt;65,"45-64","65-80")))</f>
        <v/>
      </c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5" t="n">
        <v>3098</v>
      </c>
      <c r="B99" s="5" t="n"/>
      <c r="C99" s="5" t="n"/>
      <c r="D99" s="5">
        <f>IF(C99="","",IF(C99&lt;45,"25-44",IF(C99&lt;65,"45-64","65-80")))</f>
        <v/>
      </c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 s="5" t="n">
        <v>3099</v>
      </c>
      <c r="B100" s="5" t="n"/>
      <c r="C100" s="5" t="n"/>
      <c r="D100" s="5">
        <f>IF(C100="","",IF(C100&lt;45,"25-44",IF(C100&lt;65,"45-64","65-80")))</f>
        <v/>
      </c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5" t="n">
        <v>3100</v>
      </c>
      <c r="B101" s="5" t="n"/>
      <c r="C101" s="5" t="n"/>
      <c r="D101" s="5">
        <f>IF(C101="","",IF(C101&lt;45,"25-44",IF(C101&lt;65,"45-64","65-80")))</f>
        <v/>
      </c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n">
        <v>3101</v>
      </c>
      <c r="B102" s="5" t="n"/>
      <c r="C102" s="5" t="n"/>
      <c r="D102" s="5">
        <f>IF(C102="","",IF(C102&lt;45,"25-44",IF(C102&lt;65,"45-64","65-80")))</f>
        <v/>
      </c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n">
        <v>3102</v>
      </c>
      <c r="B103" s="5" t="n"/>
      <c r="C103" s="5" t="n"/>
      <c r="D103" s="5">
        <f>IF(C103="","",IF(C103&lt;45,"25-44",IF(C103&lt;65,"45-64","65-80")))</f>
        <v/>
      </c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n">
        <v>3103</v>
      </c>
      <c r="B104" s="5" t="n"/>
      <c r="C104" s="5" t="n"/>
      <c r="D104" s="5">
        <f>IF(C104="","",IF(C104&lt;45,"25-44",IF(C104&lt;65,"45-64","65-80")))</f>
        <v/>
      </c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5" t="n">
        <v>3104</v>
      </c>
      <c r="B105" s="5" t="n"/>
      <c r="C105" s="5" t="n"/>
      <c r="D105" s="5">
        <f>IF(C105="","",IF(C105&lt;45,"25-44",IF(C105&lt;65,"45-64","65-80")))</f>
        <v/>
      </c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</row>
    <row r="106">
      <c r="A106" s="5" t="n">
        <v>3105</v>
      </c>
      <c r="B106" s="5" t="n"/>
      <c r="C106" s="5" t="n"/>
      <c r="D106" s="5">
        <f>IF(C106="","",IF(C106&lt;45,"25-44",IF(C106&lt;65,"45-64","65-80")))</f>
        <v/>
      </c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5" t="n">
        <v>3106</v>
      </c>
      <c r="B107" s="5" t="n"/>
      <c r="C107" s="5" t="n"/>
      <c r="D107" s="5">
        <f>IF(C107="","",IF(C107&lt;45,"25-44",IF(C107&lt;65,"45-64","65-80")))</f>
        <v/>
      </c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</row>
    <row r="108">
      <c r="A108" s="5" t="n">
        <v>3107</v>
      </c>
      <c r="B108" s="5" t="n"/>
      <c r="C108" s="5" t="n"/>
      <c r="D108" s="5">
        <f>IF(C108="","",IF(C108&lt;45,"25-44",IF(C108&lt;65,"45-64","65-80")))</f>
        <v/>
      </c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5" t="n">
        <v>3108</v>
      </c>
      <c r="B109" s="5" t="n"/>
      <c r="C109" s="5" t="n"/>
      <c r="D109" s="5">
        <f>IF(C109="","",IF(C109&lt;45,"25-44",IF(C109&lt;65,"45-64","65-80")))</f>
        <v/>
      </c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</row>
    <row r="110">
      <c r="A110" s="5" t="n">
        <v>3109</v>
      </c>
      <c r="B110" s="5" t="n"/>
      <c r="C110" s="5" t="n"/>
      <c r="D110" s="5">
        <f>IF(C110="","",IF(C110&lt;45,"25-44",IF(C110&lt;65,"45-64","65-80")))</f>
        <v/>
      </c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5" t="n">
        <v>3110</v>
      </c>
      <c r="B111" s="5" t="n"/>
      <c r="C111" s="5" t="n"/>
      <c r="D111" s="5">
        <f>IF(C111="","",IF(C111&lt;45,"25-44",IF(C111&lt;65,"45-64","65-80")))</f>
        <v/>
      </c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5" t="n">
        <v>3111</v>
      </c>
      <c r="B112" s="5" t="n"/>
      <c r="C112" s="5" t="n"/>
      <c r="D112" s="5">
        <f>IF(C112="","",IF(C112&lt;45,"25-44",IF(C112&lt;65,"45-64","65-80")))</f>
        <v/>
      </c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5" t="n">
        <v>3112</v>
      </c>
      <c r="B113" s="5" t="n"/>
      <c r="C113" s="5" t="n"/>
      <c r="D113" s="5">
        <f>IF(C113="","",IF(C113&lt;45,"25-44",IF(C113&lt;65,"45-64","65-80")))</f>
        <v/>
      </c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</row>
    <row r="114">
      <c r="A114" s="5" t="n">
        <v>3113</v>
      </c>
      <c r="B114" s="5" t="n"/>
      <c r="C114" s="5" t="n"/>
      <c r="D114" s="5">
        <f>IF(C114="","",IF(C114&lt;45,"25-44",IF(C114&lt;65,"45-64","65-80")))</f>
        <v/>
      </c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5" t="n">
        <v>3114</v>
      </c>
      <c r="B115" s="5" t="n"/>
      <c r="C115" s="5" t="n"/>
      <c r="D115" s="5">
        <f>IF(C115="","",IF(C115&lt;45,"25-44",IF(C115&lt;65,"45-64","65-80")))</f>
        <v/>
      </c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5" t="n">
        <v>3115</v>
      </c>
      <c r="B116" s="5" t="n"/>
      <c r="C116" s="5" t="n"/>
      <c r="D116" s="5">
        <f>IF(C116="","",IF(C116&lt;45,"25-44",IF(C116&lt;65,"45-64","65-80")))</f>
        <v/>
      </c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5" t="n">
        <v>3116</v>
      </c>
      <c r="B117" s="5" t="n"/>
      <c r="C117" s="5" t="n"/>
      <c r="D117" s="5">
        <f>IF(C117="","",IF(C117&lt;45,"25-44",IF(C117&lt;65,"45-64","65-80")))</f>
        <v/>
      </c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</row>
    <row r="118">
      <c r="A118" s="5" t="n">
        <v>3117</v>
      </c>
      <c r="B118" s="5" t="n"/>
      <c r="C118" s="5" t="n"/>
      <c r="D118" s="5">
        <f>IF(C118="","",IF(C118&lt;45,"25-44",IF(C118&lt;65,"45-64","65-80")))</f>
        <v/>
      </c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5" t="n">
        <v>3118</v>
      </c>
      <c r="B119" s="5" t="n"/>
      <c r="C119" s="5" t="n"/>
      <c r="D119" s="5">
        <f>IF(C119="","",IF(C119&lt;45,"25-44",IF(C119&lt;65,"45-64","65-80")))</f>
        <v/>
      </c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5" t="n">
        <v>3119</v>
      </c>
      <c r="B120" s="5" t="n"/>
      <c r="C120" s="5" t="n"/>
      <c r="D120" s="5">
        <f>IF(C120="","",IF(C120&lt;45,"25-44",IF(C120&lt;65,"45-64","65-80")))</f>
        <v/>
      </c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5" t="n">
        <v>3120</v>
      </c>
      <c r="B121" s="5" t="n"/>
      <c r="C121" s="5" t="n"/>
      <c r="D121" s="5">
        <f>IF(C121="","",IF(C121&lt;45,"25-44",IF(C121&lt;65,"45-64","65-80")))</f>
        <v/>
      </c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</row>
  </sheetData>
  <dataValidations count="4">
    <dataValidation sqref="E2:E121" showDropDown="0" showInputMessage="1" showErrorMessage="1" allowBlank="1" type="list">
      <formula1>"F,M,Other,NA"</formula1>
    </dataValidation>
    <dataValidation sqref="F2:F121" showDropDown="0" showInputMessage="1" showErrorMessage="1" allowBlank="1" type="list">
      <formula1>"Primary,Secondary,Tertiary,Postgrad"</formula1>
    </dataValidation>
    <dataValidation sqref="H2:H121" showDropDown="0" showInputMessage="1" showErrorMessage="1" allowBlank="1" type="list">
      <formula1>"Yes,No,Unknown"</formula1>
    </dataValidation>
    <dataValidation sqref="K2:L121" showDropDown="0" showInputMessage="1" showErrorMessage="1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2" customWidth="1" min="5" max="5"/>
    <col width="8" customWidth="1" min="6" max="6"/>
    <col width="14" customWidth="1" min="7" max="7"/>
    <col width="12" customWidth="1" min="8" max="8"/>
    <col width="16" customWidth="1" min="9" max="9"/>
    <col width="12" customWidth="1" min="10" max="10"/>
    <col width="12" customWidth="1" min="11" max="11"/>
    <col width="16" customWidth="1" min="12" max="12"/>
    <col width="14" customWidth="1" min="13" max="13"/>
    <col width="28" customWidth="1" min="14" max="14"/>
  </cols>
  <sheetData>
    <row r="1">
      <c r="A1" s="3" t="inlineStr">
        <is>
          <t>Participant_ID</t>
        </is>
      </c>
      <c r="B1" s="3" t="inlineStr">
        <is>
          <t>Session_No</t>
        </is>
      </c>
      <c r="C1" s="3" t="inlineStr">
        <is>
          <t>Session_Date</t>
        </is>
      </c>
      <c r="D1" s="3" t="inlineStr">
        <is>
          <t>Duration_Min</t>
        </is>
      </c>
      <c r="E1" s="3" t="inlineStr">
        <is>
          <t>Distance_m</t>
        </is>
      </c>
      <c r="F1" s="3" t="inlineStr">
        <is>
          <t>Coins</t>
        </is>
      </c>
      <c r="G1" s="3" t="inlineStr">
        <is>
          <t>Obstacles_Hit</t>
        </is>
      </c>
      <c r="H1" s="3" t="inlineStr">
        <is>
          <t>Lives_Lost</t>
        </is>
      </c>
      <c r="I1" s="3" t="inlineStr">
        <is>
          <t>Avg_Balance_pct</t>
        </is>
      </c>
      <c r="J1" s="3" t="inlineStr">
        <is>
          <t>Max_Speed</t>
        </is>
      </c>
      <c r="K1" s="3" t="inlineStr">
        <is>
          <t>AI_DiffMult</t>
        </is>
      </c>
      <c r="L1" s="3" t="inlineStr">
        <is>
          <t>Reached_GameOver</t>
        </is>
      </c>
      <c r="M1" s="3" t="inlineStr">
        <is>
          <t>Post_FRA_Index</t>
        </is>
      </c>
      <c r="N1" s="3" t="inlineStr">
        <is>
          <t>Notes</t>
        </is>
      </c>
    </row>
    <row r="2">
      <c r="A2" s="6" t="n">
        <v>3001</v>
      </c>
      <c r="B2" s="6" t="n">
        <v>1</v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>
      <c r="A3" s="6" t="n">
        <v>3001</v>
      </c>
      <c r="B3" s="6" t="n">
        <v>2</v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6" t="n">
        <v>3001</v>
      </c>
      <c r="B4" s="6" t="n">
        <v>3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>
      <c r="A5" s="6" t="n">
        <v>3001</v>
      </c>
      <c r="B5" s="6" t="n">
        <v>4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s="6" t="n">
        <v>3001</v>
      </c>
      <c r="B6" s="6" t="n">
        <v>5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5" t="n">
        <v>3002</v>
      </c>
      <c r="B7" s="5" t="n">
        <v>1</v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5" t="n">
        <v>3002</v>
      </c>
      <c r="B8" s="5" t="n">
        <v>2</v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5" t="n">
        <v>3002</v>
      </c>
      <c r="B9" s="5" t="n">
        <v>3</v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>
        <v>3002</v>
      </c>
      <c r="B10" s="5" t="n">
        <v>4</v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5" t="n">
        <v>3002</v>
      </c>
      <c r="B11" s="5" t="n">
        <v>5</v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6" t="n">
        <v>3003</v>
      </c>
      <c r="B12" s="6" t="n">
        <v>1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</row>
    <row r="13">
      <c r="A13" s="6" t="n">
        <v>3003</v>
      </c>
      <c r="B13" s="6" t="n">
        <v>2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6" t="n">
        <v>3003</v>
      </c>
      <c r="B14" s="6" t="n">
        <v>3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</row>
    <row r="15">
      <c r="A15" s="6" t="n">
        <v>3003</v>
      </c>
      <c r="B15" s="6" t="n">
        <v>4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6" t="n">
        <v>3003</v>
      </c>
      <c r="B16" s="6" t="n">
        <v>5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</row>
    <row r="17">
      <c r="A17" s="5" t="n">
        <v>3004</v>
      </c>
      <c r="B17" s="5" t="n">
        <v>1</v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5" t="n">
        <v>3004</v>
      </c>
      <c r="B18" s="5" t="n">
        <v>2</v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5" t="n">
        <v>3004</v>
      </c>
      <c r="B19" s="5" t="n">
        <v>3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5" t="n">
        <v>3004</v>
      </c>
      <c r="B20" s="5" t="n">
        <v>4</v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5" t="n">
        <v>3004</v>
      </c>
      <c r="B21" s="5" t="n">
        <v>5</v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>
      <c r="A22" s="6" t="n">
        <v>3005</v>
      </c>
      <c r="B22" s="6" t="n">
        <v>1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6" t="n">
        <v>3005</v>
      </c>
      <c r="B23" s="6" t="n">
        <v>2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6" t="n">
        <v>3005</v>
      </c>
      <c r="B24" s="6" t="n">
        <v>3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</row>
    <row r="25">
      <c r="A25" s="6" t="n">
        <v>3005</v>
      </c>
      <c r="B25" s="6" t="n">
        <v>4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6" t="n">
        <v>3005</v>
      </c>
      <c r="B26" s="6" t="n">
        <v>5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</row>
    <row r="27">
      <c r="A27" s="5" t="n">
        <v>3006</v>
      </c>
      <c r="B27" s="5" t="n">
        <v>1</v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5" t="n">
        <v>3006</v>
      </c>
      <c r="B28" s="5" t="n">
        <v>2</v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5" t="n">
        <v>3006</v>
      </c>
      <c r="B29" s="5" t="n">
        <v>3</v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>
      <c r="A30" s="5" t="n">
        <v>3006</v>
      </c>
      <c r="B30" s="5" t="n">
        <v>4</v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5" t="n">
        <v>3006</v>
      </c>
      <c r="B31" s="5" t="n">
        <v>5</v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n">
        <v>3007</v>
      </c>
      <c r="B32" s="6" t="n">
        <v>1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</row>
    <row r="33">
      <c r="A33" s="6" t="n">
        <v>3007</v>
      </c>
      <c r="B33" s="6" t="n">
        <v>2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6" t="n">
        <v>3007</v>
      </c>
      <c r="B34" s="6" t="n">
        <v>3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</row>
    <row r="35">
      <c r="A35" s="6" t="n">
        <v>3007</v>
      </c>
      <c r="B35" s="6" t="n">
        <v>4</v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6" t="n">
        <v>3007</v>
      </c>
      <c r="B36" s="6" t="n">
        <v>5</v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</row>
    <row r="37">
      <c r="A37" s="5" t="n">
        <v>3008</v>
      </c>
      <c r="B37" s="5" t="n">
        <v>1</v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5" t="n">
        <v>3008</v>
      </c>
      <c r="B38" s="5" t="n">
        <v>2</v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5" t="n">
        <v>3008</v>
      </c>
      <c r="B39" s="5" t="n">
        <v>3</v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5" t="n">
        <v>3008</v>
      </c>
      <c r="B40" s="5" t="n">
        <v>4</v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5" t="n">
        <v>3008</v>
      </c>
      <c r="B41" s="5" t="n">
        <v>5</v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</row>
    <row r="42">
      <c r="A42" s="6" t="n">
        <v>3009</v>
      </c>
      <c r="B42" s="6" t="n">
        <v>1</v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</row>
    <row r="43">
      <c r="A43" s="6" t="n">
        <v>3009</v>
      </c>
      <c r="B43" s="6" t="n">
        <v>2</v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</row>
    <row r="44">
      <c r="A44" s="6" t="n">
        <v>3009</v>
      </c>
      <c r="B44" s="6" t="n">
        <v>3</v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</row>
    <row r="45">
      <c r="A45" s="6" t="n">
        <v>3009</v>
      </c>
      <c r="B45" s="6" t="n">
        <v>4</v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</row>
    <row r="46">
      <c r="A46" s="6" t="n">
        <v>3009</v>
      </c>
      <c r="B46" s="6" t="n">
        <v>5</v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>
      <c r="A47" s="5" t="n">
        <v>3010</v>
      </c>
      <c r="B47" s="5" t="n">
        <v>1</v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</row>
    <row r="48">
      <c r="A48" s="5" t="n">
        <v>3010</v>
      </c>
      <c r="B48" s="5" t="n">
        <v>2</v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5" t="n">
        <v>3010</v>
      </c>
      <c r="B49" s="5" t="n">
        <v>3</v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5" t="n">
        <v>3010</v>
      </c>
      <c r="B50" s="5" t="n">
        <v>4</v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5" t="n">
        <v>3010</v>
      </c>
      <c r="B51" s="5" t="n">
        <v>5</v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>
      <c r="A52" s="6" t="n">
        <v>3011</v>
      </c>
      <c r="B52" s="6" t="n">
        <v>1</v>
      </c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>
      <c r="A53" s="6" t="n">
        <v>3011</v>
      </c>
      <c r="B53" s="6" t="n">
        <v>2</v>
      </c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>
      <c r="A54" s="6" t="n">
        <v>3011</v>
      </c>
      <c r="B54" s="6" t="n">
        <v>3</v>
      </c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>
      <c r="A55" s="6" t="n">
        <v>3011</v>
      </c>
      <c r="B55" s="6" t="n">
        <v>4</v>
      </c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>
      <c r="A56" s="6" t="n">
        <v>3011</v>
      </c>
      <c r="B56" s="6" t="n">
        <v>5</v>
      </c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5" t="n">
        <v>3012</v>
      </c>
      <c r="B57" s="5" t="n">
        <v>1</v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</row>
    <row r="58">
      <c r="A58" s="5" t="n">
        <v>3012</v>
      </c>
      <c r="B58" s="5" t="n">
        <v>2</v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5" t="n">
        <v>3012</v>
      </c>
      <c r="B59" s="5" t="n">
        <v>3</v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>
      <c r="A60" s="5" t="n">
        <v>3012</v>
      </c>
      <c r="B60" s="5" t="n">
        <v>4</v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5" t="n">
        <v>3012</v>
      </c>
      <c r="B61" s="5" t="n">
        <v>5</v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</row>
    <row r="62">
      <c r="A62" s="6" t="n">
        <v>3013</v>
      </c>
      <c r="B62" s="6" t="n">
        <v>1</v>
      </c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>
      <c r="A63" s="6" t="n">
        <v>3013</v>
      </c>
      <c r="B63" s="6" t="n">
        <v>2</v>
      </c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>
      <c r="A64" s="6" t="n">
        <v>3013</v>
      </c>
      <c r="B64" s="6" t="n">
        <v>3</v>
      </c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  <row r="65">
      <c r="A65" s="6" t="n">
        <v>3013</v>
      </c>
      <c r="B65" s="6" t="n">
        <v>4</v>
      </c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</row>
    <row r="66">
      <c r="A66" s="6" t="n">
        <v>3013</v>
      </c>
      <c r="B66" s="6" t="n">
        <v>5</v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</row>
    <row r="67">
      <c r="A67" s="5" t="n">
        <v>3014</v>
      </c>
      <c r="B67" s="5" t="n">
        <v>1</v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</row>
    <row r="68">
      <c r="A68" s="5" t="n">
        <v>3014</v>
      </c>
      <c r="B68" s="5" t="n">
        <v>2</v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>
      <c r="A69" s="5" t="n">
        <v>3014</v>
      </c>
      <c r="B69" s="5" t="n">
        <v>3</v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</row>
    <row r="70">
      <c r="A70" s="5" t="n">
        <v>3014</v>
      </c>
      <c r="B70" s="5" t="n">
        <v>4</v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>
      <c r="A71" s="5" t="n">
        <v>3014</v>
      </c>
      <c r="B71" s="5" t="n">
        <v>5</v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>
      <c r="A72" s="6" t="n">
        <v>3015</v>
      </c>
      <c r="B72" s="6" t="n">
        <v>1</v>
      </c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</row>
    <row r="73">
      <c r="A73" s="6" t="n">
        <v>3015</v>
      </c>
      <c r="B73" s="6" t="n">
        <v>2</v>
      </c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>
      <c r="A74" s="6" t="n">
        <v>3015</v>
      </c>
      <c r="B74" s="6" t="n">
        <v>3</v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</row>
    <row r="75">
      <c r="A75" s="6" t="n">
        <v>3015</v>
      </c>
      <c r="B75" s="6" t="n">
        <v>4</v>
      </c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>
      <c r="A76" s="6" t="n">
        <v>3015</v>
      </c>
      <c r="B76" s="6" t="n">
        <v>5</v>
      </c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</row>
    <row r="77">
      <c r="A77" s="5" t="n">
        <v>3016</v>
      </c>
      <c r="B77" s="5" t="n">
        <v>1</v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</row>
    <row r="78">
      <c r="A78" s="5" t="n">
        <v>3016</v>
      </c>
      <c r="B78" s="5" t="n">
        <v>2</v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5" t="n">
        <v>3016</v>
      </c>
      <c r="B79" s="5" t="n">
        <v>3</v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</row>
    <row r="80">
      <c r="A80" s="5" t="n">
        <v>3016</v>
      </c>
      <c r="B80" s="5" t="n">
        <v>4</v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5" t="n">
        <v>3016</v>
      </c>
      <c r="B81" s="5" t="n">
        <v>5</v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</row>
    <row r="82">
      <c r="A82" s="6" t="n">
        <v>3017</v>
      </c>
      <c r="B82" s="6" t="n">
        <v>1</v>
      </c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</row>
    <row r="83">
      <c r="A83" s="6" t="n">
        <v>3017</v>
      </c>
      <c r="B83" s="6" t="n">
        <v>2</v>
      </c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>
      <c r="A84" s="6" t="n">
        <v>3017</v>
      </c>
      <c r="B84" s="6" t="n">
        <v>3</v>
      </c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</row>
    <row r="85">
      <c r="A85" s="6" t="n">
        <v>3017</v>
      </c>
      <c r="B85" s="6" t="n">
        <v>4</v>
      </c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>
      <c r="A86" s="6" t="n">
        <v>3017</v>
      </c>
      <c r="B86" s="6" t="n">
        <v>5</v>
      </c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</row>
    <row r="87">
      <c r="A87" s="5" t="n">
        <v>3018</v>
      </c>
      <c r="B87" s="5" t="n">
        <v>1</v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</row>
    <row r="88">
      <c r="A88" s="5" t="n">
        <v>3018</v>
      </c>
      <c r="B88" s="5" t="n">
        <v>2</v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5" t="n">
        <v>3018</v>
      </c>
      <c r="B89" s="5" t="n">
        <v>3</v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</row>
    <row r="90">
      <c r="A90" s="5" t="n">
        <v>3018</v>
      </c>
      <c r="B90" s="5" t="n">
        <v>4</v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5" t="n">
        <v>3018</v>
      </c>
      <c r="B91" s="5" t="n">
        <v>5</v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</row>
    <row r="92">
      <c r="A92" s="6" t="n">
        <v>3019</v>
      </c>
      <c r="B92" s="6" t="n">
        <v>1</v>
      </c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</row>
    <row r="93">
      <c r="A93" s="6" t="n">
        <v>3019</v>
      </c>
      <c r="B93" s="6" t="n">
        <v>2</v>
      </c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</row>
    <row r="94">
      <c r="A94" s="6" t="n">
        <v>3019</v>
      </c>
      <c r="B94" s="6" t="n">
        <v>3</v>
      </c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</row>
    <row r="95">
      <c r="A95" s="6" t="n">
        <v>3019</v>
      </c>
      <c r="B95" s="6" t="n">
        <v>4</v>
      </c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</row>
    <row r="96">
      <c r="A96" s="6" t="n">
        <v>3019</v>
      </c>
      <c r="B96" s="6" t="n">
        <v>5</v>
      </c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</row>
    <row r="97">
      <c r="A97" s="5" t="n">
        <v>3020</v>
      </c>
      <c r="B97" s="5" t="n">
        <v>1</v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</row>
    <row r="98">
      <c r="A98" s="5" t="n">
        <v>3020</v>
      </c>
      <c r="B98" s="5" t="n">
        <v>2</v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5" t="n">
        <v>3020</v>
      </c>
      <c r="B99" s="5" t="n">
        <v>3</v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</row>
    <row r="100">
      <c r="A100" s="5" t="n">
        <v>3020</v>
      </c>
      <c r="B100" s="5" t="n">
        <v>4</v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5" t="n">
        <v>3020</v>
      </c>
      <c r="B101" s="5" t="n">
        <v>5</v>
      </c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  <row r="102">
      <c r="A102" s="6" t="n">
        <v>3021</v>
      </c>
      <c r="B102" s="6" t="n">
        <v>1</v>
      </c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</row>
    <row r="103">
      <c r="A103" s="6" t="n">
        <v>3021</v>
      </c>
      <c r="B103" s="6" t="n">
        <v>2</v>
      </c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</row>
    <row r="104">
      <c r="A104" s="6" t="n">
        <v>3021</v>
      </c>
      <c r="B104" s="6" t="n">
        <v>3</v>
      </c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</row>
    <row r="105">
      <c r="A105" s="6" t="n">
        <v>3021</v>
      </c>
      <c r="B105" s="6" t="n">
        <v>4</v>
      </c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</row>
    <row r="106">
      <c r="A106" s="6" t="n">
        <v>3021</v>
      </c>
      <c r="B106" s="6" t="n">
        <v>5</v>
      </c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</row>
    <row r="107">
      <c r="A107" s="5" t="n">
        <v>3022</v>
      </c>
      <c r="B107" s="5" t="n">
        <v>1</v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</row>
    <row r="108">
      <c r="A108" s="5" t="n">
        <v>3022</v>
      </c>
      <c r="B108" s="5" t="n">
        <v>2</v>
      </c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</row>
    <row r="109">
      <c r="A109" s="5" t="n">
        <v>3022</v>
      </c>
      <c r="B109" s="5" t="n">
        <v>3</v>
      </c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</row>
    <row r="110">
      <c r="A110" s="5" t="n">
        <v>3022</v>
      </c>
      <c r="B110" s="5" t="n">
        <v>4</v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</row>
    <row r="111">
      <c r="A111" s="5" t="n">
        <v>3022</v>
      </c>
      <c r="B111" s="5" t="n">
        <v>5</v>
      </c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</row>
    <row r="112">
      <c r="A112" s="6" t="n">
        <v>3023</v>
      </c>
      <c r="B112" s="6" t="n">
        <v>1</v>
      </c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</row>
    <row r="113">
      <c r="A113" s="6" t="n">
        <v>3023</v>
      </c>
      <c r="B113" s="6" t="n">
        <v>2</v>
      </c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>
      <c r="A114" s="6" t="n">
        <v>3023</v>
      </c>
      <c r="B114" s="6" t="n">
        <v>3</v>
      </c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</row>
    <row r="115">
      <c r="A115" s="6" t="n">
        <v>3023</v>
      </c>
      <c r="B115" s="6" t="n">
        <v>4</v>
      </c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>
      <c r="A116" s="6" t="n">
        <v>3023</v>
      </c>
      <c r="B116" s="6" t="n">
        <v>5</v>
      </c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</row>
    <row r="117">
      <c r="A117" s="5" t="n">
        <v>3024</v>
      </c>
      <c r="B117" s="5" t="n">
        <v>1</v>
      </c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</row>
    <row r="118">
      <c r="A118" s="5" t="n">
        <v>3024</v>
      </c>
      <c r="B118" s="5" t="n">
        <v>2</v>
      </c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</row>
    <row r="119">
      <c r="A119" s="5" t="n">
        <v>3024</v>
      </c>
      <c r="B119" s="5" t="n">
        <v>3</v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</row>
    <row r="120">
      <c r="A120" s="5" t="n">
        <v>3024</v>
      </c>
      <c r="B120" s="5" t="n">
        <v>4</v>
      </c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</row>
    <row r="121">
      <c r="A121" s="5" t="n">
        <v>3024</v>
      </c>
      <c r="B121" s="5" t="n">
        <v>5</v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</row>
    <row r="122">
      <c r="A122" s="6" t="n">
        <v>3025</v>
      </c>
      <c r="B122" s="6" t="n">
        <v>1</v>
      </c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</row>
    <row r="123">
      <c r="A123" s="6" t="n">
        <v>3025</v>
      </c>
      <c r="B123" s="6" t="n">
        <v>2</v>
      </c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>
      <c r="A124" s="6" t="n">
        <v>3025</v>
      </c>
      <c r="B124" s="6" t="n">
        <v>3</v>
      </c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</row>
    <row r="125">
      <c r="A125" s="6" t="n">
        <v>3025</v>
      </c>
      <c r="B125" s="6" t="n">
        <v>4</v>
      </c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>
      <c r="A126" s="6" t="n">
        <v>3025</v>
      </c>
      <c r="B126" s="6" t="n">
        <v>5</v>
      </c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</row>
    <row r="127">
      <c r="A127" s="5" t="n">
        <v>3026</v>
      </c>
      <c r="B127" s="5" t="n">
        <v>1</v>
      </c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</row>
    <row r="128">
      <c r="A128" s="5" t="n">
        <v>3026</v>
      </c>
      <c r="B128" s="5" t="n">
        <v>2</v>
      </c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</row>
    <row r="129">
      <c r="A129" s="5" t="n">
        <v>3026</v>
      </c>
      <c r="B129" s="5" t="n">
        <v>3</v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</row>
    <row r="130">
      <c r="A130" s="5" t="n">
        <v>3026</v>
      </c>
      <c r="B130" s="5" t="n">
        <v>4</v>
      </c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</row>
    <row r="131">
      <c r="A131" s="5" t="n">
        <v>3026</v>
      </c>
      <c r="B131" s="5" t="n">
        <v>5</v>
      </c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</row>
    <row r="132">
      <c r="A132" s="6" t="n">
        <v>3027</v>
      </c>
      <c r="B132" s="6" t="n">
        <v>1</v>
      </c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</row>
    <row r="133">
      <c r="A133" s="6" t="n">
        <v>3027</v>
      </c>
      <c r="B133" s="6" t="n">
        <v>2</v>
      </c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  <row r="134">
      <c r="A134" s="6" t="n">
        <v>3027</v>
      </c>
      <c r="B134" s="6" t="n">
        <v>3</v>
      </c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</row>
    <row r="135">
      <c r="A135" s="6" t="n">
        <v>3027</v>
      </c>
      <c r="B135" s="6" t="n">
        <v>4</v>
      </c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</row>
    <row r="136">
      <c r="A136" s="6" t="n">
        <v>3027</v>
      </c>
      <c r="B136" s="6" t="n">
        <v>5</v>
      </c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</row>
    <row r="137">
      <c r="A137" s="5" t="n">
        <v>3028</v>
      </c>
      <c r="B137" s="5" t="n">
        <v>1</v>
      </c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</row>
    <row r="138">
      <c r="A138" s="5" t="n">
        <v>3028</v>
      </c>
      <c r="B138" s="5" t="n">
        <v>2</v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</row>
    <row r="139">
      <c r="A139" s="5" t="n">
        <v>3028</v>
      </c>
      <c r="B139" s="5" t="n">
        <v>3</v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</row>
    <row r="140">
      <c r="A140" s="5" t="n">
        <v>3028</v>
      </c>
      <c r="B140" s="5" t="n">
        <v>4</v>
      </c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</row>
    <row r="141">
      <c r="A141" s="5" t="n">
        <v>3028</v>
      </c>
      <c r="B141" s="5" t="n">
        <v>5</v>
      </c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</row>
    <row r="142">
      <c r="A142" s="6" t="n">
        <v>3029</v>
      </c>
      <c r="B142" s="6" t="n">
        <v>1</v>
      </c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</row>
    <row r="143">
      <c r="A143" s="6" t="n">
        <v>3029</v>
      </c>
      <c r="B143" s="6" t="n">
        <v>2</v>
      </c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</row>
    <row r="144">
      <c r="A144" s="6" t="n">
        <v>3029</v>
      </c>
      <c r="B144" s="6" t="n">
        <v>3</v>
      </c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</row>
    <row r="145">
      <c r="A145" s="6" t="n">
        <v>3029</v>
      </c>
      <c r="B145" s="6" t="n">
        <v>4</v>
      </c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</row>
    <row r="146">
      <c r="A146" s="6" t="n">
        <v>3029</v>
      </c>
      <c r="B146" s="6" t="n">
        <v>5</v>
      </c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</row>
    <row r="147">
      <c r="A147" s="5" t="n">
        <v>3030</v>
      </c>
      <c r="B147" s="5" t="n">
        <v>1</v>
      </c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</row>
    <row r="148">
      <c r="A148" s="5" t="n">
        <v>3030</v>
      </c>
      <c r="B148" s="5" t="n">
        <v>2</v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</row>
    <row r="149">
      <c r="A149" s="5" t="n">
        <v>3030</v>
      </c>
      <c r="B149" s="5" t="n">
        <v>3</v>
      </c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</row>
    <row r="150">
      <c r="A150" s="5" t="n">
        <v>3030</v>
      </c>
      <c r="B150" s="5" t="n">
        <v>4</v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</row>
    <row r="151">
      <c r="A151" s="5" t="n">
        <v>3030</v>
      </c>
      <c r="B151" s="5" t="n">
        <v>5</v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</row>
    <row r="152">
      <c r="A152" s="6" t="n">
        <v>3031</v>
      </c>
      <c r="B152" s="6" t="n">
        <v>1</v>
      </c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</row>
    <row r="153">
      <c r="A153" s="6" t="n">
        <v>3031</v>
      </c>
      <c r="B153" s="6" t="n">
        <v>2</v>
      </c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</row>
    <row r="154">
      <c r="A154" s="6" t="n">
        <v>3031</v>
      </c>
      <c r="B154" s="6" t="n">
        <v>3</v>
      </c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</row>
    <row r="155">
      <c r="A155" s="6" t="n">
        <v>3031</v>
      </c>
      <c r="B155" s="6" t="n">
        <v>4</v>
      </c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</row>
    <row r="156">
      <c r="A156" s="6" t="n">
        <v>3031</v>
      </c>
      <c r="B156" s="6" t="n">
        <v>5</v>
      </c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</row>
    <row r="157">
      <c r="A157" s="5" t="n">
        <v>3032</v>
      </c>
      <c r="B157" s="5" t="n">
        <v>1</v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</row>
    <row r="158">
      <c r="A158" s="5" t="n">
        <v>3032</v>
      </c>
      <c r="B158" s="5" t="n">
        <v>2</v>
      </c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</row>
    <row r="159">
      <c r="A159" s="5" t="n">
        <v>3032</v>
      </c>
      <c r="B159" s="5" t="n">
        <v>3</v>
      </c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</row>
    <row r="160">
      <c r="A160" s="5" t="n">
        <v>3032</v>
      </c>
      <c r="B160" s="5" t="n">
        <v>4</v>
      </c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</row>
    <row r="161">
      <c r="A161" s="5" t="n">
        <v>3032</v>
      </c>
      <c r="B161" s="5" t="n">
        <v>5</v>
      </c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</row>
    <row r="162">
      <c r="A162" s="6" t="n">
        <v>3033</v>
      </c>
      <c r="B162" s="6" t="n">
        <v>1</v>
      </c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</row>
    <row r="163">
      <c r="A163" s="6" t="n">
        <v>3033</v>
      </c>
      <c r="B163" s="6" t="n">
        <v>2</v>
      </c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</row>
    <row r="164">
      <c r="A164" s="6" t="n">
        <v>3033</v>
      </c>
      <c r="B164" s="6" t="n">
        <v>3</v>
      </c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</row>
    <row r="165">
      <c r="A165" s="6" t="n">
        <v>3033</v>
      </c>
      <c r="B165" s="6" t="n">
        <v>4</v>
      </c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</row>
    <row r="166">
      <c r="A166" s="6" t="n">
        <v>3033</v>
      </c>
      <c r="B166" s="6" t="n">
        <v>5</v>
      </c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</row>
    <row r="167">
      <c r="A167" s="5" t="n">
        <v>3034</v>
      </c>
      <c r="B167" s="5" t="n">
        <v>1</v>
      </c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</row>
    <row r="168">
      <c r="A168" s="5" t="n">
        <v>3034</v>
      </c>
      <c r="B168" s="5" t="n">
        <v>2</v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</row>
    <row r="169">
      <c r="A169" s="5" t="n">
        <v>3034</v>
      </c>
      <c r="B169" s="5" t="n">
        <v>3</v>
      </c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</row>
    <row r="170">
      <c r="A170" s="5" t="n">
        <v>3034</v>
      </c>
      <c r="B170" s="5" t="n">
        <v>4</v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</row>
    <row r="171">
      <c r="A171" s="5" t="n">
        <v>3034</v>
      </c>
      <c r="B171" s="5" t="n">
        <v>5</v>
      </c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</row>
    <row r="172">
      <c r="A172" s="6" t="n">
        <v>3035</v>
      </c>
      <c r="B172" s="6" t="n">
        <v>1</v>
      </c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</row>
    <row r="173">
      <c r="A173" s="6" t="n">
        <v>3035</v>
      </c>
      <c r="B173" s="6" t="n">
        <v>2</v>
      </c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</row>
    <row r="174">
      <c r="A174" s="6" t="n">
        <v>3035</v>
      </c>
      <c r="B174" s="6" t="n">
        <v>3</v>
      </c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</row>
    <row r="175">
      <c r="A175" s="6" t="n">
        <v>3035</v>
      </c>
      <c r="B175" s="6" t="n">
        <v>4</v>
      </c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</row>
    <row r="176">
      <c r="A176" s="6" t="n">
        <v>3035</v>
      </c>
      <c r="B176" s="6" t="n">
        <v>5</v>
      </c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</row>
    <row r="177">
      <c r="A177" s="5" t="n">
        <v>3036</v>
      </c>
      <c r="B177" s="5" t="n">
        <v>1</v>
      </c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</row>
    <row r="178">
      <c r="A178" s="5" t="n">
        <v>3036</v>
      </c>
      <c r="B178" s="5" t="n">
        <v>2</v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</row>
    <row r="179">
      <c r="A179" s="5" t="n">
        <v>3036</v>
      </c>
      <c r="B179" s="5" t="n">
        <v>3</v>
      </c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</row>
    <row r="180">
      <c r="A180" s="5" t="n">
        <v>3036</v>
      </c>
      <c r="B180" s="5" t="n">
        <v>4</v>
      </c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</row>
    <row r="181">
      <c r="A181" s="5" t="n">
        <v>3036</v>
      </c>
      <c r="B181" s="5" t="n">
        <v>5</v>
      </c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</row>
    <row r="182">
      <c r="A182" s="6" t="n">
        <v>3037</v>
      </c>
      <c r="B182" s="6" t="n">
        <v>1</v>
      </c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</row>
    <row r="183">
      <c r="A183" s="6" t="n">
        <v>3037</v>
      </c>
      <c r="B183" s="6" t="n">
        <v>2</v>
      </c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</row>
    <row r="184">
      <c r="A184" s="6" t="n">
        <v>3037</v>
      </c>
      <c r="B184" s="6" t="n">
        <v>3</v>
      </c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</row>
    <row r="185">
      <c r="A185" s="6" t="n">
        <v>3037</v>
      </c>
      <c r="B185" s="6" t="n">
        <v>4</v>
      </c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</row>
    <row r="186">
      <c r="A186" s="6" t="n">
        <v>3037</v>
      </c>
      <c r="B186" s="6" t="n">
        <v>5</v>
      </c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</row>
    <row r="187">
      <c r="A187" s="5" t="n">
        <v>3038</v>
      </c>
      <c r="B187" s="5" t="n">
        <v>1</v>
      </c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</row>
    <row r="188">
      <c r="A188" s="5" t="n">
        <v>3038</v>
      </c>
      <c r="B188" s="5" t="n">
        <v>2</v>
      </c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</row>
    <row r="189">
      <c r="A189" s="5" t="n">
        <v>3038</v>
      </c>
      <c r="B189" s="5" t="n">
        <v>3</v>
      </c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</row>
    <row r="190">
      <c r="A190" s="5" t="n">
        <v>3038</v>
      </c>
      <c r="B190" s="5" t="n">
        <v>4</v>
      </c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</row>
    <row r="191">
      <c r="A191" s="5" t="n">
        <v>3038</v>
      </c>
      <c r="B191" s="5" t="n">
        <v>5</v>
      </c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</row>
    <row r="192">
      <c r="A192" s="6" t="n">
        <v>3039</v>
      </c>
      <c r="B192" s="6" t="n">
        <v>1</v>
      </c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</row>
    <row r="193">
      <c r="A193" s="6" t="n">
        <v>3039</v>
      </c>
      <c r="B193" s="6" t="n">
        <v>2</v>
      </c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</row>
    <row r="194">
      <c r="A194" s="6" t="n">
        <v>3039</v>
      </c>
      <c r="B194" s="6" t="n">
        <v>3</v>
      </c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</row>
    <row r="195">
      <c r="A195" s="6" t="n">
        <v>3039</v>
      </c>
      <c r="B195" s="6" t="n">
        <v>4</v>
      </c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</row>
    <row r="196">
      <c r="A196" s="6" t="n">
        <v>3039</v>
      </c>
      <c r="B196" s="6" t="n">
        <v>5</v>
      </c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</row>
    <row r="197">
      <c r="A197" s="5" t="n">
        <v>3040</v>
      </c>
      <c r="B197" s="5" t="n">
        <v>1</v>
      </c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</row>
    <row r="198">
      <c r="A198" s="5" t="n">
        <v>3040</v>
      </c>
      <c r="B198" s="5" t="n">
        <v>2</v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</row>
    <row r="199">
      <c r="A199" s="5" t="n">
        <v>3040</v>
      </c>
      <c r="B199" s="5" t="n">
        <v>3</v>
      </c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</row>
    <row r="200">
      <c r="A200" s="5" t="n">
        <v>3040</v>
      </c>
      <c r="B200" s="5" t="n">
        <v>4</v>
      </c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</row>
    <row r="201">
      <c r="A201" s="5" t="n">
        <v>3040</v>
      </c>
      <c r="B201" s="5" t="n">
        <v>5</v>
      </c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</row>
    <row r="202">
      <c r="A202" s="6" t="n">
        <v>3041</v>
      </c>
      <c r="B202" s="6" t="n">
        <v>1</v>
      </c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</row>
    <row r="203">
      <c r="A203" s="6" t="n">
        <v>3041</v>
      </c>
      <c r="B203" s="6" t="n">
        <v>2</v>
      </c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</row>
    <row r="204">
      <c r="A204" s="6" t="n">
        <v>3041</v>
      </c>
      <c r="B204" s="6" t="n">
        <v>3</v>
      </c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</row>
    <row r="205">
      <c r="A205" s="6" t="n">
        <v>3041</v>
      </c>
      <c r="B205" s="6" t="n">
        <v>4</v>
      </c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</row>
    <row r="206">
      <c r="A206" s="6" t="n">
        <v>3041</v>
      </c>
      <c r="B206" s="6" t="n">
        <v>5</v>
      </c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</row>
    <row r="207">
      <c r="A207" s="5" t="n">
        <v>3042</v>
      </c>
      <c r="B207" s="5" t="n">
        <v>1</v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</row>
    <row r="208">
      <c r="A208" s="5" t="n">
        <v>3042</v>
      </c>
      <c r="B208" s="5" t="n">
        <v>2</v>
      </c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</row>
    <row r="209">
      <c r="A209" s="5" t="n">
        <v>3042</v>
      </c>
      <c r="B209" s="5" t="n">
        <v>3</v>
      </c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</row>
    <row r="210">
      <c r="A210" s="5" t="n">
        <v>3042</v>
      </c>
      <c r="B210" s="5" t="n">
        <v>4</v>
      </c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</row>
    <row r="211">
      <c r="A211" s="5" t="n">
        <v>3042</v>
      </c>
      <c r="B211" s="5" t="n">
        <v>5</v>
      </c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</row>
    <row r="212">
      <c r="A212" s="6" t="n">
        <v>3043</v>
      </c>
      <c r="B212" s="6" t="n">
        <v>1</v>
      </c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</row>
    <row r="213">
      <c r="A213" s="6" t="n">
        <v>3043</v>
      </c>
      <c r="B213" s="6" t="n">
        <v>2</v>
      </c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</row>
    <row r="214">
      <c r="A214" s="6" t="n">
        <v>3043</v>
      </c>
      <c r="B214" s="6" t="n">
        <v>3</v>
      </c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</row>
    <row r="215">
      <c r="A215" s="6" t="n">
        <v>3043</v>
      </c>
      <c r="B215" s="6" t="n">
        <v>4</v>
      </c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</row>
    <row r="216">
      <c r="A216" s="6" t="n">
        <v>3043</v>
      </c>
      <c r="B216" s="6" t="n">
        <v>5</v>
      </c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</row>
    <row r="217">
      <c r="A217" s="5" t="n">
        <v>3044</v>
      </c>
      <c r="B217" s="5" t="n">
        <v>1</v>
      </c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</row>
    <row r="218">
      <c r="A218" s="5" t="n">
        <v>3044</v>
      </c>
      <c r="B218" s="5" t="n">
        <v>2</v>
      </c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</row>
    <row r="219">
      <c r="A219" s="5" t="n">
        <v>3044</v>
      </c>
      <c r="B219" s="5" t="n">
        <v>3</v>
      </c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</row>
    <row r="220">
      <c r="A220" s="5" t="n">
        <v>3044</v>
      </c>
      <c r="B220" s="5" t="n">
        <v>4</v>
      </c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</row>
    <row r="221">
      <c r="A221" s="5" t="n">
        <v>3044</v>
      </c>
      <c r="B221" s="5" t="n">
        <v>5</v>
      </c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</row>
    <row r="222">
      <c r="A222" s="6" t="n">
        <v>3045</v>
      </c>
      <c r="B222" s="6" t="n">
        <v>1</v>
      </c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</row>
    <row r="223">
      <c r="A223" s="6" t="n">
        <v>3045</v>
      </c>
      <c r="B223" s="6" t="n">
        <v>2</v>
      </c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</row>
    <row r="224">
      <c r="A224" s="6" t="n">
        <v>3045</v>
      </c>
      <c r="B224" s="6" t="n">
        <v>3</v>
      </c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</row>
    <row r="225">
      <c r="A225" s="6" t="n">
        <v>3045</v>
      </c>
      <c r="B225" s="6" t="n">
        <v>4</v>
      </c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</row>
    <row r="226">
      <c r="A226" s="6" t="n">
        <v>3045</v>
      </c>
      <c r="B226" s="6" t="n">
        <v>5</v>
      </c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</row>
    <row r="227">
      <c r="A227" s="5" t="n">
        <v>3046</v>
      </c>
      <c r="B227" s="5" t="n">
        <v>1</v>
      </c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</row>
    <row r="228">
      <c r="A228" s="5" t="n">
        <v>3046</v>
      </c>
      <c r="B228" s="5" t="n">
        <v>2</v>
      </c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</row>
    <row r="229">
      <c r="A229" s="5" t="n">
        <v>3046</v>
      </c>
      <c r="B229" s="5" t="n">
        <v>3</v>
      </c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</row>
    <row r="230">
      <c r="A230" s="5" t="n">
        <v>3046</v>
      </c>
      <c r="B230" s="5" t="n">
        <v>4</v>
      </c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</row>
    <row r="231">
      <c r="A231" s="5" t="n">
        <v>3046</v>
      </c>
      <c r="B231" s="5" t="n">
        <v>5</v>
      </c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</row>
    <row r="232">
      <c r="A232" s="6" t="n">
        <v>3047</v>
      </c>
      <c r="B232" s="6" t="n">
        <v>1</v>
      </c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</row>
    <row r="233">
      <c r="A233" s="6" t="n">
        <v>3047</v>
      </c>
      <c r="B233" s="6" t="n">
        <v>2</v>
      </c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</row>
    <row r="234">
      <c r="A234" s="6" t="n">
        <v>3047</v>
      </c>
      <c r="B234" s="6" t="n">
        <v>3</v>
      </c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</row>
    <row r="235">
      <c r="A235" s="6" t="n">
        <v>3047</v>
      </c>
      <c r="B235" s="6" t="n">
        <v>4</v>
      </c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</row>
    <row r="236">
      <c r="A236" s="6" t="n">
        <v>3047</v>
      </c>
      <c r="B236" s="6" t="n">
        <v>5</v>
      </c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</row>
    <row r="237">
      <c r="A237" s="5" t="n">
        <v>3048</v>
      </c>
      <c r="B237" s="5" t="n">
        <v>1</v>
      </c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</row>
    <row r="238">
      <c r="A238" s="5" t="n">
        <v>3048</v>
      </c>
      <c r="B238" s="5" t="n">
        <v>2</v>
      </c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</row>
    <row r="239">
      <c r="A239" s="5" t="n">
        <v>3048</v>
      </c>
      <c r="B239" s="5" t="n">
        <v>3</v>
      </c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</row>
    <row r="240">
      <c r="A240" s="5" t="n">
        <v>3048</v>
      </c>
      <c r="B240" s="5" t="n">
        <v>4</v>
      </c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</row>
    <row r="241">
      <c r="A241" s="5" t="n">
        <v>3048</v>
      </c>
      <c r="B241" s="5" t="n">
        <v>5</v>
      </c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</row>
    <row r="242">
      <c r="A242" s="6" t="n">
        <v>3049</v>
      </c>
      <c r="B242" s="6" t="n">
        <v>1</v>
      </c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</row>
    <row r="243">
      <c r="A243" s="6" t="n">
        <v>3049</v>
      </c>
      <c r="B243" s="6" t="n">
        <v>2</v>
      </c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</row>
    <row r="244">
      <c r="A244" s="6" t="n">
        <v>3049</v>
      </c>
      <c r="B244" s="6" t="n">
        <v>3</v>
      </c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</row>
    <row r="245">
      <c r="A245" s="6" t="n">
        <v>3049</v>
      </c>
      <c r="B245" s="6" t="n">
        <v>4</v>
      </c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</row>
    <row r="246">
      <c r="A246" s="6" t="n">
        <v>3049</v>
      </c>
      <c r="B246" s="6" t="n">
        <v>5</v>
      </c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</row>
    <row r="247">
      <c r="A247" s="5" t="n">
        <v>3050</v>
      </c>
      <c r="B247" s="5" t="n">
        <v>1</v>
      </c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</row>
    <row r="248">
      <c r="A248" s="5" t="n">
        <v>3050</v>
      </c>
      <c r="B248" s="5" t="n">
        <v>2</v>
      </c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</row>
    <row r="249">
      <c r="A249" s="5" t="n">
        <v>3050</v>
      </c>
      <c r="B249" s="5" t="n">
        <v>3</v>
      </c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</row>
    <row r="250">
      <c r="A250" s="5" t="n">
        <v>3050</v>
      </c>
      <c r="B250" s="5" t="n">
        <v>4</v>
      </c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</row>
    <row r="251">
      <c r="A251" s="5" t="n">
        <v>3050</v>
      </c>
      <c r="B251" s="5" t="n">
        <v>5</v>
      </c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</row>
    <row r="252">
      <c r="A252" s="6" t="n">
        <v>3051</v>
      </c>
      <c r="B252" s="6" t="n">
        <v>1</v>
      </c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</row>
    <row r="253">
      <c r="A253" s="6" t="n">
        <v>3051</v>
      </c>
      <c r="B253" s="6" t="n">
        <v>2</v>
      </c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</row>
    <row r="254">
      <c r="A254" s="6" t="n">
        <v>3051</v>
      </c>
      <c r="B254" s="6" t="n">
        <v>3</v>
      </c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</row>
    <row r="255">
      <c r="A255" s="6" t="n">
        <v>3051</v>
      </c>
      <c r="B255" s="6" t="n">
        <v>4</v>
      </c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</row>
    <row r="256">
      <c r="A256" s="6" t="n">
        <v>3051</v>
      </c>
      <c r="B256" s="6" t="n">
        <v>5</v>
      </c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</row>
    <row r="257">
      <c r="A257" s="5" t="n">
        <v>3052</v>
      </c>
      <c r="B257" s="5" t="n">
        <v>1</v>
      </c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</row>
    <row r="258">
      <c r="A258" s="5" t="n">
        <v>3052</v>
      </c>
      <c r="B258" s="5" t="n">
        <v>2</v>
      </c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</row>
    <row r="259">
      <c r="A259" s="5" t="n">
        <v>3052</v>
      </c>
      <c r="B259" s="5" t="n">
        <v>3</v>
      </c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</row>
    <row r="260">
      <c r="A260" s="5" t="n">
        <v>3052</v>
      </c>
      <c r="B260" s="5" t="n">
        <v>4</v>
      </c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</row>
    <row r="261">
      <c r="A261" s="5" t="n">
        <v>3052</v>
      </c>
      <c r="B261" s="5" t="n">
        <v>5</v>
      </c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</row>
    <row r="262">
      <c r="A262" s="6" t="n">
        <v>3053</v>
      </c>
      <c r="B262" s="6" t="n">
        <v>1</v>
      </c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</row>
    <row r="263">
      <c r="A263" s="6" t="n">
        <v>3053</v>
      </c>
      <c r="B263" s="6" t="n">
        <v>2</v>
      </c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</row>
    <row r="264">
      <c r="A264" s="6" t="n">
        <v>3053</v>
      </c>
      <c r="B264" s="6" t="n">
        <v>3</v>
      </c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</row>
    <row r="265">
      <c r="A265" s="6" t="n">
        <v>3053</v>
      </c>
      <c r="B265" s="6" t="n">
        <v>4</v>
      </c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</row>
    <row r="266">
      <c r="A266" s="6" t="n">
        <v>3053</v>
      </c>
      <c r="B266" s="6" t="n">
        <v>5</v>
      </c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</row>
    <row r="267">
      <c r="A267" s="5" t="n">
        <v>3054</v>
      </c>
      <c r="B267" s="5" t="n">
        <v>1</v>
      </c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</row>
    <row r="268">
      <c r="A268" s="5" t="n">
        <v>3054</v>
      </c>
      <c r="B268" s="5" t="n">
        <v>2</v>
      </c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</row>
    <row r="269">
      <c r="A269" s="5" t="n">
        <v>3054</v>
      </c>
      <c r="B269" s="5" t="n">
        <v>3</v>
      </c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</row>
    <row r="270">
      <c r="A270" s="5" t="n">
        <v>3054</v>
      </c>
      <c r="B270" s="5" t="n">
        <v>4</v>
      </c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</row>
    <row r="271">
      <c r="A271" s="5" t="n">
        <v>3054</v>
      </c>
      <c r="B271" s="5" t="n">
        <v>5</v>
      </c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</row>
    <row r="272">
      <c r="A272" s="6" t="n">
        <v>3055</v>
      </c>
      <c r="B272" s="6" t="n">
        <v>1</v>
      </c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</row>
    <row r="273">
      <c r="A273" s="6" t="n">
        <v>3055</v>
      </c>
      <c r="B273" s="6" t="n">
        <v>2</v>
      </c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</row>
    <row r="274">
      <c r="A274" s="6" t="n">
        <v>3055</v>
      </c>
      <c r="B274" s="6" t="n">
        <v>3</v>
      </c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</row>
    <row r="275">
      <c r="A275" s="6" t="n">
        <v>3055</v>
      </c>
      <c r="B275" s="6" t="n">
        <v>4</v>
      </c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</row>
    <row r="276">
      <c r="A276" s="6" t="n">
        <v>3055</v>
      </c>
      <c r="B276" s="6" t="n">
        <v>5</v>
      </c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</row>
    <row r="277">
      <c r="A277" s="5" t="n">
        <v>3056</v>
      </c>
      <c r="B277" s="5" t="n">
        <v>1</v>
      </c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</row>
    <row r="278">
      <c r="A278" s="5" t="n">
        <v>3056</v>
      </c>
      <c r="B278" s="5" t="n">
        <v>2</v>
      </c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</row>
    <row r="279">
      <c r="A279" s="5" t="n">
        <v>3056</v>
      </c>
      <c r="B279" s="5" t="n">
        <v>3</v>
      </c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</row>
    <row r="280">
      <c r="A280" s="5" t="n">
        <v>3056</v>
      </c>
      <c r="B280" s="5" t="n">
        <v>4</v>
      </c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</row>
    <row r="281">
      <c r="A281" s="5" t="n">
        <v>3056</v>
      </c>
      <c r="B281" s="5" t="n">
        <v>5</v>
      </c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</row>
    <row r="282">
      <c r="A282" s="6" t="n">
        <v>3057</v>
      </c>
      <c r="B282" s="6" t="n">
        <v>1</v>
      </c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</row>
    <row r="283">
      <c r="A283" s="6" t="n">
        <v>3057</v>
      </c>
      <c r="B283" s="6" t="n">
        <v>2</v>
      </c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</row>
    <row r="284">
      <c r="A284" s="6" t="n">
        <v>3057</v>
      </c>
      <c r="B284" s="6" t="n">
        <v>3</v>
      </c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</row>
    <row r="285">
      <c r="A285" s="6" t="n">
        <v>3057</v>
      </c>
      <c r="B285" s="6" t="n">
        <v>4</v>
      </c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</row>
    <row r="286">
      <c r="A286" s="6" t="n">
        <v>3057</v>
      </c>
      <c r="B286" s="6" t="n">
        <v>5</v>
      </c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</row>
    <row r="287">
      <c r="A287" s="5" t="n">
        <v>3058</v>
      </c>
      <c r="B287" s="5" t="n">
        <v>1</v>
      </c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</row>
    <row r="288">
      <c r="A288" s="5" t="n">
        <v>3058</v>
      </c>
      <c r="B288" s="5" t="n">
        <v>2</v>
      </c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</row>
    <row r="289">
      <c r="A289" s="5" t="n">
        <v>3058</v>
      </c>
      <c r="B289" s="5" t="n">
        <v>3</v>
      </c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</row>
    <row r="290">
      <c r="A290" s="5" t="n">
        <v>3058</v>
      </c>
      <c r="B290" s="5" t="n">
        <v>4</v>
      </c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</row>
    <row r="291">
      <c r="A291" s="5" t="n">
        <v>3058</v>
      </c>
      <c r="B291" s="5" t="n">
        <v>5</v>
      </c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</row>
    <row r="292">
      <c r="A292" s="6" t="n">
        <v>3059</v>
      </c>
      <c r="B292" s="6" t="n">
        <v>1</v>
      </c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</row>
    <row r="293">
      <c r="A293" s="6" t="n">
        <v>3059</v>
      </c>
      <c r="B293" s="6" t="n">
        <v>2</v>
      </c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</row>
    <row r="294">
      <c r="A294" s="6" t="n">
        <v>3059</v>
      </c>
      <c r="B294" s="6" t="n">
        <v>3</v>
      </c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</row>
    <row r="295">
      <c r="A295" s="6" t="n">
        <v>3059</v>
      </c>
      <c r="B295" s="6" t="n">
        <v>4</v>
      </c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</row>
    <row r="296">
      <c r="A296" s="6" t="n">
        <v>3059</v>
      </c>
      <c r="B296" s="6" t="n">
        <v>5</v>
      </c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</row>
    <row r="297">
      <c r="A297" s="5" t="n">
        <v>3060</v>
      </c>
      <c r="B297" s="5" t="n">
        <v>1</v>
      </c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</row>
    <row r="298">
      <c r="A298" s="5" t="n">
        <v>3060</v>
      </c>
      <c r="B298" s="5" t="n">
        <v>2</v>
      </c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</row>
    <row r="299">
      <c r="A299" s="5" t="n">
        <v>3060</v>
      </c>
      <c r="B299" s="5" t="n">
        <v>3</v>
      </c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</row>
    <row r="300">
      <c r="A300" s="5" t="n">
        <v>3060</v>
      </c>
      <c r="B300" s="5" t="n">
        <v>4</v>
      </c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</row>
    <row r="301">
      <c r="A301" s="5" t="n">
        <v>3060</v>
      </c>
      <c r="B301" s="5" t="n">
        <v>5</v>
      </c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</row>
    <row r="302">
      <c r="A302" s="6" t="n">
        <v>3061</v>
      </c>
      <c r="B302" s="6" t="n">
        <v>1</v>
      </c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</row>
    <row r="303">
      <c r="A303" s="6" t="n">
        <v>3061</v>
      </c>
      <c r="B303" s="6" t="n">
        <v>2</v>
      </c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</row>
    <row r="304">
      <c r="A304" s="6" t="n">
        <v>3061</v>
      </c>
      <c r="B304" s="6" t="n">
        <v>3</v>
      </c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</row>
    <row r="305">
      <c r="A305" s="6" t="n">
        <v>3061</v>
      </c>
      <c r="B305" s="6" t="n">
        <v>4</v>
      </c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</row>
    <row r="306">
      <c r="A306" s="6" t="n">
        <v>3061</v>
      </c>
      <c r="B306" s="6" t="n">
        <v>5</v>
      </c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</row>
    <row r="307">
      <c r="A307" s="5" t="n">
        <v>3062</v>
      </c>
      <c r="B307" s="5" t="n">
        <v>1</v>
      </c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</row>
    <row r="308">
      <c r="A308" s="5" t="n">
        <v>3062</v>
      </c>
      <c r="B308" s="5" t="n">
        <v>2</v>
      </c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</row>
    <row r="309">
      <c r="A309" s="5" t="n">
        <v>3062</v>
      </c>
      <c r="B309" s="5" t="n">
        <v>3</v>
      </c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</row>
    <row r="310">
      <c r="A310" s="5" t="n">
        <v>3062</v>
      </c>
      <c r="B310" s="5" t="n">
        <v>4</v>
      </c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</row>
    <row r="311">
      <c r="A311" s="5" t="n">
        <v>3062</v>
      </c>
      <c r="B311" s="5" t="n">
        <v>5</v>
      </c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</row>
    <row r="312">
      <c r="A312" s="6" t="n">
        <v>3063</v>
      </c>
      <c r="B312" s="6" t="n">
        <v>1</v>
      </c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</row>
    <row r="313">
      <c r="A313" s="6" t="n">
        <v>3063</v>
      </c>
      <c r="B313" s="6" t="n">
        <v>2</v>
      </c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</row>
    <row r="314">
      <c r="A314" s="6" t="n">
        <v>3063</v>
      </c>
      <c r="B314" s="6" t="n">
        <v>3</v>
      </c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</row>
    <row r="315">
      <c r="A315" s="6" t="n">
        <v>3063</v>
      </c>
      <c r="B315" s="6" t="n">
        <v>4</v>
      </c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</row>
    <row r="316">
      <c r="A316" s="6" t="n">
        <v>3063</v>
      </c>
      <c r="B316" s="6" t="n">
        <v>5</v>
      </c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</row>
    <row r="317">
      <c r="A317" s="5" t="n">
        <v>3064</v>
      </c>
      <c r="B317" s="5" t="n">
        <v>1</v>
      </c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</row>
    <row r="318">
      <c r="A318" s="5" t="n">
        <v>3064</v>
      </c>
      <c r="B318" s="5" t="n">
        <v>2</v>
      </c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</row>
    <row r="319">
      <c r="A319" s="5" t="n">
        <v>3064</v>
      </c>
      <c r="B319" s="5" t="n">
        <v>3</v>
      </c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</row>
    <row r="320">
      <c r="A320" s="5" t="n">
        <v>3064</v>
      </c>
      <c r="B320" s="5" t="n">
        <v>4</v>
      </c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</row>
    <row r="321">
      <c r="A321" s="5" t="n">
        <v>3064</v>
      </c>
      <c r="B321" s="5" t="n">
        <v>5</v>
      </c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</row>
    <row r="322">
      <c r="A322" s="6" t="n">
        <v>3065</v>
      </c>
      <c r="B322" s="6" t="n">
        <v>1</v>
      </c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</row>
    <row r="323">
      <c r="A323" s="6" t="n">
        <v>3065</v>
      </c>
      <c r="B323" s="6" t="n">
        <v>2</v>
      </c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</row>
    <row r="324">
      <c r="A324" s="6" t="n">
        <v>3065</v>
      </c>
      <c r="B324" s="6" t="n">
        <v>3</v>
      </c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</row>
    <row r="325">
      <c r="A325" s="6" t="n">
        <v>3065</v>
      </c>
      <c r="B325" s="6" t="n">
        <v>4</v>
      </c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</row>
    <row r="326">
      <c r="A326" s="6" t="n">
        <v>3065</v>
      </c>
      <c r="B326" s="6" t="n">
        <v>5</v>
      </c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</row>
    <row r="327">
      <c r="A327" s="5" t="n">
        <v>3066</v>
      </c>
      <c r="B327" s="5" t="n">
        <v>1</v>
      </c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</row>
    <row r="328">
      <c r="A328" s="5" t="n">
        <v>3066</v>
      </c>
      <c r="B328" s="5" t="n">
        <v>2</v>
      </c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</row>
    <row r="329">
      <c r="A329" s="5" t="n">
        <v>3066</v>
      </c>
      <c r="B329" s="5" t="n">
        <v>3</v>
      </c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</row>
    <row r="330">
      <c r="A330" s="5" t="n">
        <v>3066</v>
      </c>
      <c r="B330" s="5" t="n">
        <v>4</v>
      </c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</row>
    <row r="331">
      <c r="A331" s="5" t="n">
        <v>3066</v>
      </c>
      <c r="B331" s="5" t="n">
        <v>5</v>
      </c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</row>
    <row r="332">
      <c r="A332" s="6" t="n">
        <v>3067</v>
      </c>
      <c r="B332" s="6" t="n">
        <v>1</v>
      </c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</row>
    <row r="333">
      <c r="A333" s="6" t="n">
        <v>3067</v>
      </c>
      <c r="B333" s="6" t="n">
        <v>2</v>
      </c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</row>
    <row r="334">
      <c r="A334" s="6" t="n">
        <v>3067</v>
      </c>
      <c r="B334" s="6" t="n">
        <v>3</v>
      </c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</row>
    <row r="335">
      <c r="A335" s="6" t="n">
        <v>3067</v>
      </c>
      <c r="B335" s="6" t="n">
        <v>4</v>
      </c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</row>
    <row r="336">
      <c r="A336" s="6" t="n">
        <v>3067</v>
      </c>
      <c r="B336" s="6" t="n">
        <v>5</v>
      </c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</row>
    <row r="337">
      <c r="A337" s="5" t="n">
        <v>3068</v>
      </c>
      <c r="B337" s="5" t="n">
        <v>1</v>
      </c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</row>
    <row r="338">
      <c r="A338" s="5" t="n">
        <v>3068</v>
      </c>
      <c r="B338" s="5" t="n">
        <v>2</v>
      </c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</row>
    <row r="339">
      <c r="A339" s="5" t="n">
        <v>3068</v>
      </c>
      <c r="B339" s="5" t="n">
        <v>3</v>
      </c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</row>
    <row r="340">
      <c r="A340" s="5" t="n">
        <v>3068</v>
      </c>
      <c r="B340" s="5" t="n">
        <v>4</v>
      </c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</row>
    <row r="341">
      <c r="A341" s="5" t="n">
        <v>3068</v>
      </c>
      <c r="B341" s="5" t="n">
        <v>5</v>
      </c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</row>
    <row r="342">
      <c r="A342" s="6" t="n">
        <v>3069</v>
      </c>
      <c r="B342" s="6" t="n">
        <v>1</v>
      </c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</row>
    <row r="343">
      <c r="A343" s="6" t="n">
        <v>3069</v>
      </c>
      <c r="B343" s="6" t="n">
        <v>2</v>
      </c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</row>
    <row r="344">
      <c r="A344" s="6" t="n">
        <v>3069</v>
      </c>
      <c r="B344" s="6" t="n">
        <v>3</v>
      </c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</row>
    <row r="345">
      <c r="A345" s="6" t="n">
        <v>3069</v>
      </c>
      <c r="B345" s="6" t="n">
        <v>4</v>
      </c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</row>
    <row r="346">
      <c r="A346" s="6" t="n">
        <v>3069</v>
      </c>
      <c r="B346" s="6" t="n">
        <v>5</v>
      </c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</row>
    <row r="347">
      <c r="A347" s="5" t="n">
        <v>3070</v>
      </c>
      <c r="B347" s="5" t="n">
        <v>1</v>
      </c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</row>
    <row r="348">
      <c r="A348" s="5" t="n">
        <v>3070</v>
      </c>
      <c r="B348" s="5" t="n">
        <v>2</v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</row>
    <row r="349">
      <c r="A349" s="5" t="n">
        <v>3070</v>
      </c>
      <c r="B349" s="5" t="n">
        <v>3</v>
      </c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</row>
    <row r="350">
      <c r="A350" s="5" t="n">
        <v>3070</v>
      </c>
      <c r="B350" s="5" t="n">
        <v>4</v>
      </c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</row>
    <row r="351">
      <c r="A351" s="5" t="n">
        <v>3070</v>
      </c>
      <c r="B351" s="5" t="n">
        <v>5</v>
      </c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</row>
    <row r="352">
      <c r="A352" s="6" t="n">
        <v>3071</v>
      </c>
      <c r="B352" s="6" t="n">
        <v>1</v>
      </c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</row>
    <row r="353">
      <c r="A353" s="6" t="n">
        <v>3071</v>
      </c>
      <c r="B353" s="6" t="n">
        <v>2</v>
      </c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</row>
    <row r="354">
      <c r="A354" s="6" t="n">
        <v>3071</v>
      </c>
      <c r="B354" s="6" t="n">
        <v>3</v>
      </c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</row>
    <row r="355">
      <c r="A355" s="6" t="n">
        <v>3071</v>
      </c>
      <c r="B355" s="6" t="n">
        <v>4</v>
      </c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</row>
    <row r="356">
      <c r="A356" s="6" t="n">
        <v>3071</v>
      </c>
      <c r="B356" s="6" t="n">
        <v>5</v>
      </c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</row>
    <row r="357">
      <c r="A357" s="5" t="n">
        <v>3072</v>
      </c>
      <c r="B357" s="5" t="n">
        <v>1</v>
      </c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</row>
    <row r="358">
      <c r="A358" s="5" t="n">
        <v>3072</v>
      </c>
      <c r="B358" s="5" t="n">
        <v>2</v>
      </c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</row>
    <row r="359">
      <c r="A359" s="5" t="n">
        <v>3072</v>
      </c>
      <c r="B359" s="5" t="n">
        <v>3</v>
      </c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</row>
    <row r="360">
      <c r="A360" s="5" t="n">
        <v>3072</v>
      </c>
      <c r="B360" s="5" t="n">
        <v>4</v>
      </c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</row>
    <row r="361">
      <c r="A361" s="5" t="n">
        <v>3072</v>
      </c>
      <c r="B361" s="5" t="n">
        <v>5</v>
      </c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</row>
    <row r="362">
      <c r="A362" s="6" t="n">
        <v>3073</v>
      </c>
      <c r="B362" s="6" t="n">
        <v>1</v>
      </c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</row>
    <row r="363">
      <c r="A363" s="6" t="n">
        <v>3073</v>
      </c>
      <c r="B363" s="6" t="n">
        <v>2</v>
      </c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</row>
    <row r="364">
      <c r="A364" s="6" t="n">
        <v>3073</v>
      </c>
      <c r="B364" s="6" t="n">
        <v>3</v>
      </c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</row>
    <row r="365">
      <c r="A365" s="6" t="n">
        <v>3073</v>
      </c>
      <c r="B365" s="6" t="n">
        <v>4</v>
      </c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</row>
    <row r="366">
      <c r="A366" s="6" t="n">
        <v>3073</v>
      </c>
      <c r="B366" s="6" t="n">
        <v>5</v>
      </c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</row>
    <row r="367">
      <c r="A367" s="5" t="n">
        <v>3074</v>
      </c>
      <c r="B367" s="5" t="n">
        <v>1</v>
      </c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</row>
    <row r="368">
      <c r="A368" s="5" t="n">
        <v>3074</v>
      </c>
      <c r="B368" s="5" t="n">
        <v>2</v>
      </c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</row>
    <row r="369">
      <c r="A369" s="5" t="n">
        <v>3074</v>
      </c>
      <c r="B369" s="5" t="n">
        <v>3</v>
      </c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</row>
    <row r="370">
      <c r="A370" s="5" t="n">
        <v>3074</v>
      </c>
      <c r="B370" s="5" t="n">
        <v>4</v>
      </c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</row>
    <row r="371">
      <c r="A371" s="5" t="n">
        <v>3074</v>
      </c>
      <c r="B371" s="5" t="n">
        <v>5</v>
      </c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</row>
    <row r="372">
      <c r="A372" s="6" t="n">
        <v>3075</v>
      </c>
      <c r="B372" s="6" t="n">
        <v>1</v>
      </c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</row>
    <row r="373">
      <c r="A373" s="6" t="n">
        <v>3075</v>
      </c>
      <c r="B373" s="6" t="n">
        <v>2</v>
      </c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</row>
    <row r="374">
      <c r="A374" s="6" t="n">
        <v>3075</v>
      </c>
      <c r="B374" s="6" t="n">
        <v>3</v>
      </c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</row>
    <row r="375">
      <c r="A375" s="6" t="n">
        <v>3075</v>
      </c>
      <c r="B375" s="6" t="n">
        <v>4</v>
      </c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</row>
    <row r="376">
      <c r="A376" s="6" t="n">
        <v>3075</v>
      </c>
      <c r="B376" s="6" t="n">
        <v>5</v>
      </c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</row>
    <row r="377">
      <c r="A377" s="5" t="n">
        <v>3076</v>
      </c>
      <c r="B377" s="5" t="n">
        <v>1</v>
      </c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</row>
    <row r="378">
      <c r="A378" s="5" t="n">
        <v>3076</v>
      </c>
      <c r="B378" s="5" t="n">
        <v>2</v>
      </c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</row>
    <row r="379">
      <c r="A379" s="5" t="n">
        <v>3076</v>
      </c>
      <c r="B379" s="5" t="n">
        <v>3</v>
      </c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</row>
    <row r="380">
      <c r="A380" s="5" t="n">
        <v>3076</v>
      </c>
      <c r="B380" s="5" t="n">
        <v>4</v>
      </c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</row>
    <row r="381">
      <c r="A381" s="5" t="n">
        <v>3076</v>
      </c>
      <c r="B381" s="5" t="n">
        <v>5</v>
      </c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</row>
    <row r="382">
      <c r="A382" s="6" t="n">
        <v>3077</v>
      </c>
      <c r="B382" s="6" t="n">
        <v>1</v>
      </c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</row>
    <row r="383">
      <c r="A383" s="6" t="n">
        <v>3077</v>
      </c>
      <c r="B383" s="6" t="n">
        <v>2</v>
      </c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</row>
    <row r="384">
      <c r="A384" s="6" t="n">
        <v>3077</v>
      </c>
      <c r="B384" s="6" t="n">
        <v>3</v>
      </c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</row>
    <row r="385">
      <c r="A385" s="6" t="n">
        <v>3077</v>
      </c>
      <c r="B385" s="6" t="n">
        <v>4</v>
      </c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</row>
    <row r="386">
      <c r="A386" s="6" t="n">
        <v>3077</v>
      </c>
      <c r="B386" s="6" t="n">
        <v>5</v>
      </c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</row>
    <row r="387">
      <c r="A387" s="5" t="n">
        <v>3078</v>
      </c>
      <c r="B387" s="5" t="n">
        <v>1</v>
      </c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</row>
    <row r="388">
      <c r="A388" s="5" t="n">
        <v>3078</v>
      </c>
      <c r="B388" s="5" t="n">
        <v>2</v>
      </c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</row>
    <row r="389">
      <c r="A389" s="5" t="n">
        <v>3078</v>
      </c>
      <c r="B389" s="5" t="n">
        <v>3</v>
      </c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</row>
    <row r="390">
      <c r="A390" s="5" t="n">
        <v>3078</v>
      </c>
      <c r="B390" s="5" t="n">
        <v>4</v>
      </c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</row>
    <row r="391">
      <c r="A391" s="5" t="n">
        <v>3078</v>
      </c>
      <c r="B391" s="5" t="n">
        <v>5</v>
      </c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</row>
    <row r="392">
      <c r="A392" s="6" t="n">
        <v>3079</v>
      </c>
      <c r="B392" s="6" t="n">
        <v>1</v>
      </c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</row>
    <row r="393">
      <c r="A393" s="6" t="n">
        <v>3079</v>
      </c>
      <c r="B393" s="6" t="n">
        <v>2</v>
      </c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</row>
    <row r="394">
      <c r="A394" s="6" t="n">
        <v>3079</v>
      </c>
      <c r="B394" s="6" t="n">
        <v>3</v>
      </c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</row>
    <row r="395">
      <c r="A395" s="6" t="n">
        <v>3079</v>
      </c>
      <c r="B395" s="6" t="n">
        <v>4</v>
      </c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</row>
    <row r="396">
      <c r="A396" s="6" t="n">
        <v>3079</v>
      </c>
      <c r="B396" s="6" t="n">
        <v>5</v>
      </c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</row>
    <row r="397">
      <c r="A397" s="5" t="n">
        <v>3080</v>
      </c>
      <c r="B397" s="5" t="n">
        <v>1</v>
      </c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</row>
    <row r="398">
      <c r="A398" s="5" t="n">
        <v>3080</v>
      </c>
      <c r="B398" s="5" t="n">
        <v>2</v>
      </c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</row>
    <row r="399">
      <c r="A399" s="5" t="n">
        <v>3080</v>
      </c>
      <c r="B399" s="5" t="n">
        <v>3</v>
      </c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</row>
    <row r="400">
      <c r="A400" s="5" t="n">
        <v>3080</v>
      </c>
      <c r="B400" s="5" t="n">
        <v>4</v>
      </c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</row>
    <row r="401">
      <c r="A401" s="5" t="n">
        <v>3080</v>
      </c>
      <c r="B401" s="5" t="n">
        <v>5</v>
      </c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</row>
    <row r="402">
      <c r="A402" s="6" t="n">
        <v>3081</v>
      </c>
      <c r="B402" s="6" t="n">
        <v>1</v>
      </c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</row>
    <row r="403">
      <c r="A403" s="6" t="n">
        <v>3081</v>
      </c>
      <c r="B403" s="6" t="n">
        <v>2</v>
      </c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</row>
    <row r="404">
      <c r="A404" s="6" t="n">
        <v>3081</v>
      </c>
      <c r="B404" s="6" t="n">
        <v>3</v>
      </c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</row>
    <row r="405">
      <c r="A405" s="6" t="n">
        <v>3081</v>
      </c>
      <c r="B405" s="6" t="n">
        <v>4</v>
      </c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</row>
    <row r="406">
      <c r="A406" s="6" t="n">
        <v>3081</v>
      </c>
      <c r="B406" s="6" t="n">
        <v>5</v>
      </c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</row>
    <row r="407">
      <c r="A407" s="5" t="n">
        <v>3082</v>
      </c>
      <c r="B407" s="5" t="n">
        <v>1</v>
      </c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</row>
    <row r="408">
      <c r="A408" s="5" t="n">
        <v>3082</v>
      </c>
      <c r="B408" s="5" t="n">
        <v>2</v>
      </c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</row>
    <row r="409">
      <c r="A409" s="5" t="n">
        <v>3082</v>
      </c>
      <c r="B409" s="5" t="n">
        <v>3</v>
      </c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</row>
    <row r="410">
      <c r="A410" s="5" t="n">
        <v>3082</v>
      </c>
      <c r="B410" s="5" t="n">
        <v>4</v>
      </c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</row>
    <row r="411">
      <c r="A411" s="5" t="n">
        <v>3082</v>
      </c>
      <c r="B411" s="5" t="n">
        <v>5</v>
      </c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</row>
    <row r="412">
      <c r="A412" s="6" t="n">
        <v>3083</v>
      </c>
      <c r="B412" s="6" t="n">
        <v>1</v>
      </c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</row>
    <row r="413">
      <c r="A413" s="6" t="n">
        <v>3083</v>
      </c>
      <c r="B413" s="6" t="n">
        <v>2</v>
      </c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</row>
    <row r="414">
      <c r="A414" s="6" t="n">
        <v>3083</v>
      </c>
      <c r="B414" s="6" t="n">
        <v>3</v>
      </c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</row>
    <row r="415">
      <c r="A415" s="6" t="n">
        <v>3083</v>
      </c>
      <c r="B415" s="6" t="n">
        <v>4</v>
      </c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</row>
    <row r="416">
      <c r="A416" s="6" t="n">
        <v>3083</v>
      </c>
      <c r="B416" s="6" t="n">
        <v>5</v>
      </c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</row>
    <row r="417">
      <c r="A417" s="5" t="n">
        <v>3084</v>
      </c>
      <c r="B417" s="5" t="n">
        <v>1</v>
      </c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</row>
    <row r="418">
      <c r="A418" s="5" t="n">
        <v>3084</v>
      </c>
      <c r="B418" s="5" t="n">
        <v>2</v>
      </c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</row>
    <row r="419">
      <c r="A419" s="5" t="n">
        <v>3084</v>
      </c>
      <c r="B419" s="5" t="n">
        <v>3</v>
      </c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</row>
    <row r="420">
      <c r="A420" s="5" t="n">
        <v>3084</v>
      </c>
      <c r="B420" s="5" t="n">
        <v>4</v>
      </c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</row>
    <row r="421">
      <c r="A421" s="5" t="n">
        <v>3084</v>
      </c>
      <c r="B421" s="5" t="n">
        <v>5</v>
      </c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</row>
    <row r="422">
      <c r="A422" s="6" t="n">
        <v>3085</v>
      </c>
      <c r="B422" s="6" t="n">
        <v>1</v>
      </c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</row>
    <row r="423">
      <c r="A423" s="6" t="n">
        <v>3085</v>
      </c>
      <c r="B423" s="6" t="n">
        <v>2</v>
      </c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</row>
    <row r="424">
      <c r="A424" s="6" t="n">
        <v>3085</v>
      </c>
      <c r="B424" s="6" t="n">
        <v>3</v>
      </c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</row>
    <row r="425">
      <c r="A425" s="6" t="n">
        <v>3085</v>
      </c>
      <c r="B425" s="6" t="n">
        <v>4</v>
      </c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</row>
    <row r="426">
      <c r="A426" s="6" t="n">
        <v>3085</v>
      </c>
      <c r="B426" s="6" t="n">
        <v>5</v>
      </c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</row>
    <row r="427">
      <c r="A427" s="5" t="n">
        <v>3086</v>
      </c>
      <c r="B427" s="5" t="n">
        <v>1</v>
      </c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</row>
    <row r="428">
      <c r="A428" s="5" t="n">
        <v>3086</v>
      </c>
      <c r="B428" s="5" t="n">
        <v>2</v>
      </c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</row>
    <row r="429">
      <c r="A429" s="5" t="n">
        <v>3086</v>
      </c>
      <c r="B429" s="5" t="n">
        <v>3</v>
      </c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</row>
    <row r="430">
      <c r="A430" s="5" t="n">
        <v>3086</v>
      </c>
      <c r="B430" s="5" t="n">
        <v>4</v>
      </c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</row>
    <row r="431">
      <c r="A431" s="5" t="n">
        <v>3086</v>
      </c>
      <c r="B431" s="5" t="n">
        <v>5</v>
      </c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</row>
    <row r="432">
      <c r="A432" s="6" t="n">
        <v>3087</v>
      </c>
      <c r="B432" s="6" t="n">
        <v>1</v>
      </c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</row>
    <row r="433">
      <c r="A433" s="6" t="n">
        <v>3087</v>
      </c>
      <c r="B433" s="6" t="n">
        <v>2</v>
      </c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</row>
    <row r="434">
      <c r="A434" s="6" t="n">
        <v>3087</v>
      </c>
      <c r="B434" s="6" t="n">
        <v>3</v>
      </c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</row>
    <row r="435">
      <c r="A435" s="6" t="n">
        <v>3087</v>
      </c>
      <c r="B435" s="6" t="n">
        <v>4</v>
      </c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</row>
    <row r="436">
      <c r="A436" s="6" t="n">
        <v>3087</v>
      </c>
      <c r="B436" s="6" t="n">
        <v>5</v>
      </c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</row>
    <row r="437">
      <c r="A437" s="5" t="n">
        <v>3088</v>
      </c>
      <c r="B437" s="5" t="n">
        <v>1</v>
      </c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</row>
    <row r="438">
      <c r="A438" s="5" t="n">
        <v>3088</v>
      </c>
      <c r="B438" s="5" t="n">
        <v>2</v>
      </c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</row>
    <row r="439">
      <c r="A439" s="5" t="n">
        <v>3088</v>
      </c>
      <c r="B439" s="5" t="n">
        <v>3</v>
      </c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</row>
    <row r="440">
      <c r="A440" s="5" t="n">
        <v>3088</v>
      </c>
      <c r="B440" s="5" t="n">
        <v>4</v>
      </c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</row>
    <row r="441">
      <c r="A441" s="5" t="n">
        <v>3088</v>
      </c>
      <c r="B441" s="5" t="n">
        <v>5</v>
      </c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</row>
    <row r="442">
      <c r="A442" s="6" t="n">
        <v>3089</v>
      </c>
      <c r="B442" s="6" t="n">
        <v>1</v>
      </c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</row>
    <row r="443">
      <c r="A443" s="6" t="n">
        <v>3089</v>
      </c>
      <c r="B443" s="6" t="n">
        <v>2</v>
      </c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</row>
    <row r="444">
      <c r="A444" s="6" t="n">
        <v>3089</v>
      </c>
      <c r="B444" s="6" t="n">
        <v>3</v>
      </c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</row>
    <row r="445">
      <c r="A445" s="6" t="n">
        <v>3089</v>
      </c>
      <c r="B445" s="6" t="n">
        <v>4</v>
      </c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</row>
    <row r="446">
      <c r="A446" s="6" t="n">
        <v>3089</v>
      </c>
      <c r="B446" s="6" t="n">
        <v>5</v>
      </c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</row>
    <row r="447">
      <c r="A447" s="5" t="n">
        <v>3090</v>
      </c>
      <c r="B447" s="5" t="n">
        <v>1</v>
      </c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</row>
    <row r="448">
      <c r="A448" s="5" t="n">
        <v>3090</v>
      </c>
      <c r="B448" s="5" t="n">
        <v>2</v>
      </c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</row>
    <row r="449">
      <c r="A449" s="5" t="n">
        <v>3090</v>
      </c>
      <c r="B449" s="5" t="n">
        <v>3</v>
      </c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</row>
    <row r="450">
      <c r="A450" s="5" t="n">
        <v>3090</v>
      </c>
      <c r="B450" s="5" t="n">
        <v>4</v>
      </c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</row>
    <row r="451">
      <c r="A451" s="5" t="n">
        <v>3090</v>
      </c>
      <c r="B451" s="5" t="n">
        <v>5</v>
      </c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</row>
    <row r="452">
      <c r="A452" s="6" t="n">
        <v>3091</v>
      </c>
      <c r="B452" s="6" t="n">
        <v>1</v>
      </c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</row>
    <row r="453">
      <c r="A453" s="6" t="n">
        <v>3091</v>
      </c>
      <c r="B453" s="6" t="n">
        <v>2</v>
      </c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</row>
    <row r="454">
      <c r="A454" s="6" t="n">
        <v>3091</v>
      </c>
      <c r="B454" s="6" t="n">
        <v>3</v>
      </c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</row>
    <row r="455">
      <c r="A455" s="6" t="n">
        <v>3091</v>
      </c>
      <c r="B455" s="6" t="n">
        <v>4</v>
      </c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</row>
    <row r="456">
      <c r="A456" s="6" t="n">
        <v>3091</v>
      </c>
      <c r="B456" s="6" t="n">
        <v>5</v>
      </c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</row>
    <row r="457">
      <c r="A457" s="5" t="n">
        <v>3092</v>
      </c>
      <c r="B457" s="5" t="n">
        <v>1</v>
      </c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</row>
    <row r="458">
      <c r="A458" s="5" t="n">
        <v>3092</v>
      </c>
      <c r="B458" s="5" t="n">
        <v>2</v>
      </c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</row>
    <row r="459">
      <c r="A459" s="5" t="n">
        <v>3092</v>
      </c>
      <c r="B459" s="5" t="n">
        <v>3</v>
      </c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</row>
    <row r="460">
      <c r="A460" s="5" t="n">
        <v>3092</v>
      </c>
      <c r="B460" s="5" t="n">
        <v>4</v>
      </c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</row>
    <row r="461">
      <c r="A461" s="5" t="n">
        <v>3092</v>
      </c>
      <c r="B461" s="5" t="n">
        <v>5</v>
      </c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</row>
    <row r="462">
      <c r="A462" s="6" t="n">
        <v>3093</v>
      </c>
      <c r="B462" s="6" t="n">
        <v>1</v>
      </c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</row>
    <row r="463">
      <c r="A463" s="6" t="n">
        <v>3093</v>
      </c>
      <c r="B463" s="6" t="n">
        <v>2</v>
      </c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</row>
    <row r="464">
      <c r="A464" s="6" t="n">
        <v>3093</v>
      </c>
      <c r="B464" s="6" t="n">
        <v>3</v>
      </c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</row>
    <row r="465">
      <c r="A465" s="6" t="n">
        <v>3093</v>
      </c>
      <c r="B465" s="6" t="n">
        <v>4</v>
      </c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</row>
    <row r="466">
      <c r="A466" s="6" t="n">
        <v>3093</v>
      </c>
      <c r="B466" s="6" t="n">
        <v>5</v>
      </c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</row>
    <row r="467">
      <c r="A467" s="5" t="n">
        <v>3094</v>
      </c>
      <c r="B467" s="5" t="n">
        <v>1</v>
      </c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</row>
    <row r="468">
      <c r="A468" s="5" t="n">
        <v>3094</v>
      </c>
      <c r="B468" s="5" t="n">
        <v>2</v>
      </c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</row>
    <row r="469">
      <c r="A469" s="5" t="n">
        <v>3094</v>
      </c>
      <c r="B469" s="5" t="n">
        <v>3</v>
      </c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</row>
    <row r="470">
      <c r="A470" s="5" t="n">
        <v>3094</v>
      </c>
      <c r="B470" s="5" t="n">
        <v>4</v>
      </c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</row>
    <row r="471">
      <c r="A471" s="5" t="n">
        <v>3094</v>
      </c>
      <c r="B471" s="5" t="n">
        <v>5</v>
      </c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</row>
    <row r="472">
      <c r="A472" s="6" t="n">
        <v>3095</v>
      </c>
      <c r="B472" s="6" t="n">
        <v>1</v>
      </c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</row>
    <row r="473">
      <c r="A473" s="6" t="n">
        <v>3095</v>
      </c>
      <c r="B473" s="6" t="n">
        <v>2</v>
      </c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</row>
    <row r="474">
      <c r="A474" s="6" t="n">
        <v>3095</v>
      </c>
      <c r="B474" s="6" t="n">
        <v>3</v>
      </c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</row>
    <row r="475">
      <c r="A475" s="6" t="n">
        <v>3095</v>
      </c>
      <c r="B475" s="6" t="n">
        <v>4</v>
      </c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</row>
    <row r="476">
      <c r="A476" s="6" t="n">
        <v>3095</v>
      </c>
      <c r="B476" s="6" t="n">
        <v>5</v>
      </c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</row>
    <row r="477">
      <c r="A477" s="5" t="n">
        <v>3096</v>
      </c>
      <c r="B477" s="5" t="n">
        <v>1</v>
      </c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</row>
    <row r="478">
      <c r="A478" s="5" t="n">
        <v>3096</v>
      </c>
      <c r="B478" s="5" t="n">
        <v>2</v>
      </c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</row>
    <row r="479">
      <c r="A479" s="5" t="n">
        <v>3096</v>
      </c>
      <c r="B479" s="5" t="n">
        <v>3</v>
      </c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</row>
    <row r="480">
      <c r="A480" s="5" t="n">
        <v>3096</v>
      </c>
      <c r="B480" s="5" t="n">
        <v>4</v>
      </c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</row>
    <row r="481">
      <c r="A481" s="5" t="n">
        <v>3096</v>
      </c>
      <c r="B481" s="5" t="n">
        <v>5</v>
      </c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</row>
    <row r="482">
      <c r="A482" s="6" t="n">
        <v>3097</v>
      </c>
      <c r="B482" s="6" t="n">
        <v>1</v>
      </c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</row>
    <row r="483">
      <c r="A483" s="6" t="n">
        <v>3097</v>
      </c>
      <c r="B483" s="6" t="n">
        <v>2</v>
      </c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</row>
    <row r="484">
      <c r="A484" s="6" t="n">
        <v>3097</v>
      </c>
      <c r="B484" s="6" t="n">
        <v>3</v>
      </c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</row>
    <row r="485">
      <c r="A485" s="6" t="n">
        <v>3097</v>
      </c>
      <c r="B485" s="6" t="n">
        <v>4</v>
      </c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</row>
    <row r="486">
      <c r="A486" s="6" t="n">
        <v>3097</v>
      </c>
      <c r="B486" s="6" t="n">
        <v>5</v>
      </c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</row>
    <row r="487">
      <c r="A487" s="5" t="n">
        <v>3098</v>
      </c>
      <c r="B487" s="5" t="n">
        <v>1</v>
      </c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</row>
    <row r="488">
      <c r="A488" s="5" t="n">
        <v>3098</v>
      </c>
      <c r="B488" s="5" t="n">
        <v>2</v>
      </c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</row>
    <row r="489">
      <c r="A489" s="5" t="n">
        <v>3098</v>
      </c>
      <c r="B489" s="5" t="n">
        <v>3</v>
      </c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</row>
    <row r="490">
      <c r="A490" s="5" t="n">
        <v>3098</v>
      </c>
      <c r="B490" s="5" t="n">
        <v>4</v>
      </c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</row>
    <row r="491">
      <c r="A491" s="5" t="n">
        <v>3098</v>
      </c>
      <c r="B491" s="5" t="n">
        <v>5</v>
      </c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</row>
    <row r="492">
      <c r="A492" s="6" t="n">
        <v>3099</v>
      </c>
      <c r="B492" s="6" t="n">
        <v>1</v>
      </c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</row>
    <row r="493">
      <c r="A493" s="6" t="n">
        <v>3099</v>
      </c>
      <c r="B493" s="6" t="n">
        <v>2</v>
      </c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</row>
    <row r="494">
      <c r="A494" s="6" t="n">
        <v>3099</v>
      </c>
      <c r="B494" s="6" t="n">
        <v>3</v>
      </c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</row>
    <row r="495">
      <c r="A495" s="6" t="n">
        <v>3099</v>
      </c>
      <c r="B495" s="6" t="n">
        <v>4</v>
      </c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</row>
    <row r="496">
      <c r="A496" s="6" t="n">
        <v>3099</v>
      </c>
      <c r="B496" s="6" t="n">
        <v>5</v>
      </c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</row>
    <row r="497">
      <c r="A497" s="5" t="n">
        <v>3100</v>
      </c>
      <c r="B497" s="5" t="n">
        <v>1</v>
      </c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</row>
    <row r="498">
      <c r="A498" s="5" t="n">
        <v>3100</v>
      </c>
      <c r="B498" s="5" t="n">
        <v>2</v>
      </c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</row>
    <row r="499">
      <c r="A499" s="5" t="n">
        <v>3100</v>
      </c>
      <c r="B499" s="5" t="n">
        <v>3</v>
      </c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</row>
    <row r="500">
      <c r="A500" s="5" t="n">
        <v>3100</v>
      </c>
      <c r="B500" s="5" t="n">
        <v>4</v>
      </c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</row>
    <row r="501">
      <c r="A501" s="5" t="n">
        <v>3100</v>
      </c>
      <c r="B501" s="5" t="n">
        <v>5</v>
      </c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</row>
    <row r="502">
      <c r="A502" s="6" t="n">
        <v>3101</v>
      </c>
      <c r="B502" s="6" t="n">
        <v>1</v>
      </c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</row>
    <row r="503">
      <c r="A503" s="6" t="n">
        <v>3101</v>
      </c>
      <c r="B503" s="6" t="n">
        <v>2</v>
      </c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</row>
    <row r="504">
      <c r="A504" s="6" t="n">
        <v>3101</v>
      </c>
      <c r="B504" s="6" t="n">
        <v>3</v>
      </c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</row>
    <row r="505">
      <c r="A505" s="6" t="n">
        <v>3101</v>
      </c>
      <c r="B505" s="6" t="n">
        <v>4</v>
      </c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</row>
    <row r="506">
      <c r="A506" s="6" t="n">
        <v>3101</v>
      </c>
      <c r="B506" s="6" t="n">
        <v>5</v>
      </c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</row>
    <row r="507">
      <c r="A507" s="5" t="n">
        <v>3102</v>
      </c>
      <c r="B507" s="5" t="n">
        <v>1</v>
      </c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</row>
    <row r="508">
      <c r="A508" s="5" t="n">
        <v>3102</v>
      </c>
      <c r="B508" s="5" t="n">
        <v>2</v>
      </c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</row>
    <row r="509">
      <c r="A509" s="5" t="n">
        <v>3102</v>
      </c>
      <c r="B509" s="5" t="n">
        <v>3</v>
      </c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</row>
    <row r="510">
      <c r="A510" s="5" t="n">
        <v>3102</v>
      </c>
      <c r="B510" s="5" t="n">
        <v>4</v>
      </c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</row>
    <row r="511">
      <c r="A511" s="5" t="n">
        <v>3102</v>
      </c>
      <c r="B511" s="5" t="n">
        <v>5</v>
      </c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</row>
    <row r="512">
      <c r="A512" s="6" t="n">
        <v>3103</v>
      </c>
      <c r="B512" s="6" t="n">
        <v>1</v>
      </c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</row>
    <row r="513">
      <c r="A513" s="6" t="n">
        <v>3103</v>
      </c>
      <c r="B513" s="6" t="n">
        <v>2</v>
      </c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</row>
    <row r="514">
      <c r="A514" s="6" t="n">
        <v>3103</v>
      </c>
      <c r="B514" s="6" t="n">
        <v>3</v>
      </c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</row>
    <row r="515">
      <c r="A515" s="6" t="n">
        <v>3103</v>
      </c>
      <c r="B515" s="6" t="n">
        <v>4</v>
      </c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</row>
    <row r="516">
      <c r="A516" s="6" t="n">
        <v>3103</v>
      </c>
      <c r="B516" s="6" t="n">
        <v>5</v>
      </c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</row>
    <row r="517">
      <c r="A517" s="5" t="n">
        <v>3104</v>
      </c>
      <c r="B517" s="5" t="n">
        <v>1</v>
      </c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</row>
    <row r="518">
      <c r="A518" s="5" t="n">
        <v>3104</v>
      </c>
      <c r="B518" s="5" t="n">
        <v>2</v>
      </c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</row>
    <row r="519">
      <c r="A519" s="5" t="n">
        <v>3104</v>
      </c>
      <c r="B519" s="5" t="n">
        <v>3</v>
      </c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</row>
    <row r="520">
      <c r="A520" s="5" t="n">
        <v>3104</v>
      </c>
      <c r="B520" s="5" t="n">
        <v>4</v>
      </c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</row>
    <row r="521">
      <c r="A521" s="5" t="n">
        <v>3104</v>
      </c>
      <c r="B521" s="5" t="n">
        <v>5</v>
      </c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</row>
    <row r="522">
      <c r="A522" s="6" t="n">
        <v>3105</v>
      </c>
      <c r="B522" s="6" t="n">
        <v>1</v>
      </c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</row>
    <row r="523">
      <c r="A523" s="6" t="n">
        <v>3105</v>
      </c>
      <c r="B523" s="6" t="n">
        <v>2</v>
      </c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</row>
    <row r="524">
      <c r="A524" s="6" t="n">
        <v>3105</v>
      </c>
      <c r="B524" s="6" t="n">
        <v>3</v>
      </c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</row>
    <row r="525">
      <c r="A525" s="6" t="n">
        <v>3105</v>
      </c>
      <c r="B525" s="6" t="n">
        <v>4</v>
      </c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</row>
    <row r="526">
      <c r="A526" s="6" t="n">
        <v>3105</v>
      </c>
      <c r="B526" s="6" t="n">
        <v>5</v>
      </c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</row>
    <row r="527">
      <c r="A527" s="5" t="n">
        <v>3106</v>
      </c>
      <c r="B527" s="5" t="n">
        <v>1</v>
      </c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</row>
    <row r="528">
      <c r="A528" s="5" t="n">
        <v>3106</v>
      </c>
      <c r="B528" s="5" t="n">
        <v>2</v>
      </c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</row>
    <row r="529">
      <c r="A529" s="5" t="n">
        <v>3106</v>
      </c>
      <c r="B529" s="5" t="n">
        <v>3</v>
      </c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</row>
    <row r="530">
      <c r="A530" s="5" t="n">
        <v>3106</v>
      </c>
      <c r="B530" s="5" t="n">
        <v>4</v>
      </c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</row>
    <row r="531">
      <c r="A531" s="5" t="n">
        <v>3106</v>
      </c>
      <c r="B531" s="5" t="n">
        <v>5</v>
      </c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</row>
    <row r="532">
      <c r="A532" s="6" t="n">
        <v>3107</v>
      </c>
      <c r="B532" s="6" t="n">
        <v>1</v>
      </c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</row>
    <row r="533">
      <c r="A533" s="6" t="n">
        <v>3107</v>
      </c>
      <c r="B533" s="6" t="n">
        <v>2</v>
      </c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</row>
    <row r="534">
      <c r="A534" s="6" t="n">
        <v>3107</v>
      </c>
      <c r="B534" s="6" t="n">
        <v>3</v>
      </c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</row>
    <row r="535">
      <c r="A535" s="6" t="n">
        <v>3107</v>
      </c>
      <c r="B535" s="6" t="n">
        <v>4</v>
      </c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</row>
    <row r="536">
      <c r="A536" s="6" t="n">
        <v>3107</v>
      </c>
      <c r="B536" s="6" t="n">
        <v>5</v>
      </c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</row>
    <row r="537">
      <c r="A537" s="5" t="n">
        <v>3108</v>
      </c>
      <c r="B537" s="5" t="n">
        <v>1</v>
      </c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</row>
    <row r="538">
      <c r="A538" s="5" t="n">
        <v>3108</v>
      </c>
      <c r="B538" s="5" t="n">
        <v>2</v>
      </c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</row>
    <row r="539">
      <c r="A539" s="5" t="n">
        <v>3108</v>
      </c>
      <c r="B539" s="5" t="n">
        <v>3</v>
      </c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</row>
    <row r="540">
      <c r="A540" s="5" t="n">
        <v>3108</v>
      </c>
      <c r="B540" s="5" t="n">
        <v>4</v>
      </c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</row>
    <row r="541">
      <c r="A541" s="5" t="n">
        <v>3108</v>
      </c>
      <c r="B541" s="5" t="n">
        <v>5</v>
      </c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</row>
    <row r="542">
      <c r="A542" s="6" t="n">
        <v>3109</v>
      </c>
      <c r="B542" s="6" t="n">
        <v>1</v>
      </c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</row>
    <row r="543">
      <c r="A543" s="6" t="n">
        <v>3109</v>
      </c>
      <c r="B543" s="6" t="n">
        <v>2</v>
      </c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</row>
    <row r="544">
      <c r="A544" s="6" t="n">
        <v>3109</v>
      </c>
      <c r="B544" s="6" t="n">
        <v>3</v>
      </c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</row>
    <row r="545">
      <c r="A545" s="6" t="n">
        <v>3109</v>
      </c>
      <c r="B545" s="6" t="n">
        <v>4</v>
      </c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</row>
    <row r="546">
      <c r="A546" s="6" t="n">
        <v>3109</v>
      </c>
      <c r="B546" s="6" t="n">
        <v>5</v>
      </c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</row>
    <row r="547">
      <c r="A547" s="5" t="n">
        <v>3110</v>
      </c>
      <c r="B547" s="5" t="n">
        <v>1</v>
      </c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</row>
    <row r="548">
      <c r="A548" s="5" t="n">
        <v>3110</v>
      </c>
      <c r="B548" s="5" t="n">
        <v>2</v>
      </c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</row>
    <row r="549">
      <c r="A549" s="5" t="n">
        <v>3110</v>
      </c>
      <c r="B549" s="5" t="n">
        <v>3</v>
      </c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</row>
    <row r="550">
      <c r="A550" s="5" t="n">
        <v>3110</v>
      </c>
      <c r="B550" s="5" t="n">
        <v>4</v>
      </c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</row>
    <row r="551">
      <c r="A551" s="5" t="n">
        <v>3110</v>
      </c>
      <c r="B551" s="5" t="n">
        <v>5</v>
      </c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</row>
    <row r="552">
      <c r="A552" s="6" t="n">
        <v>3111</v>
      </c>
      <c r="B552" s="6" t="n">
        <v>1</v>
      </c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</row>
    <row r="553">
      <c r="A553" s="6" t="n">
        <v>3111</v>
      </c>
      <c r="B553" s="6" t="n">
        <v>2</v>
      </c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</row>
    <row r="554">
      <c r="A554" s="6" t="n">
        <v>3111</v>
      </c>
      <c r="B554" s="6" t="n">
        <v>3</v>
      </c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</row>
    <row r="555">
      <c r="A555" s="6" t="n">
        <v>3111</v>
      </c>
      <c r="B555" s="6" t="n">
        <v>4</v>
      </c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</row>
    <row r="556">
      <c r="A556" s="6" t="n">
        <v>3111</v>
      </c>
      <c r="B556" s="6" t="n">
        <v>5</v>
      </c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</row>
    <row r="557">
      <c r="A557" s="5" t="n">
        <v>3112</v>
      </c>
      <c r="B557" s="5" t="n">
        <v>1</v>
      </c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</row>
    <row r="558">
      <c r="A558" s="5" t="n">
        <v>3112</v>
      </c>
      <c r="B558" s="5" t="n">
        <v>2</v>
      </c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</row>
    <row r="559">
      <c r="A559" s="5" t="n">
        <v>3112</v>
      </c>
      <c r="B559" s="5" t="n">
        <v>3</v>
      </c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</row>
    <row r="560">
      <c r="A560" s="5" t="n">
        <v>3112</v>
      </c>
      <c r="B560" s="5" t="n">
        <v>4</v>
      </c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</row>
    <row r="561">
      <c r="A561" s="5" t="n">
        <v>3112</v>
      </c>
      <c r="B561" s="5" t="n">
        <v>5</v>
      </c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</row>
    <row r="562">
      <c r="A562" s="6" t="n">
        <v>3113</v>
      </c>
      <c r="B562" s="6" t="n">
        <v>1</v>
      </c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</row>
    <row r="563">
      <c r="A563" s="6" t="n">
        <v>3113</v>
      </c>
      <c r="B563" s="6" t="n">
        <v>2</v>
      </c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</row>
    <row r="564">
      <c r="A564" s="6" t="n">
        <v>3113</v>
      </c>
      <c r="B564" s="6" t="n">
        <v>3</v>
      </c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</row>
    <row r="565">
      <c r="A565" s="6" t="n">
        <v>3113</v>
      </c>
      <c r="B565" s="6" t="n">
        <v>4</v>
      </c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</row>
    <row r="566">
      <c r="A566" s="6" t="n">
        <v>3113</v>
      </c>
      <c r="B566" s="6" t="n">
        <v>5</v>
      </c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</row>
    <row r="567">
      <c r="A567" s="5" t="n">
        <v>3114</v>
      </c>
      <c r="B567" s="5" t="n">
        <v>1</v>
      </c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</row>
    <row r="568">
      <c r="A568" s="5" t="n">
        <v>3114</v>
      </c>
      <c r="B568" s="5" t="n">
        <v>2</v>
      </c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</row>
    <row r="569">
      <c r="A569" s="5" t="n">
        <v>3114</v>
      </c>
      <c r="B569" s="5" t="n">
        <v>3</v>
      </c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</row>
    <row r="570">
      <c r="A570" s="5" t="n">
        <v>3114</v>
      </c>
      <c r="B570" s="5" t="n">
        <v>4</v>
      </c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</row>
    <row r="571">
      <c r="A571" s="5" t="n">
        <v>3114</v>
      </c>
      <c r="B571" s="5" t="n">
        <v>5</v>
      </c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</row>
    <row r="572">
      <c r="A572" s="6" t="n">
        <v>3115</v>
      </c>
      <c r="B572" s="6" t="n">
        <v>1</v>
      </c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</row>
    <row r="573">
      <c r="A573" s="6" t="n">
        <v>3115</v>
      </c>
      <c r="B573" s="6" t="n">
        <v>2</v>
      </c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</row>
    <row r="574">
      <c r="A574" s="6" t="n">
        <v>3115</v>
      </c>
      <c r="B574" s="6" t="n">
        <v>3</v>
      </c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</row>
    <row r="575">
      <c r="A575" s="6" t="n">
        <v>3115</v>
      </c>
      <c r="B575" s="6" t="n">
        <v>4</v>
      </c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</row>
    <row r="576">
      <c r="A576" s="6" t="n">
        <v>3115</v>
      </c>
      <c r="B576" s="6" t="n">
        <v>5</v>
      </c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</row>
    <row r="577">
      <c r="A577" s="5" t="n">
        <v>3116</v>
      </c>
      <c r="B577" s="5" t="n">
        <v>1</v>
      </c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</row>
    <row r="578">
      <c r="A578" s="5" t="n">
        <v>3116</v>
      </c>
      <c r="B578" s="5" t="n">
        <v>2</v>
      </c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</row>
    <row r="579">
      <c r="A579" s="5" t="n">
        <v>3116</v>
      </c>
      <c r="B579" s="5" t="n">
        <v>3</v>
      </c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</row>
    <row r="580">
      <c r="A580" s="5" t="n">
        <v>3116</v>
      </c>
      <c r="B580" s="5" t="n">
        <v>4</v>
      </c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</row>
    <row r="581">
      <c r="A581" s="5" t="n">
        <v>3116</v>
      </c>
      <c r="B581" s="5" t="n">
        <v>5</v>
      </c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</row>
    <row r="582">
      <c r="A582" s="6" t="n">
        <v>3117</v>
      </c>
      <c r="B582" s="6" t="n">
        <v>1</v>
      </c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</row>
    <row r="583">
      <c r="A583" s="6" t="n">
        <v>3117</v>
      </c>
      <c r="B583" s="6" t="n">
        <v>2</v>
      </c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</row>
    <row r="584">
      <c r="A584" s="6" t="n">
        <v>3117</v>
      </c>
      <c r="B584" s="6" t="n">
        <v>3</v>
      </c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</row>
    <row r="585">
      <c r="A585" s="6" t="n">
        <v>3117</v>
      </c>
      <c r="B585" s="6" t="n">
        <v>4</v>
      </c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</row>
    <row r="586">
      <c r="A586" s="6" t="n">
        <v>3117</v>
      </c>
      <c r="B586" s="6" t="n">
        <v>5</v>
      </c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</row>
    <row r="587">
      <c r="A587" s="5" t="n">
        <v>3118</v>
      </c>
      <c r="B587" s="5" t="n">
        <v>1</v>
      </c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</row>
    <row r="588">
      <c r="A588" s="5" t="n">
        <v>3118</v>
      </c>
      <c r="B588" s="5" t="n">
        <v>2</v>
      </c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</row>
    <row r="589">
      <c r="A589" s="5" t="n">
        <v>3118</v>
      </c>
      <c r="B589" s="5" t="n">
        <v>3</v>
      </c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</row>
    <row r="590">
      <c r="A590" s="5" t="n">
        <v>3118</v>
      </c>
      <c r="B590" s="5" t="n">
        <v>4</v>
      </c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</row>
    <row r="591">
      <c r="A591" s="5" t="n">
        <v>3118</v>
      </c>
      <c r="B591" s="5" t="n">
        <v>5</v>
      </c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</row>
    <row r="592">
      <c r="A592" s="6" t="n">
        <v>3119</v>
      </c>
      <c r="B592" s="6" t="n">
        <v>1</v>
      </c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</row>
    <row r="593">
      <c r="A593" s="6" t="n">
        <v>3119</v>
      </c>
      <c r="B593" s="6" t="n">
        <v>2</v>
      </c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</row>
    <row r="594">
      <c r="A594" s="6" t="n">
        <v>3119</v>
      </c>
      <c r="B594" s="6" t="n">
        <v>3</v>
      </c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</row>
    <row r="595">
      <c r="A595" s="6" t="n">
        <v>3119</v>
      </c>
      <c r="B595" s="6" t="n">
        <v>4</v>
      </c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</row>
    <row r="596">
      <c r="A596" s="6" t="n">
        <v>3119</v>
      </c>
      <c r="B596" s="6" t="n">
        <v>5</v>
      </c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</row>
    <row r="597">
      <c r="A597" s="5" t="n">
        <v>3120</v>
      </c>
      <c r="B597" s="5" t="n">
        <v>1</v>
      </c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</row>
    <row r="598">
      <c r="A598" s="5" t="n">
        <v>3120</v>
      </c>
      <c r="B598" s="5" t="n">
        <v>2</v>
      </c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</row>
    <row r="599">
      <c r="A599" s="5" t="n">
        <v>3120</v>
      </c>
      <c r="B599" s="5" t="n">
        <v>3</v>
      </c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</row>
    <row r="600">
      <c r="A600" s="5" t="n">
        <v>3120</v>
      </c>
      <c r="B600" s="5" t="n">
        <v>4</v>
      </c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</row>
    <row r="601">
      <c r="A601" s="5" t="n">
        <v>3120</v>
      </c>
      <c r="B601" s="5" t="n">
        <v>5</v>
      </c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</row>
  </sheetData>
  <dataValidations count="1">
    <dataValidation sqref="L2:L601" showDropDown="0" showInputMessage="1" showErrorMessage="1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6" customWidth="1" min="11" max="11"/>
    <col width="16" customWidth="1" min="12" max="12"/>
    <col width="30" customWidth="1" min="13" max="13"/>
    <col width="30" customWidth="1" min="14" max="14"/>
  </cols>
  <sheetData>
    <row r="1">
      <c r="A1" s="3" t="inlineStr">
        <is>
          <t>Participant_ID</t>
        </is>
      </c>
      <c r="B1" s="3" t="inlineStr">
        <is>
          <t>Q4_Date</t>
        </is>
      </c>
      <c r="C1" s="3" t="inlineStr">
        <is>
          <t>Q1_AI_Difficulty</t>
        </is>
      </c>
      <c r="D1" s="3" t="inlineStr">
        <is>
          <t>Q2_Persistence</t>
        </is>
      </c>
      <c r="E1" s="3" t="inlineStr">
        <is>
          <t>Q3_Features</t>
        </is>
      </c>
      <c r="F1" s="3" t="inlineStr">
        <is>
          <t>Q4_Enjoyment</t>
        </is>
      </c>
      <c r="G1" s="3" t="inlineStr">
        <is>
          <t>Q5_SelfEfficacy</t>
        </is>
      </c>
      <c r="H1" s="3" t="inlineStr">
        <is>
          <t>Q6_LearnReframe</t>
        </is>
      </c>
      <c r="I1" s="3" t="inlineStr">
        <is>
          <t>Q7_CoordFrame</t>
        </is>
      </c>
      <c r="J1" s="3" t="inlineStr">
        <is>
          <t>Q8_ReturnRecommend</t>
        </is>
      </c>
      <c r="K1" s="3" t="inlineStr">
        <is>
          <t>FIAS_Protect_Composite</t>
        </is>
      </c>
      <c r="L1" s="3" t="inlineStr">
        <is>
          <t>Engagement_Composite</t>
        </is>
      </c>
      <c r="M1" s="3" t="inlineStr">
        <is>
          <t>Q9_LikedMost</t>
        </is>
      </c>
      <c r="N1" s="3" t="inlineStr">
        <is>
          <t>Q9_WouldChange</t>
        </is>
      </c>
    </row>
    <row r="2">
      <c r="A2" s="7" t="inlineStr"/>
      <c r="B2" s="7" t="inlineStr"/>
      <c r="C2" s="7" t="inlineStr">
        <is>
          <t>AI difficulty fit</t>
        </is>
      </c>
      <c r="D2" s="7" t="inlineStr">
        <is>
          <t>Persistence after failure</t>
        </is>
      </c>
      <c r="E2" s="7" t="inlineStr">
        <is>
          <t>Features &amp; benefits</t>
        </is>
      </c>
      <c r="F2" s="7" t="inlineStr">
        <is>
          <t>General enjoyment</t>
        </is>
      </c>
      <c r="G2" s="7" t="inlineStr">
        <is>
          <t>Balance self-efficacy</t>
        </is>
      </c>
      <c r="H2" s="7" t="inlineStr">
        <is>
          <t>Failure-as-learning</t>
        </is>
      </c>
      <c r="I2" s="7" t="inlineStr">
        <is>
          <t>Coordination frame</t>
        </is>
      </c>
      <c r="J2" s="7" t="inlineStr">
        <is>
          <t>Return + recommend</t>
        </is>
      </c>
      <c r="K2" s="7" t="inlineStr">
        <is>
          <t>mean(Q2,Q6,Q7)</t>
        </is>
      </c>
      <c r="L2" s="7" t="inlineStr">
        <is>
          <t>mean(Q3,Q4,Q8)</t>
        </is>
      </c>
      <c r="M2" s="7" t="inlineStr">
        <is>
          <t>open-text</t>
        </is>
      </c>
      <c r="N2" s="7" t="inlineStr">
        <is>
          <t>open-text</t>
        </is>
      </c>
    </row>
    <row r="3">
      <c r="A3" s="5" t="n">
        <v>3001</v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>
        <f>IFERROR(AVERAGE(D3,H3,I3),"")</f>
        <v/>
      </c>
      <c r="L3" s="5">
        <f>IFERROR(AVERAGE(E3,F3,J3),"")</f>
        <v/>
      </c>
      <c r="M3" s="5" t="n"/>
      <c r="N3" s="5" t="n"/>
    </row>
    <row r="4">
      <c r="A4" s="5" t="n">
        <v>3002</v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>
        <f>IFERROR(AVERAGE(D4,H4,I4),"")</f>
        <v/>
      </c>
      <c r="L4" s="5">
        <f>IFERROR(AVERAGE(E4,F4,J4),"")</f>
        <v/>
      </c>
      <c r="M4" s="5" t="n"/>
      <c r="N4" s="5" t="n"/>
    </row>
    <row r="5">
      <c r="A5" s="5" t="n">
        <v>3003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>
        <f>IFERROR(AVERAGE(D5,H5,I5),"")</f>
        <v/>
      </c>
      <c r="L5" s="5">
        <f>IFERROR(AVERAGE(E5,F5,J5),"")</f>
        <v/>
      </c>
      <c r="M5" s="5" t="n"/>
      <c r="N5" s="5" t="n"/>
    </row>
    <row r="6">
      <c r="A6" s="5" t="n">
        <v>3004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>
        <f>IFERROR(AVERAGE(D6,H6,I6),"")</f>
        <v/>
      </c>
      <c r="L6" s="5">
        <f>IFERROR(AVERAGE(E6,F6,J6),"")</f>
        <v/>
      </c>
      <c r="M6" s="5" t="n"/>
      <c r="N6" s="5" t="n"/>
    </row>
    <row r="7">
      <c r="A7" s="5" t="n">
        <v>3005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>
        <f>IFERROR(AVERAGE(D7,H7,I7),"")</f>
        <v/>
      </c>
      <c r="L7" s="5">
        <f>IFERROR(AVERAGE(E7,F7,J7),"")</f>
        <v/>
      </c>
      <c r="M7" s="5" t="n"/>
      <c r="N7" s="5" t="n"/>
    </row>
    <row r="8">
      <c r="A8" s="5" t="n">
        <v>3006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>
        <f>IFERROR(AVERAGE(D8,H8,I8),"")</f>
        <v/>
      </c>
      <c r="L8" s="5">
        <f>IFERROR(AVERAGE(E8,F8,J8),"")</f>
        <v/>
      </c>
      <c r="M8" s="5" t="n"/>
      <c r="N8" s="5" t="n"/>
    </row>
    <row r="9">
      <c r="A9" s="5" t="n">
        <v>3007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>
        <f>IFERROR(AVERAGE(D9,H9,I9),"")</f>
        <v/>
      </c>
      <c r="L9" s="5">
        <f>IFERROR(AVERAGE(E9,F9,J9),"")</f>
        <v/>
      </c>
      <c r="M9" s="5" t="n"/>
      <c r="N9" s="5" t="n"/>
    </row>
    <row r="10">
      <c r="A10" s="5" t="n">
        <v>3008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>
        <f>IFERROR(AVERAGE(D10,H10,I10),"")</f>
        <v/>
      </c>
      <c r="L10" s="5">
        <f>IFERROR(AVERAGE(E10,F10,J10),"")</f>
        <v/>
      </c>
      <c r="M10" s="5" t="n"/>
      <c r="N10" s="5" t="n"/>
    </row>
    <row r="11">
      <c r="A11" s="5" t="n">
        <v>3009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>
        <f>IFERROR(AVERAGE(D11,H11,I11),"")</f>
        <v/>
      </c>
      <c r="L11" s="5">
        <f>IFERROR(AVERAGE(E11,F11,J11),"")</f>
        <v/>
      </c>
      <c r="M11" s="5" t="n"/>
      <c r="N11" s="5" t="n"/>
    </row>
    <row r="12">
      <c r="A12" s="5" t="n">
        <v>3010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>
        <f>IFERROR(AVERAGE(D12,H12,I12),"")</f>
        <v/>
      </c>
      <c r="L12" s="5">
        <f>IFERROR(AVERAGE(E12,F12,J12),"")</f>
        <v/>
      </c>
      <c r="M12" s="5" t="n"/>
      <c r="N12" s="5" t="n"/>
    </row>
    <row r="13">
      <c r="A13" s="5" t="n">
        <v>3011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>
        <f>IFERROR(AVERAGE(D13,H13,I13),"")</f>
        <v/>
      </c>
      <c r="L13" s="5">
        <f>IFERROR(AVERAGE(E13,F13,J13),"")</f>
        <v/>
      </c>
      <c r="M13" s="5" t="n"/>
      <c r="N13" s="5" t="n"/>
    </row>
    <row r="14">
      <c r="A14" s="5" t="n">
        <v>3012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>
        <f>IFERROR(AVERAGE(D14,H14,I14),"")</f>
        <v/>
      </c>
      <c r="L14" s="5">
        <f>IFERROR(AVERAGE(E14,F14,J14),"")</f>
        <v/>
      </c>
      <c r="M14" s="5" t="n"/>
      <c r="N14" s="5" t="n"/>
    </row>
    <row r="15">
      <c r="A15" s="5" t="n">
        <v>3013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>
        <f>IFERROR(AVERAGE(D15,H15,I15),"")</f>
        <v/>
      </c>
      <c r="L15" s="5">
        <f>IFERROR(AVERAGE(E15,F15,J15),"")</f>
        <v/>
      </c>
      <c r="M15" s="5" t="n"/>
      <c r="N15" s="5" t="n"/>
    </row>
    <row r="16">
      <c r="A16" s="5" t="n">
        <v>3014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>
        <f>IFERROR(AVERAGE(D16,H16,I16),"")</f>
        <v/>
      </c>
      <c r="L16" s="5">
        <f>IFERROR(AVERAGE(E16,F16,J16),"")</f>
        <v/>
      </c>
      <c r="M16" s="5" t="n"/>
      <c r="N16" s="5" t="n"/>
    </row>
    <row r="17">
      <c r="A17" s="5" t="n">
        <v>3015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>
        <f>IFERROR(AVERAGE(D17,H17,I17),"")</f>
        <v/>
      </c>
      <c r="L17" s="5">
        <f>IFERROR(AVERAGE(E17,F17,J17),"")</f>
        <v/>
      </c>
      <c r="M17" s="5" t="n"/>
      <c r="N17" s="5" t="n"/>
    </row>
    <row r="18">
      <c r="A18" s="5" t="n">
        <v>3016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>
        <f>IFERROR(AVERAGE(D18,H18,I18),"")</f>
        <v/>
      </c>
      <c r="L18" s="5">
        <f>IFERROR(AVERAGE(E18,F18,J18),"")</f>
        <v/>
      </c>
      <c r="M18" s="5" t="n"/>
      <c r="N18" s="5" t="n"/>
    </row>
    <row r="19">
      <c r="A19" s="5" t="n">
        <v>3017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>
        <f>IFERROR(AVERAGE(D19,H19,I19),"")</f>
        <v/>
      </c>
      <c r="L19" s="5">
        <f>IFERROR(AVERAGE(E19,F19,J19),"")</f>
        <v/>
      </c>
      <c r="M19" s="5" t="n"/>
      <c r="N19" s="5" t="n"/>
    </row>
    <row r="20">
      <c r="A20" s="5" t="n">
        <v>3018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>
        <f>IFERROR(AVERAGE(D20,H20,I20),"")</f>
        <v/>
      </c>
      <c r="L20" s="5">
        <f>IFERROR(AVERAGE(E20,F20,J20),"")</f>
        <v/>
      </c>
      <c r="M20" s="5" t="n"/>
      <c r="N20" s="5" t="n"/>
    </row>
    <row r="21">
      <c r="A21" s="5" t="n">
        <v>3019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>
        <f>IFERROR(AVERAGE(D21,H21,I21),"")</f>
        <v/>
      </c>
      <c r="L21" s="5">
        <f>IFERROR(AVERAGE(E21,F21,J21),"")</f>
        <v/>
      </c>
      <c r="M21" s="5" t="n"/>
      <c r="N21" s="5" t="n"/>
    </row>
    <row r="22">
      <c r="A22" s="5" t="n">
        <v>3020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>
        <f>IFERROR(AVERAGE(D22,H22,I22),"")</f>
        <v/>
      </c>
      <c r="L22" s="5">
        <f>IFERROR(AVERAGE(E22,F22,J22),"")</f>
        <v/>
      </c>
      <c r="M22" s="5" t="n"/>
      <c r="N22" s="5" t="n"/>
    </row>
    <row r="23">
      <c r="A23" s="5" t="n">
        <v>3021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>
        <f>IFERROR(AVERAGE(D23,H23,I23),"")</f>
        <v/>
      </c>
      <c r="L23" s="5">
        <f>IFERROR(AVERAGE(E23,F23,J23),"")</f>
        <v/>
      </c>
      <c r="M23" s="5" t="n"/>
      <c r="N23" s="5" t="n"/>
    </row>
    <row r="24">
      <c r="A24" s="5" t="n">
        <v>3022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>
        <f>IFERROR(AVERAGE(D24,H24,I24),"")</f>
        <v/>
      </c>
      <c r="L24" s="5">
        <f>IFERROR(AVERAGE(E24,F24,J24),"")</f>
        <v/>
      </c>
      <c r="M24" s="5" t="n"/>
      <c r="N24" s="5" t="n"/>
    </row>
    <row r="25">
      <c r="A25" s="5" t="n">
        <v>3023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>
        <f>IFERROR(AVERAGE(D25,H25,I25),"")</f>
        <v/>
      </c>
      <c r="L25" s="5">
        <f>IFERROR(AVERAGE(E25,F25,J25),"")</f>
        <v/>
      </c>
      <c r="M25" s="5" t="n"/>
      <c r="N25" s="5" t="n"/>
    </row>
    <row r="26">
      <c r="A26" s="5" t="n">
        <v>3024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>
        <f>IFERROR(AVERAGE(D26,H26,I26),"")</f>
        <v/>
      </c>
      <c r="L26" s="5">
        <f>IFERROR(AVERAGE(E26,F26,J26),"")</f>
        <v/>
      </c>
      <c r="M26" s="5" t="n"/>
      <c r="N26" s="5" t="n"/>
    </row>
    <row r="27">
      <c r="A27" s="5" t="n">
        <v>3025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>
        <f>IFERROR(AVERAGE(D27,H27,I27),"")</f>
        <v/>
      </c>
      <c r="L27" s="5">
        <f>IFERROR(AVERAGE(E27,F27,J27),"")</f>
        <v/>
      </c>
      <c r="M27" s="5" t="n"/>
      <c r="N27" s="5" t="n"/>
    </row>
    <row r="28">
      <c r="A28" s="5" t="n">
        <v>3026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>
        <f>IFERROR(AVERAGE(D28,H28,I28),"")</f>
        <v/>
      </c>
      <c r="L28" s="5">
        <f>IFERROR(AVERAGE(E28,F28,J28),"")</f>
        <v/>
      </c>
      <c r="M28" s="5" t="n"/>
      <c r="N28" s="5" t="n"/>
    </row>
    <row r="29">
      <c r="A29" s="5" t="n">
        <v>3027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>
        <f>IFERROR(AVERAGE(D29,H29,I29),"")</f>
        <v/>
      </c>
      <c r="L29" s="5">
        <f>IFERROR(AVERAGE(E29,F29,J29),"")</f>
        <v/>
      </c>
      <c r="M29" s="5" t="n"/>
      <c r="N29" s="5" t="n"/>
    </row>
    <row r="30">
      <c r="A30" s="5" t="n">
        <v>3028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>
        <f>IFERROR(AVERAGE(D30,H30,I30),"")</f>
        <v/>
      </c>
      <c r="L30" s="5">
        <f>IFERROR(AVERAGE(E30,F30,J30),"")</f>
        <v/>
      </c>
      <c r="M30" s="5" t="n"/>
      <c r="N30" s="5" t="n"/>
    </row>
    <row r="31">
      <c r="A31" s="5" t="n">
        <v>3029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>
        <f>IFERROR(AVERAGE(D31,H31,I31),"")</f>
        <v/>
      </c>
      <c r="L31" s="5">
        <f>IFERROR(AVERAGE(E31,F31,J31),"")</f>
        <v/>
      </c>
      <c r="M31" s="5" t="n"/>
      <c r="N31" s="5" t="n"/>
    </row>
    <row r="32">
      <c r="A32" s="5" t="n">
        <v>3030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>
        <f>IFERROR(AVERAGE(D32,H32,I32),"")</f>
        <v/>
      </c>
      <c r="L32" s="5">
        <f>IFERROR(AVERAGE(E32,F32,J32),"")</f>
        <v/>
      </c>
      <c r="M32" s="5" t="n"/>
      <c r="N32" s="5" t="n"/>
    </row>
    <row r="33">
      <c r="A33" s="5" t="n">
        <v>3031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>
        <f>IFERROR(AVERAGE(D33,H33,I33),"")</f>
        <v/>
      </c>
      <c r="L33" s="5">
        <f>IFERROR(AVERAGE(E33,F33,J33),"")</f>
        <v/>
      </c>
      <c r="M33" s="5" t="n"/>
      <c r="N33" s="5" t="n"/>
    </row>
    <row r="34">
      <c r="A34" s="5" t="n">
        <v>3032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>
        <f>IFERROR(AVERAGE(D34,H34,I34),"")</f>
        <v/>
      </c>
      <c r="L34" s="5">
        <f>IFERROR(AVERAGE(E34,F34,J34),"")</f>
        <v/>
      </c>
      <c r="M34" s="5" t="n"/>
      <c r="N34" s="5" t="n"/>
    </row>
    <row r="35">
      <c r="A35" s="5" t="n">
        <v>3033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>
        <f>IFERROR(AVERAGE(D35,H35,I35),"")</f>
        <v/>
      </c>
      <c r="L35" s="5">
        <f>IFERROR(AVERAGE(E35,F35,J35),"")</f>
        <v/>
      </c>
      <c r="M35" s="5" t="n"/>
      <c r="N35" s="5" t="n"/>
    </row>
    <row r="36">
      <c r="A36" s="5" t="n">
        <v>3034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>
        <f>IFERROR(AVERAGE(D36,H36,I36),"")</f>
        <v/>
      </c>
      <c r="L36" s="5">
        <f>IFERROR(AVERAGE(E36,F36,J36),"")</f>
        <v/>
      </c>
      <c r="M36" s="5" t="n"/>
      <c r="N36" s="5" t="n"/>
    </row>
    <row r="37">
      <c r="A37" s="5" t="n">
        <v>3035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>
        <f>IFERROR(AVERAGE(D37,H37,I37),"")</f>
        <v/>
      </c>
      <c r="L37" s="5">
        <f>IFERROR(AVERAGE(E37,F37,J37),"")</f>
        <v/>
      </c>
      <c r="M37" s="5" t="n"/>
      <c r="N37" s="5" t="n"/>
    </row>
    <row r="38">
      <c r="A38" s="5" t="n">
        <v>3036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>
        <f>IFERROR(AVERAGE(D38,H38,I38),"")</f>
        <v/>
      </c>
      <c r="L38" s="5">
        <f>IFERROR(AVERAGE(E38,F38,J38),"")</f>
        <v/>
      </c>
      <c r="M38" s="5" t="n"/>
      <c r="N38" s="5" t="n"/>
    </row>
    <row r="39">
      <c r="A39" s="5" t="n">
        <v>3037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>
        <f>IFERROR(AVERAGE(D39,H39,I39),"")</f>
        <v/>
      </c>
      <c r="L39" s="5">
        <f>IFERROR(AVERAGE(E39,F39,J39),"")</f>
        <v/>
      </c>
      <c r="M39" s="5" t="n"/>
      <c r="N39" s="5" t="n"/>
    </row>
    <row r="40">
      <c r="A40" s="5" t="n">
        <v>3038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>
        <f>IFERROR(AVERAGE(D40,H40,I40),"")</f>
        <v/>
      </c>
      <c r="L40" s="5">
        <f>IFERROR(AVERAGE(E40,F40,J40),"")</f>
        <v/>
      </c>
      <c r="M40" s="5" t="n"/>
      <c r="N40" s="5" t="n"/>
    </row>
    <row r="41">
      <c r="A41" s="5" t="n">
        <v>3039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>
        <f>IFERROR(AVERAGE(D41,H41,I41),"")</f>
        <v/>
      </c>
      <c r="L41" s="5">
        <f>IFERROR(AVERAGE(E41,F41,J41),"")</f>
        <v/>
      </c>
      <c r="M41" s="5" t="n"/>
      <c r="N41" s="5" t="n"/>
    </row>
    <row r="42">
      <c r="A42" s="5" t="n">
        <v>3040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>
        <f>IFERROR(AVERAGE(D42,H42,I42),"")</f>
        <v/>
      </c>
      <c r="L42" s="5">
        <f>IFERROR(AVERAGE(E42,F42,J42),"")</f>
        <v/>
      </c>
      <c r="M42" s="5" t="n"/>
      <c r="N42" s="5" t="n"/>
    </row>
    <row r="43">
      <c r="A43" s="5" t="n">
        <v>3041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>
        <f>IFERROR(AVERAGE(D43,H43,I43),"")</f>
        <v/>
      </c>
      <c r="L43" s="5">
        <f>IFERROR(AVERAGE(E43,F43,J43),"")</f>
        <v/>
      </c>
      <c r="M43" s="5" t="n"/>
      <c r="N43" s="5" t="n"/>
    </row>
    <row r="44">
      <c r="A44" s="5" t="n">
        <v>3042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>
        <f>IFERROR(AVERAGE(D44,H44,I44),"")</f>
        <v/>
      </c>
      <c r="L44" s="5">
        <f>IFERROR(AVERAGE(E44,F44,J44),"")</f>
        <v/>
      </c>
      <c r="M44" s="5" t="n"/>
      <c r="N44" s="5" t="n"/>
    </row>
    <row r="45">
      <c r="A45" s="5" t="n">
        <v>3043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>
        <f>IFERROR(AVERAGE(D45,H45,I45),"")</f>
        <v/>
      </c>
      <c r="L45" s="5">
        <f>IFERROR(AVERAGE(E45,F45,J45),"")</f>
        <v/>
      </c>
      <c r="M45" s="5" t="n"/>
      <c r="N45" s="5" t="n"/>
    </row>
    <row r="46">
      <c r="A46" s="5" t="n">
        <v>3044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>
        <f>IFERROR(AVERAGE(D46,H46,I46),"")</f>
        <v/>
      </c>
      <c r="L46" s="5">
        <f>IFERROR(AVERAGE(E46,F46,J46),"")</f>
        <v/>
      </c>
      <c r="M46" s="5" t="n"/>
      <c r="N46" s="5" t="n"/>
    </row>
    <row r="47">
      <c r="A47" s="5" t="n">
        <v>3045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>
        <f>IFERROR(AVERAGE(D47,H47,I47),"")</f>
        <v/>
      </c>
      <c r="L47" s="5">
        <f>IFERROR(AVERAGE(E47,F47,J47),"")</f>
        <v/>
      </c>
      <c r="M47" s="5" t="n"/>
      <c r="N47" s="5" t="n"/>
    </row>
    <row r="48">
      <c r="A48" s="5" t="n">
        <v>3046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>
        <f>IFERROR(AVERAGE(D48,H48,I48),"")</f>
        <v/>
      </c>
      <c r="L48" s="5">
        <f>IFERROR(AVERAGE(E48,F48,J48),"")</f>
        <v/>
      </c>
      <c r="M48" s="5" t="n"/>
      <c r="N48" s="5" t="n"/>
    </row>
    <row r="49">
      <c r="A49" s="5" t="n">
        <v>3047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>
        <f>IFERROR(AVERAGE(D49,H49,I49),"")</f>
        <v/>
      </c>
      <c r="L49" s="5">
        <f>IFERROR(AVERAGE(E49,F49,J49),"")</f>
        <v/>
      </c>
      <c r="M49" s="5" t="n"/>
      <c r="N49" s="5" t="n"/>
    </row>
    <row r="50">
      <c r="A50" s="5" t="n">
        <v>3048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>
        <f>IFERROR(AVERAGE(D50,H50,I50),"")</f>
        <v/>
      </c>
      <c r="L50" s="5">
        <f>IFERROR(AVERAGE(E50,F50,J50),"")</f>
        <v/>
      </c>
      <c r="M50" s="5" t="n"/>
      <c r="N50" s="5" t="n"/>
    </row>
    <row r="51">
      <c r="A51" s="5" t="n">
        <v>3049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>
        <f>IFERROR(AVERAGE(D51,H51,I51),"")</f>
        <v/>
      </c>
      <c r="L51" s="5">
        <f>IFERROR(AVERAGE(E51,F51,J51),"")</f>
        <v/>
      </c>
      <c r="M51" s="5" t="n"/>
      <c r="N51" s="5" t="n"/>
    </row>
    <row r="52">
      <c r="A52" s="5" t="n">
        <v>3050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>
        <f>IFERROR(AVERAGE(D52,H52,I52),"")</f>
        <v/>
      </c>
      <c r="L52" s="5">
        <f>IFERROR(AVERAGE(E52,F52,J52),"")</f>
        <v/>
      </c>
      <c r="M52" s="5" t="n"/>
      <c r="N52" s="5" t="n"/>
    </row>
    <row r="53">
      <c r="A53" s="5" t="n">
        <v>3051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>
        <f>IFERROR(AVERAGE(D53,H53,I53),"")</f>
        <v/>
      </c>
      <c r="L53" s="5">
        <f>IFERROR(AVERAGE(E53,F53,J53),"")</f>
        <v/>
      </c>
      <c r="M53" s="5" t="n"/>
      <c r="N53" s="5" t="n"/>
    </row>
    <row r="54">
      <c r="A54" s="5" t="n">
        <v>3052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>
        <f>IFERROR(AVERAGE(D54,H54,I54),"")</f>
        <v/>
      </c>
      <c r="L54" s="5">
        <f>IFERROR(AVERAGE(E54,F54,J54),"")</f>
        <v/>
      </c>
      <c r="M54" s="5" t="n"/>
      <c r="N54" s="5" t="n"/>
    </row>
    <row r="55">
      <c r="A55" s="5" t="n">
        <v>3053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>
        <f>IFERROR(AVERAGE(D55,H55,I55),"")</f>
        <v/>
      </c>
      <c r="L55" s="5">
        <f>IFERROR(AVERAGE(E55,F55,J55),"")</f>
        <v/>
      </c>
      <c r="M55" s="5" t="n"/>
      <c r="N55" s="5" t="n"/>
    </row>
    <row r="56">
      <c r="A56" s="5" t="n">
        <v>3054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>
        <f>IFERROR(AVERAGE(D56,H56,I56),"")</f>
        <v/>
      </c>
      <c r="L56" s="5">
        <f>IFERROR(AVERAGE(E56,F56,J56),"")</f>
        <v/>
      </c>
      <c r="M56" s="5" t="n"/>
      <c r="N56" s="5" t="n"/>
    </row>
    <row r="57">
      <c r="A57" s="5" t="n">
        <v>3055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>
        <f>IFERROR(AVERAGE(D57,H57,I57),"")</f>
        <v/>
      </c>
      <c r="L57" s="5">
        <f>IFERROR(AVERAGE(E57,F57,J57),"")</f>
        <v/>
      </c>
      <c r="M57" s="5" t="n"/>
      <c r="N57" s="5" t="n"/>
    </row>
    <row r="58">
      <c r="A58" s="5" t="n">
        <v>3056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>
        <f>IFERROR(AVERAGE(D58,H58,I58),"")</f>
        <v/>
      </c>
      <c r="L58" s="5">
        <f>IFERROR(AVERAGE(E58,F58,J58),"")</f>
        <v/>
      </c>
      <c r="M58" s="5" t="n"/>
      <c r="N58" s="5" t="n"/>
    </row>
    <row r="59">
      <c r="A59" s="5" t="n">
        <v>3057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>
        <f>IFERROR(AVERAGE(D59,H59,I59),"")</f>
        <v/>
      </c>
      <c r="L59" s="5">
        <f>IFERROR(AVERAGE(E59,F59,J59),"")</f>
        <v/>
      </c>
      <c r="M59" s="5" t="n"/>
      <c r="N59" s="5" t="n"/>
    </row>
    <row r="60">
      <c r="A60" s="5" t="n">
        <v>3058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>
        <f>IFERROR(AVERAGE(D60,H60,I60),"")</f>
        <v/>
      </c>
      <c r="L60" s="5">
        <f>IFERROR(AVERAGE(E60,F60,J60),"")</f>
        <v/>
      </c>
      <c r="M60" s="5" t="n"/>
      <c r="N60" s="5" t="n"/>
    </row>
    <row r="61">
      <c r="A61" s="5" t="n">
        <v>3059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>
        <f>IFERROR(AVERAGE(D61,H61,I61),"")</f>
        <v/>
      </c>
      <c r="L61" s="5">
        <f>IFERROR(AVERAGE(E61,F61,J61),"")</f>
        <v/>
      </c>
      <c r="M61" s="5" t="n"/>
      <c r="N61" s="5" t="n"/>
    </row>
    <row r="62">
      <c r="A62" s="5" t="n">
        <v>3060</v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>
        <f>IFERROR(AVERAGE(D62,H62,I62),"")</f>
        <v/>
      </c>
      <c r="L62" s="5">
        <f>IFERROR(AVERAGE(E62,F62,J62),"")</f>
        <v/>
      </c>
      <c r="M62" s="5" t="n"/>
      <c r="N62" s="5" t="n"/>
    </row>
    <row r="63">
      <c r="A63" s="5" t="n">
        <v>3061</v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>
        <f>IFERROR(AVERAGE(D63,H63,I63),"")</f>
        <v/>
      </c>
      <c r="L63" s="5">
        <f>IFERROR(AVERAGE(E63,F63,J63),"")</f>
        <v/>
      </c>
      <c r="M63" s="5" t="n"/>
      <c r="N63" s="5" t="n"/>
    </row>
    <row r="64">
      <c r="A64" s="5" t="n">
        <v>3062</v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>
        <f>IFERROR(AVERAGE(D64,H64,I64),"")</f>
        <v/>
      </c>
      <c r="L64" s="5">
        <f>IFERROR(AVERAGE(E64,F64,J64),"")</f>
        <v/>
      </c>
      <c r="M64" s="5" t="n"/>
      <c r="N64" s="5" t="n"/>
    </row>
    <row r="65">
      <c r="A65" s="5" t="n">
        <v>3063</v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>
        <f>IFERROR(AVERAGE(D65,H65,I65),"")</f>
        <v/>
      </c>
      <c r="L65" s="5">
        <f>IFERROR(AVERAGE(E65,F65,J65),"")</f>
        <v/>
      </c>
      <c r="M65" s="5" t="n"/>
      <c r="N65" s="5" t="n"/>
    </row>
    <row r="66">
      <c r="A66" s="5" t="n">
        <v>3064</v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>
        <f>IFERROR(AVERAGE(D66,H66,I66),"")</f>
        <v/>
      </c>
      <c r="L66" s="5">
        <f>IFERROR(AVERAGE(E66,F66,J66),"")</f>
        <v/>
      </c>
      <c r="M66" s="5" t="n"/>
      <c r="N66" s="5" t="n"/>
    </row>
    <row r="67">
      <c r="A67" s="5" t="n">
        <v>3065</v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>
        <f>IFERROR(AVERAGE(D67,H67,I67),"")</f>
        <v/>
      </c>
      <c r="L67" s="5">
        <f>IFERROR(AVERAGE(E67,F67,J67),"")</f>
        <v/>
      </c>
      <c r="M67" s="5" t="n"/>
      <c r="N67" s="5" t="n"/>
    </row>
    <row r="68">
      <c r="A68" s="5" t="n">
        <v>3066</v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>
        <f>IFERROR(AVERAGE(D68,H68,I68),"")</f>
        <v/>
      </c>
      <c r="L68" s="5">
        <f>IFERROR(AVERAGE(E68,F68,J68),"")</f>
        <v/>
      </c>
      <c r="M68" s="5" t="n"/>
      <c r="N68" s="5" t="n"/>
    </row>
    <row r="69">
      <c r="A69" s="5" t="n">
        <v>3067</v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>
        <f>IFERROR(AVERAGE(D69,H69,I69),"")</f>
        <v/>
      </c>
      <c r="L69" s="5">
        <f>IFERROR(AVERAGE(E69,F69,J69),"")</f>
        <v/>
      </c>
      <c r="M69" s="5" t="n"/>
      <c r="N69" s="5" t="n"/>
    </row>
    <row r="70">
      <c r="A70" s="5" t="n">
        <v>3068</v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>
        <f>IFERROR(AVERAGE(D70,H70,I70),"")</f>
        <v/>
      </c>
      <c r="L70" s="5">
        <f>IFERROR(AVERAGE(E70,F70,J70),"")</f>
        <v/>
      </c>
      <c r="M70" s="5" t="n"/>
      <c r="N70" s="5" t="n"/>
    </row>
    <row r="71">
      <c r="A71" s="5" t="n">
        <v>3069</v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>
        <f>IFERROR(AVERAGE(D71,H71,I71),"")</f>
        <v/>
      </c>
      <c r="L71" s="5">
        <f>IFERROR(AVERAGE(E71,F71,J71),"")</f>
        <v/>
      </c>
      <c r="M71" s="5" t="n"/>
      <c r="N71" s="5" t="n"/>
    </row>
    <row r="72">
      <c r="A72" s="5" t="n">
        <v>3070</v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>
        <f>IFERROR(AVERAGE(D72,H72,I72),"")</f>
        <v/>
      </c>
      <c r="L72" s="5">
        <f>IFERROR(AVERAGE(E72,F72,J72),"")</f>
        <v/>
      </c>
      <c r="M72" s="5" t="n"/>
      <c r="N72" s="5" t="n"/>
    </row>
    <row r="73">
      <c r="A73" s="5" t="n">
        <v>3071</v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>
        <f>IFERROR(AVERAGE(D73,H73,I73),"")</f>
        <v/>
      </c>
      <c r="L73" s="5">
        <f>IFERROR(AVERAGE(E73,F73,J73),"")</f>
        <v/>
      </c>
      <c r="M73" s="5" t="n"/>
      <c r="N73" s="5" t="n"/>
    </row>
    <row r="74">
      <c r="A74" s="5" t="n">
        <v>3072</v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>
        <f>IFERROR(AVERAGE(D74,H74,I74),"")</f>
        <v/>
      </c>
      <c r="L74" s="5">
        <f>IFERROR(AVERAGE(E74,F74,J74),"")</f>
        <v/>
      </c>
      <c r="M74" s="5" t="n"/>
      <c r="N74" s="5" t="n"/>
    </row>
    <row r="75">
      <c r="A75" s="5" t="n">
        <v>3073</v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>
        <f>IFERROR(AVERAGE(D75,H75,I75),"")</f>
        <v/>
      </c>
      <c r="L75" s="5">
        <f>IFERROR(AVERAGE(E75,F75,J75),"")</f>
        <v/>
      </c>
      <c r="M75" s="5" t="n"/>
      <c r="N75" s="5" t="n"/>
    </row>
    <row r="76">
      <c r="A76" s="5" t="n">
        <v>3074</v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>
        <f>IFERROR(AVERAGE(D76,H76,I76),"")</f>
        <v/>
      </c>
      <c r="L76" s="5">
        <f>IFERROR(AVERAGE(E76,F76,J76),"")</f>
        <v/>
      </c>
      <c r="M76" s="5" t="n"/>
      <c r="N76" s="5" t="n"/>
    </row>
    <row r="77">
      <c r="A77" s="5" t="n">
        <v>3075</v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>
        <f>IFERROR(AVERAGE(D77,H77,I77),"")</f>
        <v/>
      </c>
      <c r="L77" s="5">
        <f>IFERROR(AVERAGE(E77,F77,J77),"")</f>
        <v/>
      </c>
      <c r="M77" s="5" t="n"/>
      <c r="N77" s="5" t="n"/>
    </row>
    <row r="78">
      <c r="A78" s="5" t="n">
        <v>3076</v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>
        <f>IFERROR(AVERAGE(D78,H78,I78),"")</f>
        <v/>
      </c>
      <c r="L78" s="5">
        <f>IFERROR(AVERAGE(E78,F78,J78),"")</f>
        <v/>
      </c>
      <c r="M78" s="5" t="n"/>
      <c r="N78" s="5" t="n"/>
    </row>
    <row r="79">
      <c r="A79" s="5" t="n">
        <v>3077</v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>
        <f>IFERROR(AVERAGE(D79,H79,I79),"")</f>
        <v/>
      </c>
      <c r="L79" s="5">
        <f>IFERROR(AVERAGE(E79,F79,J79),"")</f>
        <v/>
      </c>
      <c r="M79" s="5" t="n"/>
      <c r="N79" s="5" t="n"/>
    </row>
    <row r="80">
      <c r="A80" s="5" t="n">
        <v>3078</v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>
        <f>IFERROR(AVERAGE(D80,H80,I80),"")</f>
        <v/>
      </c>
      <c r="L80" s="5">
        <f>IFERROR(AVERAGE(E80,F80,J80),"")</f>
        <v/>
      </c>
      <c r="M80" s="5" t="n"/>
      <c r="N80" s="5" t="n"/>
    </row>
    <row r="81">
      <c r="A81" s="5" t="n">
        <v>3079</v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>
        <f>IFERROR(AVERAGE(D81,H81,I81),"")</f>
        <v/>
      </c>
      <c r="L81" s="5">
        <f>IFERROR(AVERAGE(E81,F81,J81),"")</f>
        <v/>
      </c>
      <c r="M81" s="5" t="n"/>
      <c r="N81" s="5" t="n"/>
    </row>
    <row r="82">
      <c r="A82" s="5" t="n">
        <v>3080</v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>
        <f>IFERROR(AVERAGE(D82,H82,I82),"")</f>
        <v/>
      </c>
      <c r="L82" s="5">
        <f>IFERROR(AVERAGE(E82,F82,J82),"")</f>
        <v/>
      </c>
      <c r="M82" s="5" t="n"/>
      <c r="N82" s="5" t="n"/>
    </row>
    <row r="83">
      <c r="A83" s="5" t="n">
        <v>3081</v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>
        <f>IFERROR(AVERAGE(D83,H83,I83),"")</f>
        <v/>
      </c>
      <c r="L83" s="5">
        <f>IFERROR(AVERAGE(E83,F83,J83),"")</f>
        <v/>
      </c>
      <c r="M83" s="5" t="n"/>
      <c r="N83" s="5" t="n"/>
    </row>
    <row r="84">
      <c r="A84" s="5" t="n">
        <v>3082</v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>
        <f>IFERROR(AVERAGE(D84,H84,I84),"")</f>
        <v/>
      </c>
      <c r="L84" s="5">
        <f>IFERROR(AVERAGE(E84,F84,J84),"")</f>
        <v/>
      </c>
      <c r="M84" s="5" t="n"/>
      <c r="N84" s="5" t="n"/>
    </row>
    <row r="85">
      <c r="A85" s="5" t="n">
        <v>3083</v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>
        <f>IFERROR(AVERAGE(D85,H85,I85),"")</f>
        <v/>
      </c>
      <c r="L85" s="5">
        <f>IFERROR(AVERAGE(E85,F85,J85),"")</f>
        <v/>
      </c>
      <c r="M85" s="5" t="n"/>
      <c r="N85" s="5" t="n"/>
    </row>
    <row r="86">
      <c r="A86" s="5" t="n">
        <v>3084</v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>
        <f>IFERROR(AVERAGE(D86,H86,I86),"")</f>
        <v/>
      </c>
      <c r="L86" s="5">
        <f>IFERROR(AVERAGE(E86,F86,J86),"")</f>
        <v/>
      </c>
      <c r="M86" s="5" t="n"/>
      <c r="N86" s="5" t="n"/>
    </row>
    <row r="87">
      <c r="A87" s="5" t="n">
        <v>3085</v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>
        <f>IFERROR(AVERAGE(D87,H87,I87),"")</f>
        <v/>
      </c>
      <c r="L87" s="5">
        <f>IFERROR(AVERAGE(E87,F87,J87),"")</f>
        <v/>
      </c>
      <c r="M87" s="5" t="n"/>
      <c r="N87" s="5" t="n"/>
    </row>
    <row r="88">
      <c r="A88" s="5" t="n">
        <v>3086</v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>
        <f>IFERROR(AVERAGE(D88,H88,I88),"")</f>
        <v/>
      </c>
      <c r="L88" s="5">
        <f>IFERROR(AVERAGE(E88,F88,J88),"")</f>
        <v/>
      </c>
      <c r="M88" s="5" t="n"/>
      <c r="N88" s="5" t="n"/>
    </row>
    <row r="89">
      <c r="A89" s="5" t="n">
        <v>3087</v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>
        <f>IFERROR(AVERAGE(D89,H89,I89),"")</f>
        <v/>
      </c>
      <c r="L89" s="5">
        <f>IFERROR(AVERAGE(E89,F89,J89),"")</f>
        <v/>
      </c>
      <c r="M89" s="5" t="n"/>
      <c r="N89" s="5" t="n"/>
    </row>
    <row r="90">
      <c r="A90" s="5" t="n">
        <v>3088</v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>
        <f>IFERROR(AVERAGE(D90,H90,I90),"")</f>
        <v/>
      </c>
      <c r="L90" s="5">
        <f>IFERROR(AVERAGE(E90,F90,J90),"")</f>
        <v/>
      </c>
      <c r="M90" s="5" t="n"/>
      <c r="N90" s="5" t="n"/>
    </row>
    <row r="91">
      <c r="A91" s="5" t="n">
        <v>3089</v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>
        <f>IFERROR(AVERAGE(D91,H91,I91),"")</f>
        <v/>
      </c>
      <c r="L91" s="5">
        <f>IFERROR(AVERAGE(E91,F91,J91),"")</f>
        <v/>
      </c>
      <c r="M91" s="5" t="n"/>
      <c r="N91" s="5" t="n"/>
    </row>
    <row r="92">
      <c r="A92" s="5" t="n">
        <v>3090</v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>
        <f>IFERROR(AVERAGE(D92,H92,I92),"")</f>
        <v/>
      </c>
      <c r="L92" s="5">
        <f>IFERROR(AVERAGE(E92,F92,J92),"")</f>
        <v/>
      </c>
      <c r="M92" s="5" t="n"/>
      <c r="N92" s="5" t="n"/>
    </row>
    <row r="93">
      <c r="A93" s="5" t="n">
        <v>3091</v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>
        <f>IFERROR(AVERAGE(D93,H93,I93),"")</f>
        <v/>
      </c>
      <c r="L93" s="5">
        <f>IFERROR(AVERAGE(E93,F93,J93),"")</f>
        <v/>
      </c>
      <c r="M93" s="5" t="n"/>
      <c r="N93" s="5" t="n"/>
    </row>
    <row r="94">
      <c r="A94" s="5" t="n">
        <v>3092</v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>
        <f>IFERROR(AVERAGE(D94,H94,I94),"")</f>
        <v/>
      </c>
      <c r="L94" s="5">
        <f>IFERROR(AVERAGE(E94,F94,J94),"")</f>
        <v/>
      </c>
      <c r="M94" s="5" t="n"/>
      <c r="N94" s="5" t="n"/>
    </row>
    <row r="95">
      <c r="A95" s="5" t="n">
        <v>3093</v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>
        <f>IFERROR(AVERAGE(D95,H95,I95),"")</f>
        <v/>
      </c>
      <c r="L95" s="5">
        <f>IFERROR(AVERAGE(E95,F95,J95),"")</f>
        <v/>
      </c>
      <c r="M95" s="5" t="n"/>
      <c r="N95" s="5" t="n"/>
    </row>
    <row r="96">
      <c r="A96" s="5" t="n">
        <v>3094</v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>
        <f>IFERROR(AVERAGE(D96,H96,I96),"")</f>
        <v/>
      </c>
      <c r="L96" s="5">
        <f>IFERROR(AVERAGE(E96,F96,J96),"")</f>
        <v/>
      </c>
      <c r="M96" s="5" t="n"/>
      <c r="N96" s="5" t="n"/>
    </row>
    <row r="97">
      <c r="A97" s="5" t="n">
        <v>3095</v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>
        <f>IFERROR(AVERAGE(D97,H97,I97),"")</f>
        <v/>
      </c>
      <c r="L97" s="5">
        <f>IFERROR(AVERAGE(E97,F97,J97),"")</f>
        <v/>
      </c>
      <c r="M97" s="5" t="n"/>
      <c r="N97" s="5" t="n"/>
    </row>
    <row r="98">
      <c r="A98" s="5" t="n">
        <v>3096</v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>
        <f>IFERROR(AVERAGE(D98,H98,I98),"")</f>
        <v/>
      </c>
      <c r="L98" s="5">
        <f>IFERROR(AVERAGE(E98,F98,J98),"")</f>
        <v/>
      </c>
      <c r="M98" s="5" t="n"/>
      <c r="N98" s="5" t="n"/>
    </row>
    <row r="99">
      <c r="A99" s="5" t="n">
        <v>3097</v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>
        <f>IFERROR(AVERAGE(D99,H99,I99),"")</f>
        <v/>
      </c>
      <c r="L99" s="5">
        <f>IFERROR(AVERAGE(E99,F99,J99),"")</f>
        <v/>
      </c>
      <c r="M99" s="5" t="n"/>
      <c r="N99" s="5" t="n"/>
    </row>
    <row r="100">
      <c r="A100" s="5" t="n">
        <v>3098</v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>
        <f>IFERROR(AVERAGE(D100,H100,I100),"")</f>
        <v/>
      </c>
      <c r="L100" s="5">
        <f>IFERROR(AVERAGE(E100,F100,J100),"")</f>
        <v/>
      </c>
      <c r="M100" s="5" t="n"/>
      <c r="N100" s="5" t="n"/>
    </row>
    <row r="101">
      <c r="A101" s="5" t="n">
        <v>3099</v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>
        <f>IFERROR(AVERAGE(D101,H101,I101),"")</f>
        <v/>
      </c>
      <c r="L101" s="5">
        <f>IFERROR(AVERAGE(E101,F101,J101),"")</f>
        <v/>
      </c>
      <c r="M101" s="5" t="n"/>
      <c r="N101" s="5" t="n"/>
    </row>
    <row r="102">
      <c r="A102" s="5" t="n">
        <v>3100</v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>
        <f>IFERROR(AVERAGE(D102,H102,I102),"")</f>
        <v/>
      </c>
      <c r="L102" s="5">
        <f>IFERROR(AVERAGE(E102,F102,J102),"")</f>
        <v/>
      </c>
      <c r="M102" s="5" t="n"/>
      <c r="N102" s="5" t="n"/>
    </row>
    <row r="103">
      <c r="A103" s="5" t="n">
        <v>3101</v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>
        <f>IFERROR(AVERAGE(D103,H103,I103),"")</f>
        <v/>
      </c>
      <c r="L103" s="5">
        <f>IFERROR(AVERAGE(E103,F103,J103),"")</f>
        <v/>
      </c>
      <c r="M103" s="5" t="n"/>
      <c r="N103" s="5" t="n"/>
    </row>
    <row r="104">
      <c r="A104" s="5" t="n">
        <v>3102</v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>
        <f>IFERROR(AVERAGE(D104,H104,I104),"")</f>
        <v/>
      </c>
      <c r="L104" s="5">
        <f>IFERROR(AVERAGE(E104,F104,J104),"")</f>
        <v/>
      </c>
      <c r="M104" s="5" t="n"/>
      <c r="N104" s="5" t="n"/>
    </row>
    <row r="105">
      <c r="A105" s="5" t="n">
        <v>3103</v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>
        <f>IFERROR(AVERAGE(D105,H105,I105),"")</f>
        <v/>
      </c>
      <c r="L105" s="5">
        <f>IFERROR(AVERAGE(E105,F105,J105),"")</f>
        <v/>
      </c>
      <c r="M105" s="5" t="n"/>
      <c r="N105" s="5" t="n"/>
    </row>
    <row r="106">
      <c r="A106" s="5" t="n">
        <v>3104</v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>
        <f>IFERROR(AVERAGE(D106,H106,I106),"")</f>
        <v/>
      </c>
      <c r="L106" s="5">
        <f>IFERROR(AVERAGE(E106,F106,J106),"")</f>
        <v/>
      </c>
      <c r="M106" s="5" t="n"/>
      <c r="N106" s="5" t="n"/>
    </row>
    <row r="107">
      <c r="A107" s="5" t="n">
        <v>3105</v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>
        <f>IFERROR(AVERAGE(D107,H107,I107),"")</f>
        <v/>
      </c>
      <c r="L107" s="5">
        <f>IFERROR(AVERAGE(E107,F107,J107),"")</f>
        <v/>
      </c>
      <c r="M107" s="5" t="n"/>
      <c r="N107" s="5" t="n"/>
    </row>
    <row r="108">
      <c r="A108" s="5" t="n">
        <v>3106</v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>
        <f>IFERROR(AVERAGE(D108,H108,I108),"")</f>
        <v/>
      </c>
      <c r="L108" s="5">
        <f>IFERROR(AVERAGE(E108,F108,J108),"")</f>
        <v/>
      </c>
      <c r="M108" s="5" t="n"/>
      <c r="N108" s="5" t="n"/>
    </row>
    <row r="109">
      <c r="A109" s="5" t="n">
        <v>3107</v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>
        <f>IFERROR(AVERAGE(D109,H109,I109),"")</f>
        <v/>
      </c>
      <c r="L109" s="5">
        <f>IFERROR(AVERAGE(E109,F109,J109),"")</f>
        <v/>
      </c>
      <c r="M109" s="5" t="n"/>
      <c r="N109" s="5" t="n"/>
    </row>
    <row r="110">
      <c r="A110" s="5" t="n">
        <v>3108</v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>
        <f>IFERROR(AVERAGE(D110,H110,I110),"")</f>
        <v/>
      </c>
      <c r="L110" s="5">
        <f>IFERROR(AVERAGE(E110,F110,J110),"")</f>
        <v/>
      </c>
      <c r="M110" s="5" t="n"/>
      <c r="N110" s="5" t="n"/>
    </row>
    <row r="111">
      <c r="A111" s="5" t="n">
        <v>3109</v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>
        <f>IFERROR(AVERAGE(D111,H111,I111),"")</f>
        <v/>
      </c>
      <c r="L111" s="5">
        <f>IFERROR(AVERAGE(E111,F111,J111),"")</f>
        <v/>
      </c>
      <c r="M111" s="5" t="n"/>
      <c r="N111" s="5" t="n"/>
    </row>
    <row r="112">
      <c r="A112" s="5" t="n">
        <v>3110</v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>
        <f>IFERROR(AVERAGE(D112,H112,I112),"")</f>
        <v/>
      </c>
      <c r="L112" s="5">
        <f>IFERROR(AVERAGE(E112,F112,J112),"")</f>
        <v/>
      </c>
      <c r="M112" s="5" t="n"/>
      <c r="N112" s="5" t="n"/>
    </row>
    <row r="113">
      <c r="A113" s="5" t="n">
        <v>3111</v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>
        <f>IFERROR(AVERAGE(D113,H113,I113),"")</f>
        <v/>
      </c>
      <c r="L113" s="5">
        <f>IFERROR(AVERAGE(E113,F113,J113),"")</f>
        <v/>
      </c>
      <c r="M113" s="5" t="n"/>
      <c r="N113" s="5" t="n"/>
    </row>
    <row r="114">
      <c r="A114" s="5" t="n">
        <v>3112</v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>
        <f>IFERROR(AVERAGE(D114,H114,I114),"")</f>
        <v/>
      </c>
      <c r="L114" s="5">
        <f>IFERROR(AVERAGE(E114,F114,J114),"")</f>
        <v/>
      </c>
      <c r="M114" s="5" t="n"/>
      <c r="N114" s="5" t="n"/>
    </row>
    <row r="115">
      <c r="A115" s="5" t="n">
        <v>3113</v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>
        <f>IFERROR(AVERAGE(D115,H115,I115),"")</f>
        <v/>
      </c>
      <c r="L115" s="5">
        <f>IFERROR(AVERAGE(E115,F115,J115),"")</f>
        <v/>
      </c>
      <c r="M115" s="5" t="n"/>
      <c r="N115" s="5" t="n"/>
    </row>
    <row r="116">
      <c r="A116" s="5" t="n">
        <v>3114</v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>
        <f>IFERROR(AVERAGE(D116,H116,I116),"")</f>
        <v/>
      </c>
      <c r="L116" s="5">
        <f>IFERROR(AVERAGE(E116,F116,J116),"")</f>
        <v/>
      </c>
      <c r="M116" s="5" t="n"/>
      <c r="N116" s="5" t="n"/>
    </row>
    <row r="117">
      <c r="A117" s="5" t="n">
        <v>3115</v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>
        <f>IFERROR(AVERAGE(D117,H117,I117),"")</f>
        <v/>
      </c>
      <c r="L117" s="5">
        <f>IFERROR(AVERAGE(E117,F117,J117),"")</f>
        <v/>
      </c>
      <c r="M117" s="5" t="n"/>
      <c r="N117" s="5" t="n"/>
    </row>
    <row r="118">
      <c r="A118" s="5" t="n">
        <v>3116</v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>
        <f>IFERROR(AVERAGE(D118,H118,I118),"")</f>
        <v/>
      </c>
      <c r="L118" s="5">
        <f>IFERROR(AVERAGE(E118,F118,J118),"")</f>
        <v/>
      </c>
      <c r="M118" s="5" t="n"/>
      <c r="N118" s="5" t="n"/>
    </row>
    <row r="119">
      <c r="A119" s="5" t="n">
        <v>3117</v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>
        <f>IFERROR(AVERAGE(D119,H119,I119),"")</f>
        <v/>
      </c>
      <c r="L119" s="5">
        <f>IFERROR(AVERAGE(E119,F119,J119),"")</f>
        <v/>
      </c>
      <c r="M119" s="5" t="n"/>
      <c r="N119" s="5" t="n"/>
    </row>
    <row r="120">
      <c r="A120" s="5" t="n">
        <v>3118</v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>
        <f>IFERROR(AVERAGE(D120,H120,I120),"")</f>
        <v/>
      </c>
      <c r="L120" s="5">
        <f>IFERROR(AVERAGE(E120,F120,J120),"")</f>
        <v/>
      </c>
      <c r="M120" s="5" t="n"/>
      <c r="N120" s="5" t="n"/>
    </row>
    <row r="121">
      <c r="A121" s="5" t="n">
        <v>3119</v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>
        <f>IFERROR(AVERAGE(D121,H121,I121),"")</f>
        <v/>
      </c>
      <c r="L121" s="5">
        <f>IFERROR(AVERAGE(E121,F121,J121),"")</f>
        <v/>
      </c>
      <c r="M121" s="5" t="n"/>
      <c r="N121" s="5" t="n"/>
    </row>
    <row r="122">
      <c r="A122" s="5" t="n">
        <v>3120</v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>
        <f>IFERROR(AVERAGE(D122,H122,I122),"")</f>
        <v/>
      </c>
      <c r="L122" s="5">
        <f>IFERROR(AVERAGE(E122,F122,J122),"")</f>
        <v/>
      </c>
      <c r="M122" s="5" t="n"/>
      <c r="N122" s="5" t="n"/>
    </row>
  </sheetData>
  <dataValidations count="1">
    <dataValidation sqref="C3:J122" showDropDown="0" showInputMessage="1" showErrorMessage="1" allowBlank="1" errorTitle="Out of range" error="Please enter 1–7." type="whole" operator="between">
      <formula1>1</formula1>
      <formula2>7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2" customWidth="1" min="8" max="8"/>
    <col width="18" customWidth="1" min="9" max="9"/>
    <col width="18" customWidth="1" min="10" max="10"/>
  </cols>
  <sheetData>
    <row r="1">
      <c r="A1" s="3" t="inlineStr">
        <is>
          <t>Participant_ID</t>
        </is>
      </c>
      <c r="B1" s="3" t="inlineStr">
        <is>
          <t>Completed_Session1</t>
        </is>
      </c>
      <c r="C1" s="3" t="inlineStr">
        <is>
          <t>Initial_Dropout</t>
        </is>
      </c>
      <c r="D1" s="3" t="inlineStr">
        <is>
          <t>Voluntary_Return</t>
        </is>
      </c>
      <c r="E1" s="3" t="inlineStr">
        <is>
          <t>InSession_Retention</t>
        </is>
      </c>
      <c r="F1" s="3" t="inlineStr">
        <is>
          <t>Regular_Use_Intent</t>
        </is>
      </c>
      <c r="G1" s="3" t="inlineStr">
        <is>
          <t>Coord_Endorse</t>
        </is>
      </c>
      <c r="H1" s="3" t="inlineStr">
        <is>
          <t>FIAS_F_Code</t>
        </is>
      </c>
      <c r="I1" s="3" t="inlineStr">
        <is>
          <t>Sessions_Completed</t>
        </is>
      </c>
      <c r="J1" s="3" t="inlineStr">
        <is>
          <t>Post_minus_Pre_FRA</t>
        </is>
      </c>
    </row>
    <row r="2">
      <c r="A2" s="5" t="n">
        <v>3001</v>
      </c>
      <c r="B2" s="5" t="n"/>
      <c r="C2" s="5" t="n"/>
      <c r="D2" s="5" t="n"/>
      <c r="E2" s="5" t="n"/>
      <c r="F2" s="5" t="n"/>
      <c r="G2" s="5" t="n"/>
      <c r="H2" s="5" t="n"/>
      <c r="I2" s="5">
        <f>COUNTIFS('Game Telemetry'!A:A,A2,'Game Telemetry'!D:D,"&gt;0")</f>
        <v/>
      </c>
      <c r="J2" s="5" t="n"/>
    </row>
    <row r="3">
      <c r="A3" s="5" t="n">
        <v>3002</v>
      </c>
      <c r="B3" s="5" t="n"/>
      <c r="C3" s="5" t="n"/>
      <c r="D3" s="5" t="n"/>
      <c r="E3" s="5" t="n"/>
      <c r="F3" s="5" t="n"/>
      <c r="G3" s="5" t="n"/>
      <c r="H3" s="5" t="n"/>
      <c r="I3" s="5">
        <f>COUNTIFS('Game Telemetry'!A:A,A3,'Game Telemetry'!D:D,"&gt;0")</f>
        <v/>
      </c>
      <c r="J3" s="5" t="n"/>
    </row>
    <row r="4">
      <c r="A4" s="5" t="n">
        <v>3003</v>
      </c>
      <c r="B4" s="5" t="n"/>
      <c r="C4" s="5" t="n"/>
      <c r="D4" s="5" t="n"/>
      <c r="E4" s="5" t="n"/>
      <c r="F4" s="5" t="n"/>
      <c r="G4" s="5" t="n"/>
      <c r="H4" s="5" t="n"/>
      <c r="I4" s="5">
        <f>COUNTIFS('Game Telemetry'!A:A,A4,'Game Telemetry'!D:D,"&gt;0")</f>
        <v/>
      </c>
      <c r="J4" s="5" t="n"/>
    </row>
    <row r="5">
      <c r="A5" s="5" t="n">
        <v>3004</v>
      </c>
      <c r="B5" s="5" t="n"/>
      <c r="C5" s="5" t="n"/>
      <c r="D5" s="5" t="n"/>
      <c r="E5" s="5" t="n"/>
      <c r="F5" s="5" t="n"/>
      <c r="G5" s="5" t="n"/>
      <c r="H5" s="5" t="n"/>
      <c r="I5" s="5">
        <f>COUNTIFS('Game Telemetry'!A:A,A5,'Game Telemetry'!D:D,"&gt;0")</f>
        <v/>
      </c>
      <c r="J5" s="5" t="n"/>
    </row>
    <row r="6">
      <c r="A6" s="5" t="n">
        <v>3005</v>
      </c>
      <c r="B6" s="5" t="n"/>
      <c r="C6" s="5" t="n"/>
      <c r="D6" s="5" t="n"/>
      <c r="E6" s="5" t="n"/>
      <c r="F6" s="5" t="n"/>
      <c r="G6" s="5" t="n"/>
      <c r="H6" s="5" t="n"/>
      <c r="I6" s="5">
        <f>COUNTIFS('Game Telemetry'!A:A,A6,'Game Telemetry'!D:D,"&gt;0")</f>
        <v/>
      </c>
      <c r="J6" s="5" t="n"/>
    </row>
    <row r="7">
      <c r="A7" s="5" t="n">
        <v>3006</v>
      </c>
      <c r="B7" s="5" t="n"/>
      <c r="C7" s="5" t="n"/>
      <c r="D7" s="5" t="n"/>
      <c r="E7" s="5" t="n"/>
      <c r="F7" s="5" t="n"/>
      <c r="G7" s="5" t="n"/>
      <c r="H7" s="5" t="n"/>
      <c r="I7" s="5">
        <f>COUNTIFS('Game Telemetry'!A:A,A7,'Game Telemetry'!D:D,"&gt;0")</f>
        <v/>
      </c>
      <c r="J7" s="5" t="n"/>
    </row>
    <row r="8">
      <c r="A8" s="5" t="n">
        <v>3007</v>
      </c>
      <c r="B8" s="5" t="n"/>
      <c r="C8" s="5" t="n"/>
      <c r="D8" s="5" t="n"/>
      <c r="E8" s="5" t="n"/>
      <c r="F8" s="5" t="n"/>
      <c r="G8" s="5" t="n"/>
      <c r="H8" s="5" t="n"/>
      <c r="I8" s="5">
        <f>COUNTIFS('Game Telemetry'!A:A,A8,'Game Telemetry'!D:D,"&gt;0")</f>
        <v/>
      </c>
      <c r="J8" s="5" t="n"/>
    </row>
    <row r="9">
      <c r="A9" s="5" t="n">
        <v>3008</v>
      </c>
      <c r="B9" s="5" t="n"/>
      <c r="C9" s="5" t="n"/>
      <c r="D9" s="5" t="n"/>
      <c r="E9" s="5" t="n"/>
      <c r="F9" s="5" t="n"/>
      <c r="G9" s="5" t="n"/>
      <c r="H9" s="5" t="n"/>
      <c r="I9" s="5">
        <f>COUNTIFS('Game Telemetry'!A:A,A9,'Game Telemetry'!D:D,"&gt;0")</f>
        <v/>
      </c>
      <c r="J9" s="5" t="n"/>
    </row>
    <row r="10">
      <c r="A10" s="5" t="n">
        <v>3009</v>
      </c>
      <c r="B10" s="5" t="n"/>
      <c r="C10" s="5" t="n"/>
      <c r="D10" s="5" t="n"/>
      <c r="E10" s="5" t="n"/>
      <c r="F10" s="5" t="n"/>
      <c r="G10" s="5" t="n"/>
      <c r="H10" s="5" t="n"/>
      <c r="I10" s="5">
        <f>COUNTIFS('Game Telemetry'!A:A,A10,'Game Telemetry'!D:D,"&gt;0")</f>
        <v/>
      </c>
      <c r="J10" s="5" t="n"/>
    </row>
    <row r="11">
      <c r="A11" s="5" t="n">
        <v>3010</v>
      </c>
      <c r="B11" s="5" t="n"/>
      <c r="C11" s="5" t="n"/>
      <c r="D11" s="5" t="n"/>
      <c r="E11" s="5" t="n"/>
      <c r="F11" s="5" t="n"/>
      <c r="G11" s="5" t="n"/>
      <c r="H11" s="5" t="n"/>
      <c r="I11" s="5">
        <f>COUNTIFS('Game Telemetry'!A:A,A11,'Game Telemetry'!D:D,"&gt;0")</f>
        <v/>
      </c>
      <c r="J11" s="5" t="n"/>
    </row>
    <row r="12">
      <c r="A12" s="5" t="n">
        <v>3011</v>
      </c>
      <c r="B12" s="5" t="n"/>
      <c r="C12" s="5" t="n"/>
      <c r="D12" s="5" t="n"/>
      <c r="E12" s="5" t="n"/>
      <c r="F12" s="5" t="n"/>
      <c r="G12" s="5" t="n"/>
      <c r="H12" s="5" t="n"/>
      <c r="I12" s="5">
        <f>COUNTIFS('Game Telemetry'!A:A,A12,'Game Telemetry'!D:D,"&gt;0")</f>
        <v/>
      </c>
      <c r="J12" s="5" t="n"/>
    </row>
    <row r="13">
      <c r="A13" s="5" t="n">
        <v>3012</v>
      </c>
      <c r="B13" s="5" t="n"/>
      <c r="C13" s="5" t="n"/>
      <c r="D13" s="5" t="n"/>
      <c r="E13" s="5" t="n"/>
      <c r="F13" s="5" t="n"/>
      <c r="G13" s="5" t="n"/>
      <c r="H13" s="5" t="n"/>
      <c r="I13" s="5">
        <f>COUNTIFS('Game Telemetry'!A:A,A13,'Game Telemetry'!D:D,"&gt;0")</f>
        <v/>
      </c>
      <c r="J13" s="5" t="n"/>
    </row>
    <row r="14">
      <c r="A14" s="5" t="n">
        <v>3013</v>
      </c>
      <c r="B14" s="5" t="n"/>
      <c r="C14" s="5" t="n"/>
      <c r="D14" s="5" t="n"/>
      <c r="E14" s="5" t="n"/>
      <c r="F14" s="5" t="n"/>
      <c r="G14" s="5" t="n"/>
      <c r="H14" s="5" t="n"/>
      <c r="I14" s="5">
        <f>COUNTIFS('Game Telemetry'!A:A,A14,'Game Telemetry'!D:D,"&gt;0")</f>
        <v/>
      </c>
      <c r="J14" s="5" t="n"/>
    </row>
    <row r="15">
      <c r="A15" s="5" t="n">
        <v>3014</v>
      </c>
      <c r="B15" s="5" t="n"/>
      <c r="C15" s="5" t="n"/>
      <c r="D15" s="5" t="n"/>
      <c r="E15" s="5" t="n"/>
      <c r="F15" s="5" t="n"/>
      <c r="G15" s="5" t="n"/>
      <c r="H15" s="5" t="n"/>
      <c r="I15" s="5">
        <f>COUNTIFS('Game Telemetry'!A:A,A15,'Game Telemetry'!D:D,"&gt;0")</f>
        <v/>
      </c>
      <c r="J15" s="5" t="n"/>
    </row>
    <row r="16">
      <c r="A16" s="5" t="n">
        <v>3015</v>
      </c>
      <c r="B16" s="5" t="n"/>
      <c r="C16" s="5" t="n"/>
      <c r="D16" s="5" t="n"/>
      <c r="E16" s="5" t="n"/>
      <c r="F16" s="5" t="n"/>
      <c r="G16" s="5" t="n"/>
      <c r="H16" s="5" t="n"/>
      <c r="I16" s="5">
        <f>COUNTIFS('Game Telemetry'!A:A,A16,'Game Telemetry'!D:D,"&gt;0")</f>
        <v/>
      </c>
      <c r="J16" s="5" t="n"/>
    </row>
    <row r="17">
      <c r="A17" s="5" t="n">
        <v>3016</v>
      </c>
      <c r="B17" s="5" t="n"/>
      <c r="C17" s="5" t="n"/>
      <c r="D17" s="5" t="n"/>
      <c r="E17" s="5" t="n"/>
      <c r="F17" s="5" t="n"/>
      <c r="G17" s="5" t="n"/>
      <c r="H17" s="5" t="n"/>
      <c r="I17" s="5">
        <f>COUNTIFS('Game Telemetry'!A:A,A17,'Game Telemetry'!D:D,"&gt;0")</f>
        <v/>
      </c>
      <c r="J17" s="5" t="n"/>
    </row>
    <row r="18">
      <c r="A18" s="5" t="n">
        <v>3017</v>
      </c>
      <c r="B18" s="5" t="n"/>
      <c r="C18" s="5" t="n"/>
      <c r="D18" s="5" t="n"/>
      <c r="E18" s="5" t="n"/>
      <c r="F18" s="5" t="n"/>
      <c r="G18" s="5" t="n"/>
      <c r="H18" s="5" t="n"/>
      <c r="I18" s="5">
        <f>COUNTIFS('Game Telemetry'!A:A,A18,'Game Telemetry'!D:D,"&gt;0")</f>
        <v/>
      </c>
      <c r="J18" s="5" t="n"/>
    </row>
    <row r="19">
      <c r="A19" s="5" t="n">
        <v>3018</v>
      </c>
      <c r="B19" s="5" t="n"/>
      <c r="C19" s="5" t="n"/>
      <c r="D19" s="5" t="n"/>
      <c r="E19" s="5" t="n"/>
      <c r="F19" s="5" t="n"/>
      <c r="G19" s="5" t="n"/>
      <c r="H19" s="5" t="n"/>
      <c r="I19" s="5">
        <f>COUNTIFS('Game Telemetry'!A:A,A19,'Game Telemetry'!D:D,"&gt;0")</f>
        <v/>
      </c>
      <c r="J19" s="5" t="n"/>
    </row>
    <row r="20">
      <c r="A20" s="5" t="n">
        <v>3019</v>
      </c>
      <c r="B20" s="5" t="n"/>
      <c r="C20" s="5" t="n"/>
      <c r="D20" s="5" t="n"/>
      <c r="E20" s="5" t="n"/>
      <c r="F20" s="5" t="n"/>
      <c r="G20" s="5" t="n"/>
      <c r="H20" s="5" t="n"/>
      <c r="I20" s="5">
        <f>COUNTIFS('Game Telemetry'!A:A,A20,'Game Telemetry'!D:D,"&gt;0")</f>
        <v/>
      </c>
      <c r="J20" s="5" t="n"/>
    </row>
    <row r="21">
      <c r="A21" s="5" t="n">
        <v>3020</v>
      </c>
      <c r="B21" s="5" t="n"/>
      <c r="C21" s="5" t="n"/>
      <c r="D21" s="5" t="n"/>
      <c r="E21" s="5" t="n"/>
      <c r="F21" s="5" t="n"/>
      <c r="G21" s="5" t="n"/>
      <c r="H21" s="5" t="n"/>
      <c r="I21" s="5">
        <f>COUNTIFS('Game Telemetry'!A:A,A21,'Game Telemetry'!D:D,"&gt;0")</f>
        <v/>
      </c>
      <c r="J21" s="5" t="n"/>
    </row>
    <row r="22">
      <c r="A22" s="5" t="n">
        <v>3021</v>
      </c>
      <c r="B22" s="5" t="n"/>
      <c r="C22" s="5" t="n"/>
      <c r="D22" s="5" t="n"/>
      <c r="E22" s="5" t="n"/>
      <c r="F22" s="5" t="n"/>
      <c r="G22" s="5" t="n"/>
      <c r="H22" s="5" t="n"/>
      <c r="I22" s="5">
        <f>COUNTIFS('Game Telemetry'!A:A,A22,'Game Telemetry'!D:D,"&gt;0")</f>
        <v/>
      </c>
      <c r="J22" s="5" t="n"/>
    </row>
    <row r="23">
      <c r="A23" s="5" t="n">
        <v>3022</v>
      </c>
      <c r="B23" s="5" t="n"/>
      <c r="C23" s="5" t="n"/>
      <c r="D23" s="5" t="n"/>
      <c r="E23" s="5" t="n"/>
      <c r="F23" s="5" t="n"/>
      <c r="G23" s="5" t="n"/>
      <c r="H23" s="5" t="n"/>
      <c r="I23" s="5">
        <f>COUNTIFS('Game Telemetry'!A:A,A23,'Game Telemetry'!D:D,"&gt;0")</f>
        <v/>
      </c>
      <c r="J23" s="5" t="n"/>
    </row>
    <row r="24">
      <c r="A24" s="5" t="n">
        <v>3023</v>
      </c>
      <c r="B24" s="5" t="n"/>
      <c r="C24" s="5" t="n"/>
      <c r="D24" s="5" t="n"/>
      <c r="E24" s="5" t="n"/>
      <c r="F24" s="5" t="n"/>
      <c r="G24" s="5" t="n"/>
      <c r="H24" s="5" t="n"/>
      <c r="I24" s="5">
        <f>COUNTIFS('Game Telemetry'!A:A,A24,'Game Telemetry'!D:D,"&gt;0")</f>
        <v/>
      </c>
      <c r="J24" s="5" t="n"/>
    </row>
    <row r="25">
      <c r="A25" s="5" t="n">
        <v>3024</v>
      </c>
      <c r="B25" s="5" t="n"/>
      <c r="C25" s="5" t="n"/>
      <c r="D25" s="5" t="n"/>
      <c r="E25" s="5" t="n"/>
      <c r="F25" s="5" t="n"/>
      <c r="G25" s="5" t="n"/>
      <c r="H25" s="5" t="n"/>
      <c r="I25" s="5">
        <f>COUNTIFS('Game Telemetry'!A:A,A25,'Game Telemetry'!D:D,"&gt;0")</f>
        <v/>
      </c>
      <c r="J25" s="5" t="n"/>
    </row>
    <row r="26">
      <c r="A26" s="5" t="n">
        <v>3025</v>
      </c>
      <c r="B26" s="5" t="n"/>
      <c r="C26" s="5" t="n"/>
      <c r="D26" s="5" t="n"/>
      <c r="E26" s="5" t="n"/>
      <c r="F26" s="5" t="n"/>
      <c r="G26" s="5" t="n"/>
      <c r="H26" s="5" t="n"/>
      <c r="I26" s="5">
        <f>COUNTIFS('Game Telemetry'!A:A,A26,'Game Telemetry'!D:D,"&gt;0")</f>
        <v/>
      </c>
      <c r="J26" s="5" t="n"/>
    </row>
    <row r="27">
      <c r="A27" s="5" t="n">
        <v>3026</v>
      </c>
      <c r="B27" s="5" t="n"/>
      <c r="C27" s="5" t="n"/>
      <c r="D27" s="5" t="n"/>
      <c r="E27" s="5" t="n"/>
      <c r="F27" s="5" t="n"/>
      <c r="G27" s="5" t="n"/>
      <c r="H27" s="5" t="n"/>
      <c r="I27" s="5">
        <f>COUNTIFS('Game Telemetry'!A:A,A27,'Game Telemetry'!D:D,"&gt;0")</f>
        <v/>
      </c>
      <c r="J27" s="5" t="n"/>
    </row>
    <row r="28">
      <c r="A28" s="5" t="n">
        <v>3027</v>
      </c>
      <c r="B28" s="5" t="n"/>
      <c r="C28" s="5" t="n"/>
      <c r="D28" s="5" t="n"/>
      <c r="E28" s="5" t="n"/>
      <c r="F28" s="5" t="n"/>
      <c r="G28" s="5" t="n"/>
      <c r="H28" s="5" t="n"/>
      <c r="I28" s="5">
        <f>COUNTIFS('Game Telemetry'!A:A,A28,'Game Telemetry'!D:D,"&gt;0")</f>
        <v/>
      </c>
      <c r="J28" s="5" t="n"/>
    </row>
    <row r="29">
      <c r="A29" s="5" t="n">
        <v>3028</v>
      </c>
      <c r="B29" s="5" t="n"/>
      <c r="C29" s="5" t="n"/>
      <c r="D29" s="5" t="n"/>
      <c r="E29" s="5" t="n"/>
      <c r="F29" s="5" t="n"/>
      <c r="G29" s="5" t="n"/>
      <c r="H29" s="5" t="n"/>
      <c r="I29" s="5">
        <f>COUNTIFS('Game Telemetry'!A:A,A29,'Game Telemetry'!D:D,"&gt;0")</f>
        <v/>
      </c>
      <c r="J29" s="5" t="n"/>
    </row>
    <row r="30">
      <c r="A30" s="5" t="n">
        <v>3029</v>
      </c>
      <c r="B30" s="5" t="n"/>
      <c r="C30" s="5" t="n"/>
      <c r="D30" s="5" t="n"/>
      <c r="E30" s="5" t="n"/>
      <c r="F30" s="5" t="n"/>
      <c r="G30" s="5" t="n"/>
      <c r="H30" s="5" t="n"/>
      <c r="I30" s="5">
        <f>COUNTIFS('Game Telemetry'!A:A,A30,'Game Telemetry'!D:D,"&gt;0")</f>
        <v/>
      </c>
      <c r="J30" s="5" t="n"/>
    </row>
    <row r="31">
      <c r="A31" s="5" t="n">
        <v>3030</v>
      </c>
      <c r="B31" s="5" t="n"/>
      <c r="C31" s="5" t="n"/>
      <c r="D31" s="5" t="n"/>
      <c r="E31" s="5" t="n"/>
      <c r="F31" s="5" t="n"/>
      <c r="G31" s="5" t="n"/>
      <c r="H31" s="5" t="n"/>
      <c r="I31" s="5">
        <f>COUNTIFS('Game Telemetry'!A:A,A31,'Game Telemetry'!D:D,"&gt;0")</f>
        <v/>
      </c>
      <c r="J31" s="5" t="n"/>
    </row>
    <row r="32">
      <c r="A32" s="5" t="n">
        <v>3031</v>
      </c>
      <c r="B32" s="5" t="n"/>
      <c r="C32" s="5" t="n"/>
      <c r="D32" s="5" t="n"/>
      <c r="E32" s="5" t="n"/>
      <c r="F32" s="5" t="n"/>
      <c r="G32" s="5" t="n"/>
      <c r="H32" s="5" t="n"/>
      <c r="I32" s="5">
        <f>COUNTIFS('Game Telemetry'!A:A,A32,'Game Telemetry'!D:D,"&gt;0")</f>
        <v/>
      </c>
      <c r="J32" s="5" t="n"/>
    </row>
    <row r="33">
      <c r="A33" s="5" t="n">
        <v>3032</v>
      </c>
      <c r="B33" s="5" t="n"/>
      <c r="C33" s="5" t="n"/>
      <c r="D33" s="5" t="n"/>
      <c r="E33" s="5" t="n"/>
      <c r="F33" s="5" t="n"/>
      <c r="G33" s="5" t="n"/>
      <c r="H33" s="5" t="n"/>
      <c r="I33" s="5">
        <f>COUNTIFS('Game Telemetry'!A:A,A33,'Game Telemetry'!D:D,"&gt;0")</f>
        <v/>
      </c>
      <c r="J33" s="5" t="n"/>
    </row>
    <row r="34">
      <c r="A34" s="5" t="n">
        <v>3033</v>
      </c>
      <c r="B34" s="5" t="n"/>
      <c r="C34" s="5" t="n"/>
      <c r="D34" s="5" t="n"/>
      <c r="E34" s="5" t="n"/>
      <c r="F34" s="5" t="n"/>
      <c r="G34" s="5" t="n"/>
      <c r="H34" s="5" t="n"/>
      <c r="I34" s="5">
        <f>COUNTIFS('Game Telemetry'!A:A,A34,'Game Telemetry'!D:D,"&gt;0")</f>
        <v/>
      </c>
      <c r="J34" s="5" t="n"/>
    </row>
    <row r="35">
      <c r="A35" s="5" t="n">
        <v>3034</v>
      </c>
      <c r="B35" s="5" t="n"/>
      <c r="C35" s="5" t="n"/>
      <c r="D35" s="5" t="n"/>
      <c r="E35" s="5" t="n"/>
      <c r="F35" s="5" t="n"/>
      <c r="G35" s="5" t="n"/>
      <c r="H35" s="5" t="n"/>
      <c r="I35" s="5">
        <f>COUNTIFS('Game Telemetry'!A:A,A35,'Game Telemetry'!D:D,"&gt;0")</f>
        <v/>
      </c>
      <c r="J35" s="5" t="n"/>
    </row>
    <row r="36">
      <c r="A36" s="5" t="n">
        <v>3035</v>
      </c>
      <c r="B36" s="5" t="n"/>
      <c r="C36" s="5" t="n"/>
      <c r="D36" s="5" t="n"/>
      <c r="E36" s="5" t="n"/>
      <c r="F36" s="5" t="n"/>
      <c r="G36" s="5" t="n"/>
      <c r="H36" s="5" t="n"/>
      <c r="I36" s="5">
        <f>COUNTIFS('Game Telemetry'!A:A,A36,'Game Telemetry'!D:D,"&gt;0")</f>
        <v/>
      </c>
      <c r="J36" s="5" t="n"/>
    </row>
    <row r="37">
      <c r="A37" s="5" t="n">
        <v>3036</v>
      </c>
      <c r="B37" s="5" t="n"/>
      <c r="C37" s="5" t="n"/>
      <c r="D37" s="5" t="n"/>
      <c r="E37" s="5" t="n"/>
      <c r="F37" s="5" t="n"/>
      <c r="G37" s="5" t="n"/>
      <c r="H37" s="5" t="n"/>
      <c r="I37" s="5">
        <f>COUNTIFS('Game Telemetry'!A:A,A37,'Game Telemetry'!D:D,"&gt;0")</f>
        <v/>
      </c>
      <c r="J37" s="5" t="n"/>
    </row>
    <row r="38">
      <c r="A38" s="5" t="n">
        <v>3037</v>
      </c>
      <c r="B38" s="5" t="n"/>
      <c r="C38" s="5" t="n"/>
      <c r="D38" s="5" t="n"/>
      <c r="E38" s="5" t="n"/>
      <c r="F38" s="5" t="n"/>
      <c r="G38" s="5" t="n"/>
      <c r="H38" s="5" t="n"/>
      <c r="I38" s="5">
        <f>COUNTIFS('Game Telemetry'!A:A,A38,'Game Telemetry'!D:D,"&gt;0")</f>
        <v/>
      </c>
      <c r="J38" s="5" t="n"/>
    </row>
    <row r="39">
      <c r="A39" s="5" t="n">
        <v>3038</v>
      </c>
      <c r="B39" s="5" t="n"/>
      <c r="C39" s="5" t="n"/>
      <c r="D39" s="5" t="n"/>
      <c r="E39" s="5" t="n"/>
      <c r="F39" s="5" t="n"/>
      <c r="G39" s="5" t="n"/>
      <c r="H39" s="5" t="n"/>
      <c r="I39" s="5">
        <f>COUNTIFS('Game Telemetry'!A:A,A39,'Game Telemetry'!D:D,"&gt;0")</f>
        <v/>
      </c>
      <c r="J39" s="5" t="n"/>
    </row>
    <row r="40">
      <c r="A40" s="5" t="n">
        <v>3039</v>
      </c>
      <c r="B40" s="5" t="n"/>
      <c r="C40" s="5" t="n"/>
      <c r="D40" s="5" t="n"/>
      <c r="E40" s="5" t="n"/>
      <c r="F40" s="5" t="n"/>
      <c r="G40" s="5" t="n"/>
      <c r="H40" s="5" t="n"/>
      <c r="I40" s="5">
        <f>COUNTIFS('Game Telemetry'!A:A,A40,'Game Telemetry'!D:D,"&gt;0")</f>
        <v/>
      </c>
      <c r="J40" s="5" t="n"/>
    </row>
    <row r="41">
      <c r="A41" s="5" t="n">
        <v>3040</v>
      </c>
      <c r="B41" s="5" t="n"/>
      <c r="C41" s="5" t="n"/>
      <c r="D41" s="5" t="n"/>
      <c r="E41" s="5" t="n"/>
      <c r="F41" s="5" t="n"/>
      <c r="G41" s="5" t="n"/>
      <c r="H41" s="5" t="n"/>
      <c r="I41" s="5">
        <f>COUNTIFS('Game Telemetry'!A:A,A41,'Game Telemetry'!D:D,"&gt;0")</f>
        <v/>
      </c>
      <c r="J41" s="5" t="n"/>
    </row>
    <row r="42">
      <c r="A42" s="5" t="n">
        <v>3041</v>
      </c>
      <c r="B42" s="5" t="n"/>
      <c r="C42" s="5" t="n"/>
      <c r="D42" s="5" t="n"/>
      <c r="E42" s="5" t="n"/>
      <c r="F42" s="5" t="n"/>
      <c r="G42" s="5" t="n"/>
      <c r="H42" s="5" t="n"/>
      <c r="I42" s="5">
        <f>COUNTIFS('Game Telemetry'!A:A,A42,'Game Telemetry'!D:D,"&gt;0")</f>
        <v/>
      </c>
      <c r="J42" s="5" t="n"/>
    </row>
    <row r="43">
      <c r="A43" s="5" t="n">
        <v>3042</v>
      </c>
      <c r="B43" s="5" t="n"/>
      <c r="C43" s="5" t="n"/>
      <c r="D43" s="5" t="n"/>
      <c r="E43" s="5" t="n"/>
      <c r="F43" s="5" t="n"/>
      <c r="G43" s="5" t="n"/>
      <c r="H43" s="5" t="n"/>
      <c r="I43" s="5">
        <f>COUNTIFS('Game Telemetry'!A:A,A43,'Game Telemetry'!D:D,"&gt;0")</f>
        <v/>
      </c>
      <c r="J43" s="5" t="n"/>
    </row>
    <row r="44">
      <c r="A44" s="5" t="n">
        <v>3043</v>
      </c>
      <c r="B44" s="5" t="n"/>
      <c r="C44" s="5" t="n"/>
      <c r="D44" s="5" t="n"/>
      <c r="E44" s="5" t="n"/>
      <c r="F44" s="5" t="n"/>
      <c r="G44" s="5" t="n"/>
      <c r="H44" s="5" t="n"/>
      <c r="I44" s="5">
        <f>COUNTIFS('Game Telemetry'!A:A,A44,'Game Telemetry'!D:D,"&gt;0")</f>
        <v/>
      </c>
      <c r="J44" s="5" t="n"/>
    </row>
    <row r="45">
      <c r="A45" s="5" t="n">
        <v>3044</v>
      </c>
      <c r="B45" s="5" t="n"/>
      <c r="C45" s="5" t="n"/>
      <c r="D45" s="5" t="n"/>
      <c r="E45" s="5" t="n"/>
      <c r="F45" s="5" t="n"/>
      <c r="G45" s="5" t="n"/>
      <c r="H45" s="5" t="n"/>
      <c r="I45" s="5">
        <f>COUNTIFS('Game Telemetry'!A:A,A45,'Game Telemetry'!D:D,"&gt;0")</f>
        <v/>
      </c>
      <c r="J45" s="5" t="n"/>
    </row>
    <row r="46">
      <c r="A46" s="5" t="n">
        <v>3045</v>
      </c>
      <c r="B46" s="5" t="n"/>
      <c r="C46" s="5" t="n"/>
      <c r="D46" s="5" t="n"/>
      <c r="E46" s="5" t="n"/>
      <c r="F46" s="5" t="n"/>
      <c r="G46" s="5" t="n"/>
      <c r="H46" s="5" t="n"/>
      <c r="I46" s="5">
        <f>COUNTIFS('Game Telemetry'!A:A,A46,'Game Telemetry'!D:D,"&gt;0")</f>
        <v/>
      </c>
      <c r="J46" s="5" t="n"/>
    </row>
    <row r="47">
      <c r="A47" s="5" t="n">
        <v>3046</v>
      </c>
      <c r="B47" s="5" t="n"/>
      <c r="C47" s="5" t="n"/>
      <c r="D47" s="5" t="n"/>
      <c r="E47" s="5" t="n"/>
      <c r="F47" s="5" t="n"/>
      <c r="G47" s="5" t="n"/>
      <c r="H47" s="5" t="n"/>
      <c r="I47" s="5">
        <f>COUNTIFS('Game Telemetry'!A:A,A47,'Game Telemetry'!D:D,"&gt;0")</f>
        <v/>
      </c>
      <c r="J47" s="5" t="n"/>
    </row>
    <row r="48">
      <c r="A48" s="5" t="n">
        <v>3047</v>
      </c>
      <c r="B48" s="5" t="n"/>
      <c r="C48" s="5" t="n"/>
      <c r="D48" s="5" t="n"/>
      <c r="E48" s="5" t="n"/>
      <c r="F48" s="5" t="n"/>
      <c r="G48" s="5" t="n"/>
      <c r="H48" s="5" t="n"/>
      <c r="I48" s="5">
        <f>COUNTIFS('Game Telemetry'!A:A,A48,'Game Telemetry'!D:D,"&gt;0")</f>
        <v/>
      </c>
      <c r="J48" s="5" t="n"/>
    </row>
    <row r="49">
      <c r="A49" s="5" t="n">
        <v>3048</v>
      </c>
      <c r="B49" s="5" t="n"/>
      <c r="C49" s="5" t="n"/>
      <c r="D49" s="5" t="n"/>
      <c r="E49" s="5" t="n"/>
      <c r="F49" s="5" t="n"/>
      <c r="G49" s="5" t="n"/>
      <c r="H49" s="5" t="n"/>
      <c r="I49" s="5">
        <f>COUNTIFS('Game Telemetry'!A:A,A49,'Game Telemetry'!D:D,"&gt;0")</f>
        <v/>
      </c>
      <c r="J49" s="5" t="n"/>
    </row>
    <row r="50">
      <c r="A50" s="5" t="n">
        <v>3049</v>
      </c>
      <c r="B50" s="5" t="n"/>
      <c r="C50" s="5" t="n"/>
      <c r="D50" s="5" t="n"/>
      <c r="E50" s="5" t="n"/>
      <c r="F50" s="5" t="n"/>
      <c r="G50" s="5" t="n"/>
      <c r="H50" s="5" t="n"/>
      <c r="I50" s="5">
        <f>COUNTIFS('Game Telemetry'!A:A,A50,'Game Telemetry'!D:D,"&gt;0")</f>
        <v/>
      </c>
      <c r="J50" s="5" t="n"/>
    </row>
    <row r="51">
      <c r="A51" s="5" t="n">
        <v>3050</v>
      </c>
      <c r="B51" s="5" t="n"/>
      <c r="C51" s="5" t="n"/>
      <c r="D51" s="5" t="n"/>
      <c r="E51" s="5" t="n"/>
      <c r="F51" s="5" t="n"/>
      <c r="G51" s="5" t="n"/>
      <c r="H51" s="5" t="n"/>
      <c r="I51" s="5">
        <f>COUNTIFS('Game Telemetry'!A:A,A51,'Game Telemetry'!D:D,"&gt;0")</f>
        <v/>
      </c>
      <c r="J51" s="5" t="n"/>
    </row>
    <row r="52">
      <c r="A52" s="5" t="n">
        <v>3051</v>
      </c>
      <c r="B52" s="5" t="n"/>
      <c r="C52" s="5" t="n"/>
      <c r="D52" s="5" t="n"/>
      <c r="E52" s="5" t="n"/>
      <c r="F52" s="5" t="n"/>
      <c r="G52" s="5" t="n"/>
      <c r="H52" s="5" t="n"/>
      <c r="I52" s="5">
        <f>COUNTIFS('Game Telemetry'!A:A,A52,'Game Telemetry'!D:D,"&gt;0")</f>
        <v/>
      </c>
      <c r="J52" s="5" t="n"/>
    </row>
    <row r="53">
      <c r="A53" s="5" t="n">
        <v>3052</v>
      </c>
      <c r="B53" s="5" t="n"/>
      <c r="C53" s="5" t="n"/>
      <c r="D53" s="5" t="n"/>
      <c r="E53" s="5" t="n"/>
      <c r="F53" s="5" t="n"/>
      <c r="G53" s="5" t="n"/>
      <c r="H53" s="5" t="n"/>
      <c r="I53" s="5">
        <f>COUNTIFS('Game Telemetry'!A:A,A53,'Game Telemetry'!D:D,"&gt;0")</f>
        <v/>
      </c>
      <c r="J53" s="5" t="n"/>
    </row>
    <row r="54">
      <c r="A54" s="5" t="n">
        <v>3053</v>
      </c>
      <c r="B54" s="5" t="n"/>
      <c r="C54" s="5" t="n"/>
      <c r="D54" s="5" t="n"/>
      <c r="E54" s="5" t="n"/>
      <c r="F54" s="5" t="n"/>
      <c r="G54" s="5" t="n"/>
      <c r="H54" s="5" t="n"/>
      <c r="I54" s="5">
        <f>COUNTIFS('Game Telemetry'!A:A,A54,'Game Telemetry'!D:D,"&gt;0")</f>
        <v/>
      </c>
      <c r="J54" s="5" t="n"/>
    </row>
    <row r="55">
      <c r="A55" s="5" t="n">
        <v>3054</v>
      </c>
      <c r="B55" s="5" t="n"/>
      <c r="C55" s="5" t="n"/>
      <c r="D55" s="5" t="n"/>
      <c r="E55" s="5" t="n"/>
      <c r="F55" s="5" t="n"/>
      <c r="G55" s="5" t="n"/>
      <c r="H55" s="5" t="n"/>
      <c r="I55" s="5">
        <f>COUNTIFS('Game Telemetry'!A:A,A55,'Game Telemetry'!D:D,"&gt;0")</f>
        <v/>
      </c>
      <c r="J55" s="5" t="n"/>
    </row>
    <row r="56">
      <c r="A56" s="5" t="n">
        <v>3055</v>
      </c>
      <c r="B56" s="5" t="n"/>
      <c r="C56" s="5" t="n"/>
      <c r="D56" s="5" t="n"/>
      <c r="E56" s="5" t="n"/>
      <c r="F56" s="5" t="n"/>
      <c r="G56" s="5" t="n"/>
      <c r="H56" s="5" t="n"/>
      <c r="I56" s="5">
        <f>COUNTIFS('Game Telemetry'!A:A,A56,'Game Telemetry'!D:D,"&gt;0")</f>
        <v/>
      </c>
      <c r="J56" s="5" t="n"/>
    </row>
    <row r="57">
      <c r="A57" s="5" t="n">
        <v>3056</v>
      </c>
      <c r="B57" s="5" t="n"/>
      <c r="C57" s="5" t="n"/>
      <c r="D57" s="5" t="n"/>
      <c r="E57" s="5" t="n"/>
      <c r="F57" s="5" t="n"/>
      <c r="G57" s="5" t="n"/>
      <c r="H57" s="5" t="n"/>
      <c r="I57" s="5">
        <f>COUNTIFS('Game Telemetry'!A:A,A57,'Game Telemetry'!D:D,"&gt;0")</f>
        <v/>
      </c>
      <c r="J57" s="5" t="n"/>
    </row>
    <row r="58">
      <c r="A58" s="5" t="n">
        <v>3057</v>
      </c>
      <c r="B58" s="5" t="n"/>
      <c r="C58" s="5" t="n"/>
      <c r="D58" s="5" t="n"/>
      <c r="E58" s="5" t="n"/>
      <c r="F58" s="5" t="n"/>
      <c r="G58" s="5" t="n"/>
      <c r="H58" s="5" t="n"/>
      <c r="I58" s="5">
        <f>COUNTIFS('Game Telemetry'!A:A,A58,'Game Telemetry'!D:D,"&gt;0")</f>
        <v/>
      </c>
      <c r="J58" s="5" t="n"/>
    </row>
    <row r="59">
      <c r="A59" s="5" t="n">
        <v>3058</v>
      </c>
      <c r="B59" s="5" t="n"/>
      <c r="C59" s="5" t="n"/>
      <c r="D59" s="5" t="n"/>
      <c r="E59" s="5" t="n"/>
      <c r="F59" s="5" t="n"/>
      <c r="G59" s="5" t="n"/>
      <c r="H59" s="5" t="n"/>
      <c r="I59" s="5">
        <f>COUNTIFS('Game Telemetry'!A:A,A59,'Game Telemetry'!D:D,"&gt;0")</f>
        <v/>
      </c>
      <c r="J59" s="5" t="n"/>
    </row>
    <row r="60">
      <c r="A60" s="5" t="n">
        <v>3059</v>
      </c>
      <c r="B60" s="5" t="n"/>
      <c r="C60" s="5" t="n"/>
      <c r="D60" s="5" t="n"/>
      <c r="E60" s="5" t="n"/>
      <c r="F60" s="5" t="n"/>
      <c r="G60" s="5" t="n"/>
      <c r="H60" s="5" t="n"/>
      <c r="I60" s="5">
        <f>COUNTIFS('Game Telemetry'!A:A,A60,'Game Telemetry'!D:D,"&gt;0")</f>
        <v/>
      </c>
      <c r="J60" s="5" t="n"/>
    </row>
    <row r="61">
      <c r="A61" s="5" t="n">
        <v>3060</v>
      </c>
      <c r="B61" s="5" t="n"/>
      <c r="C61" s="5" t="n"/>
      <c r="D61" s="5" t="n"/>
      <c r="E61" s="5" t="n"/>
      <c r="F61" s="5" t="n"/>
      <c r="G61" s="5" t="n"/>
      <c r="H61" s="5" t="n"/>
      <c r="I61" s="5">
        <f>COUNTIFS('Game Telemetry'!A:A,A61,'Game Telemetry'!D:D,"&gt;0")</f>
        <v/>
      </c>
      <c r="J61" s="5" t="n"/>
    </row>
    <row r="62">
      <c r="A62" s="5" t="n">
        <v>3061</v>
      </c>
      <c r="B62" s="5" t="n"/>
      <c r="C62" s="5" t="n"/>
      <c r="D62" s="5" t="n"/>
      <c r="E62" s="5" t="n"/>
      <c r="F62" s="5" t="n"/>
      <c r="G62" s="5" t="n"/>
      <c r="H62" s="5" t="n"/>
      <c r="I62" s="5">
        <f>COUNTIFS('Game Telemetry'!A:A,A62,'Game Telemetry'!D:D,"&gt;0")</f>
        <v/>
      </c>
      <c r="J62" s="5" t="n"/>
    </row>
    <row r="63">
      <c r="A63" s="5" t="n">
        <v>3062</v>
      </c>
      <c r="B63" s="5" t="n"/>
      <c r="C63" s="5" t="n"/>
      <c r="D63" s="5" t="n"/>
      <c r="E63" s="5" t="n"/>
      <c r="F63" s="5" t="n"/>
      <c r="G63" s="5" t="n"/>
      <c r="H63" s="5" t="n"/>
      <c r="I63" s="5">
        <f>COUNTIFS('Game Telemetry'!A:A,A63,'Game Telemetry'!D:D,"&gt;0")</f>
        <v/>
      </c>
      <c r="J63" s="5" t="n"/>
    </row>
    <row r="64">
      <c r="A64" s="5" t="n">
        <v>3063</v>
      </c>
      <c r="B64" s="5" t="n"/>
      <c r="C64" s="5" t="n"/>
      <c r="D64" s="5" t="n"/>
      <c r="E64" s="5" t="n"/>
      <c r="F64" s="5" t="n"/>
      <c r="G64" s="5" t="n"/>
      <c r="H64" s="5" t="n"/>
      <c r="I64" s="5">
        <f>COUNTIFS('Game Telemetry'!A:A,A64,'Game Telemetry'!D:D,"&gt;0")</f>
        <v/>
      </c>
      <c r="J64" s="5" t="n"/>
    </row>
    <row r="65">
      <c r="A65" s="5" t="n">
        <v>3064</v>
      </c>
      <c r="B65" s="5" t="n"/>
      <c r="C65" s="5" t="n"/>
      <c r="D65" s="5" t="n"/>
      <c r="E65" s="5" t="n"/>
      <c r="F65" s="5" t="n"/>
      <c r="G65" s="5" t="n"/>
      <c r="H65" s="5" t="n"/>
      <c r="I65" s="5">
        <f>COUNTIFS('Game Telemetry'!A:A,A65,'Game Telemetry'!D:D,"&gt;0")</f>
        <v/>
      </c>
      <c r="J65" s="5" t="n"/>
    </row>
    <row r="66">
      <c r="A66" s="5" t="n">
        <v>3065</v>
      </c>
      <c r="B66" s="5" t="n"/>
      <c r="C66" s="5" t="n"/>
      <c r="D66" s="5" t="n"/>
      <c r="E66" s="5" t="n"/>
      <c r="F66" s="5" t="n"/>
      <c r="G66" s="5" t="n"/>
      <c r="H66" s="5" t="n"/>
      <c r="I66" s="5">
        <f>COUNTIFS('Game Telemetry'!A:A,A66,'Game Telemetry'!D:D,"&gt;0")</f>
        <v/>
      </c>
      <c r="J66" s="5" t="n"/>
    </row>
    <row r="67">
      <c r="A67" s="5" t="n">
        <v>3066</v>
      </c>
      <c r="B67" s="5" t="n"/>
      <c r="C67" s="5" t="n"/>
      <c r="D67" s="5" t="n"/>
      <c r="E67" s="5" t="n"/>
      <c r="F67" s="5" t="n"/>
      <c r="G67" s="5" t="n"/>
      <c r="H67" s="5" t="n"/>
      <c r="I67" s="5">
        <f>COUNTIFS('Game Telemetry'!A:A,A67,'Game Telemetry'!D:D,"&gt;0")</f>
        <v/>
      </c>
      <c r="J67" s="5" t="n"/>
    </row>
    <row r="68">
      <c r="A68" s="5" t="n">
        <v>3067</v>
      </c>
      <c r="B68" s="5" t="n"/>
      <c r="C68" s="5" t="n"/>
      <c r="D68" s="5" t="n"/>
      <c r="E68" s="5" t="n"/>
      <c r="F68" s="5" t="n"/>
      <c r="G68" s="5" t="n"/>
      <c r="H68" s="5" t="n"/>
      <c r="I68" s="5">
        <f>COUNTIFS('Game Telemetry'!A:A,A68,'Game Telemetry'!D:D,"&gt;0")</f>
        <v/>
      </c>
      <c r="J68" s="5" t="n"/>
    </row>
    <row r="69">
      <c r="A69" s="5" t="n">
        <v>3068</v>
      </c>
      <c r="B69" s="5" t="n"/>
      <c r="C69" s="5" t="n"/>
      <c r="D69" s="5" t="n"/>
      <c r="E69" s="5" t="n"/>
      <c r="F69" s="5" t="n"/>
      <c r="G69" s="5" t="n"/>
      <c r="H69" s="5" t="n"/>
      <c r="I69" s="5">
        <f>COUNTIFS('Game Telemetry'!A:A,A69,'Game Telemetry'!D:D,"&gt;0")</f>
        <v/>
      </c>
      <c r="J69" s="5" t="n"/>
    </row>
    <row r="70">
      <c r="A70" s="5" t="n">
        <v>3069</v>
      </c>
      <c r="B70" s="5" t="n"/>
      <c r="C70" s="5" t="n"/>
      <c r="D70" s="5" t="n"/>
      <c r="E70" s="5" t="n"/>
      <c r="F70" s="5" t="n"/>
      <c r="G70" s="5" t="n"/>
      <c r="H70" s="5" t="n"/>
      <c r="I70" s="5">
        <f>COUNTIFS('Game Telemetry'!A:A,A70,'Game Telemetry'!D:D,"&gt;0")</f>
        <v/>
      </c>
      <c r="J70" s="5" t="n"/>
    </row>
    <row r="71">
      <c r="A71" s="5" t="n">
        <v>3070</v>
      </c>
      <c r="B71" s="5" t="n"/>
      <c r="C71" s="5" t="n"/>
      <c r="D71" s="5" t="n"/>
      <c r="E71" s="5" t="n"/>
      <c r="F71" s="5" t="n"/>
      <c r="G71" s="5" t="n"/>
      <c r="H71" s="5" t="n"/>
      <c r="I71" s="5">
        <f>COUNTIFS('Game Telemetry'!A:A,A71,'Game Telemetry'!D:D,"&gt;0")</f>
        <v/>
      </c>
      <c r="J71" s="5" t="n"/>
    </row>
    <row r="72">
      <c r="A72" s="5" t="n">
        <v>3071</v>
      </c>
      <c r="B72" s="5" t="n"/>
      <c r="C72" s="5" t="n"/>
      <c r="D72" s="5" t="n"/>
      <c r="E72" s="5" t="n"/>
      <c r="F72" s="5" t="n"/>
      <c r="G72" s="5" t="n"/>
      <c r="H72" s="5" t="n"/>
      <c r="I72" s="5">
        <f>COUNTIFS('Game Telemetry'!A:A,A72,'Game Telemetry'!D:D,"&gt;0")</f>
        <v/>
      </c>
      <c r="J72" s="5" t="n"/>
    </row>
    <row r="73">
      <c r="A73" s="5" t="n">
        <v>3072</v>
      </c>
      <c r="B73" s="5" t="n"/>
      <c r="C73" s="5" t="n"/>
      <c r="D73" s="5" t="n"/>
      <c r="E73" s="5" t="n"/>
      <c r="F73" s="5" t="n"/>
      <c r="G73" s="5" t="n"/>
      <c r="H73" s="5" t="n"/>
      <c r="I73" s="5">
        <f>COUNTIFS('Game Telemetry'!A:A,A73,'Game Telemetry'!D:D,"&gt;0")</f>
        <v/>
      </c>
      <c r="J73" s="5" t="n"/>
    </row>
    <row r="74">
      <c r="A74" s="5" t="n">
        <v>3073</v>
      </c>
      <c r="B74" s="5" t="n"/>
      <c r="C74" s="5" t="n"/>
      <c r="D74" s="5" t="n"/>
      <c r="E74" s="5" t="n"/>
      <c r="F74" s="5" t="n"/>
      <c r="G74" s="5" t="n"/>
      <c r="H74" s="5" t="n"/>
      <c r="I74" s="5">
        <f>COUNTIFS('Game Telemetry'!A:A,A74,'Game Telemetry'!D:D,"&gt;0")</f>
        <v/>
      </c>
      <c r="J74" s="5" t="n"/>
    </row>
    <row r="75">
      <c r="A75" s="5" t="n">
        <v>3074</v>
      </c>
      <c r="B75" s="5" t="n"/>
      <c r="C75" s="5" t="n"/>
      <c r="D75" s="5" t="n"/>
      <c r="E75" s="5" t="n"/>
      <c r="F75" s="5" t="n"/>
      <c r="G75" s="5" t="n"/>
      <c r="H75" s="5" t="n"/>
      <c r="I75" s="5">
        <f>COUNTIFS('Game Telemetry'!A:A,A75,'Game Telemetry'!D:D,"&gt;0")</f>
        <v/>
      </c>
      <c r="J75" s="5" t="n"/>
    </row>
    <row r="76">
      <c r="A76" s="5" t="n">
        <v>3075</v>
      </c>
      <c r="B76" s="5" t="n"/>
      <c r="C76" s="5" t="n"/>
      <c r="D76" s="5" t="n"/>
      <c r="E76" s="5" t="n"/>
      <c r="F76" s="5" t="n"/>
      <c r="G76" s="5" t="n"/>
      <c r="H76" s="5" t="n"/>
      <c r="I76" s="5">
        <f>COUNTIFS('Game Telemetry'!A:A,A76,'Game Telemetry'!D:D,"&gt;0")</f>
        <v/>
      </c>
      <c r="J76" s="5" t="n"/>
    </row>
    <row r="77">
      <c r="A77" s="5" t="n">
        <v>3076</v>
      </c>
      <c r="B77" s="5" t="n"/>
      <c r="C77" s="5" t="n"/>
      <c r="D77" s="5" t="n"/>
      <c r="E77" s="5" t="n"/>
      <c r="F77" s="5" t="n"/>
      <c r="G77" s="5" t="n"/>
      <c r="H77" s="5" t="n"/>
      <c r="I77" s="5">
        <f>COUNTIFS('Game Telemetry'!A:A,A77,'Game Telemetry'!D:D,"&gt;0")</f>
        <v/>
      </c>
      <c r="J77" s="5" t="n"/>
    </row>
    <row r="78">
      <c r="A78" s="5" t="n">
        <v>3077</v>
      </c>
      <c r="B78" s="5" t="n"/>
      <c r="C78" s="5" t="n"/>
      <c r="D78" s="5" t="n"/>
      <c r="E78" s="5" t="n"/>
      <c r="F78" s="5" t="n"/>
      <c r="G78" s="5" t="n"/>
      <c r="H78" s="5" t="n"/>
      <c r="I78" s="5">
        <f>COUNTIFS('Game Telemetry'!A:A,A78,'Game Telemetry'!D:D,"&gt;0")</f>
        <v/>
      </c>
      <c r="J78" s="5" t="n"/>
    </row>
    <row r="79">
      <c r="A79" s="5" t="n">
        <v>3078</v>
      </c>
      <c r="B79" s="5" t="n"/>
      <c r="C79" s="5" t="n"/>
      <c r="D79" s="5" t="n"/>
      <c r="E79" s="5" t="n"/>
      <c r="F79" s="5" t="n"/>
      <c r="G79" s="5" t="n"/>
      <c r="H79" s="5" t="n"/>
      <c r="I79" s="5">
        <f>COUNTIFS('Game Telemetry'!A:A,A79,'Game Telemetry'!D:D,"&gt;0")</f>
        <v/>
      </c>
      <c r="J79" s="5" t="n"/>
    </row>
    <row r="80">
      <c r="A80" s="5" t="n">
        <v>3079</v>
      </c>
      <c r="B80" s="5" t="n"/>
      <c r="C80" s="5" t="n"/>
      <c r="D80" s="5" t="n"/>
      <c r="E80" s="5" t="n"/>
      <c r="F80" s="5" t="n"/>
      <c r="G80" s="5" t="n"/>
      <c r="H80" s="5" t="n"/>
      <c r="I80" s="5">
        <f>COUNTIFS('Game Telemetry'!A:A,A80,'Game Telemetry'!D:D,"&gt;0")</f>
        <v/>
      </c>
      <c r="J80" s="5" t="n"/>
    </row>
    <row r="81">
      <c r="A81" s="5" t="n">
        <v>3080</v>
      </c>
      <c r="B81" s="5" t="n"/>
      <c r="C81" s="5" t="n"/>
      <c r="D81" s="5" t="n"/>
      <c r="E81" s="5" t="n"/>
      <c r="F81" s="5" t="n"/>
      <c r="G81" s="5" t="n"/>
      <c r="H81" s="5" t="n"/>
      <c r="I81" s="5">
        <f>COUNTIFS('Game Telemetry'!A:A,A81,'Game Telemetry'!D:D,"&gt;0")</f>
        <v/>
      </c>
      <c r="J81" s="5" t="n"/>
    </row>
    <row r="82">
      <c r="A82" s="5" t="n">
        <v>3081</v>
      </c>
      <c r="B82" s="5" t="n"/>
      <c r="C82" s="5" t="n"/>
      <c r="D82" s="5" t="n"/>
      <c r="E82" s="5" t="n"/>
      <c r="F82" s="5" t="n"/>
      <c r="G82" s="5" t="n"/>
      <c r="H82" s="5" t="n"/>
      <c r="I82" s="5">
        <f>COUNTIFS('Game Telemetry'!A:A,A82,'Game Telemetry'!D:D,"&gt;0")</f>
        <v/>
      </c>
      <c r="J82" s="5" t="n"/>
    </row>
    <row r="83">
      <c r="A83" s="5" t="n">
        <v>3082</v>
      </c>
      <c r="B83" s="5" t="n"/>
      <c r="C83" s="5" t="n"/>
      <c r="D83" s="5" t="n"/>
      <c r="E83" s="5" t="n"/>
      <c r="F83" s="5" t="n"/>
      <c r="G83" s="5" t="n"/>
      <c r="H83" s="5" t="n"/>
      <c r="I83" s="5">
        <f>COUNTIFS('Game Telemetry'!A:A,A83,'Game Telemetry'!D:D,"&gt;0")</f>
        <v/>
      </c>
      <c r="J83" s="5" t="n"/>
    </row>
    <row r="84">
      <c r="A84" s="5" t="n">
        <v>3083</v>
      </c>
      <c r="B84" s="5" t="n"/>
      <c r="C84" s="5" t="n"/>
      <c r="D84" s="5" t="n"/>
      <c r="E84" s="5" t="n"/>
      <c r="F84" s="5" t="n"/>
      <c r="G84" s="5" t="n"/>
      <c r="H84" s="5" t="n"/>
      <c r="I84" s="5">
        <f>COUNTIFS('Game Telemetry'!A:A,A84,'Game Telemetry'!D:D,"&gt;0")</f>
        <v/>
      </c>
      <c r="J84" s="5" t="n"/>
    </row>
    <row r="85">
      <c r="A85" s="5" t="n">
        <v>3084</v>
      </c>
      <c r="B85" s="5" t="n"/>
      <c r="C85" s="5" t="n"/>
      <c r="D85" s="5" t="n"/>
      <c r="E85" s="5" t="n"/>
      <c r="F85" s="5" t="n"/>
      <c r="G85" s="5" t="n"/>
      <c r="H85" s="5" t="n"/>
      <c r="I85" s="5">
        <f>COUNTIFS('Game Telemetry'!A:A,A85,'Game Telemetry'!D:D,"&gt;0")</f>
        <v/>
      </c>
      <c r="J85" s="5" t="n"/>
    </row>
    <row r="86">
      <c r="A86" s="5" t="n">
        <v>3085</v>
      </c>
      <c r="B86" s="5" t="n"/>
      <c r="C86" s="5" t="n"/>
      <c r="D86" s="5" t="n"/>
      <c r="E86" s="5" t="n"/>
      <c r="F86" s="5" t="n"/>
      <c r="G86" s="5" t="n"/>
      <c r="H86" s="5" t="n"/>
      <c r="I86" s="5">
        <f>COUNTIFS('Game Telemetry'!A:A,A86,'Game Telemetry'!D:D,"&gt;0")</f>
        <v/>
      </c>
      <c r="J86" s="5" t="n"/>
    </row>
    <row r="87">
      <c r="A87" s="5" t="n">
        <v>3086</v>
      </c>
      <c r="B87" s="5" t="n"/>
      <c r="C87" s="5" t="n"/>
      <c r="D87" s="5" t="n"/>
      <c r="E87" s="5" t="n"/>
      <c r="F87" s="5" t="n"/>
      <c r="G87" s="5" t="n"/>
      <c r="H87" s="5" t="n"/>
      <c r="I87" s="5">
        <f>COUNTIFS('Game Telemetry'!A:A,A87,'Game Telemetry'!D:D,"&gt;0")</f>
        <v/>
      </c>
      <c r="J87" s="5" t="n"/>
    </row>
    <row r="88">
      <c r="A88" s="5" t="n">
        <v>3087</v>
      </c>
      <c r="B88" s="5" t="n"/>
      <c r="C88" s="5" t="n"/>
      <c r="D88" s="5" t="n"/>
      <c r="E88" s="5" t="n"/>
      <c r="F88" s="5" t="n"/>
      <c r="G88" s="5" t="n"/>
      <c r="H88" s="5" t="n"/>
      <c r="I88" s="5">
        <f>COUNTIFS('Game Telemetry'!A:A,A88,'Game Telemetry'!D:D,"&gt;0")</f>
        <v/>
      </c>
      <c r="J88" s="5" t="n"/>
    </row>
    <row r="89">
      <c r="A89" s="5" t="n">
        <v>3088</v>
      </c>
      <c r="B89" s="5" t="n"/>
      <c r="C89" s="5" t="n"/>
      <c r="D89" s="5" t="n"/>
      <c r="E89" s="5" t="n"/>
      <c r="F89" s="5" t="n"/>
      <c r="G89" s="5" t="n"/>
      <c r="H89" s="5" t="n"/>
      <c r="I89" s="5">
        <f>COUNTIFS('Game Telemetry'!A:A,A89,'Game Telemetry'!D:D,"&gt;0")</f>
        <v/>
      </c>
      <c r="J89" s="5" t="n"/>
    </row>
    <row r="90">
      <c r="A90" s="5" t="n">
        <v>3089</v>
      </c>
      <c r="B90" s="5" t="n"/>
      <c r="C90" s="5" t="n"/>
      <c r="D90" s="5" t="n"/>
      <c r="E90" s="5" t="n"/>
      <c r="F90" s="5" t="n"/>
      <c r="G90" s="5" t="n"/>
      <c r="H90" s="5" t="n"/>
      <c r="I90" s="5">
        <f>COUNTIFS('Game Telemetry'!A:A,A90,'Game Telemetry'!D:D,"&gt;0")</f>
        <v/>
      </c>
      <c r="J90" s="5" t="n"/>
    </row>
    <row r="91">
      <c r="A91" s="5" t="n">
        <v>3090</v>
      </c>
      <c r="B91" s="5" t="n"/>
      <c r="C91" s="5" t="n"/>
      <c r="D91" s="5" t="n"/>
      <c r="E91" s="5" t="n"/>
      <c r="F91" s="5" t="n"/>
      <c r="G91" s="5" t="n"/>
      <c r="H91" s="5" t="n"/>
      <c r="I91" s="5">
        <f>COUNTIFS('Game Telemetry'!A:A,A91,'Game Telemetry'!D:D,"&gt;0")</f>
        <v/>
      </c>
      <c r="J91" s="5" t="n"/>
    </row>
    <row r="92">
      <c r="A92" s="5" t="n">
        <v>3091</v>
      </c>
      <c r="B92" s="5" t="n"/>
      <c r="C92" s="5" t="n"/>
      <c r="D92" s="5" t="n"/>
      <c r="E92" s="5" t="n"/>
      <c r="F92" s="5" t="n"/>
      <c r="G92" s="5" t="n"/>
      <c r="H92" s="5" t="n"/>
      <c r="I92" s="5">
        <f>COUNTIFS('Game Telemetry'!A:A,A92,'Game Telemetry'!D:D,"&gt;0")</f>
        <v/>
      </c>
      <c r="J92" s="5" t="n"/>
    </row>
    <row r="93">
      <c r="A93" s="5" t="n">
        <v>3092</v>
      </c>
      <c r="B93" s="5" t="n"/>
      <c r="C93" s="5" t="n"/>
      <c r="D93" s="5" t="n"/>
      <c r="E93" s="5" t="n"/>
      <c r="F93" s="5" t="n"/>
      <c r="G93" s="5" t="n"/>
      <c r="H93" s="5" t="n"/>
      <c r="I93" s="5">
        <f>COUNTIFS('Game Telemetry'!A:A,A93,'Game Telemetry'!D:D,"&gt;0")</f>
        <v/>
      </c>
      <c r="J93" s="5" t="n"/>
    </row>
    <row r="94">
      <c r="A94" s="5" t="n">
        <v>3093</v>
      </c>
      <c r="B94" s="5" t="n"/>
      <c r="C94" s="5" t="n"/>
      <c r="D94" s="5" t="n"/>
      <c r="E94" s="5" t="n"/>
      <c r="F94" s="5" t="n"/>
      <c r="G94" s="5" t="n"/>
      <c r="H94" s="5" t="n"/>
      <c r="I94" s="5">
        <f>COUNTIFS('Game Telemetry'!A:A,A94,'Game Telemetry'!D:D,"&gt;0")</f>
        <v/>
      </c>
      <c r="J94" s="5" t="n"/>
    </row>
    <row r="95">
      <c r="A95" s="5" t="n">
        <v>3094</v>
      </c>
      <c r="B95" s="5" t="n"/>
      <c r="C95" s="5" t="n"/>
      <c r="D95" s="5" t="n"/>
      <c r="E95" s="5" t="n"/>
      <c r="F95" s="5" t="n"/>
      <c r="G95" s="5" t="n"/>
      <c r="H95" s="5" t="n"/>
      <c r="I95" s="5">
        <f>COUNTIFS('Game Telemetry'!A:A,A95,'Game Telemetry'!D:D,"&gt;0")</f>
        <v/>
      </c>
      <c r="J95" s="5" t="n"/>
    </row>
    <row r="96">
      <c r="A96" s="5" t="n">
        <v>3095</v>
      </c>
      <c r="B96" s="5" t="n"/>
      <c r="C96" s="5" t="n"/>
      <c r="D96" s="5" t="n"/>
      <c r="E96" s="5" t="n"/>
      <c r="F96" s="5" t="n"/>
      <c r="G96" s="5" t="n"/>
      <c r="H96" s="5" t="n"/>
      <c r="I96" s="5">
        <f>COUNTIFS('Game Telemetry'!A:A,A96,'Game Telemetry'!D:D,"&gt;0")</f>
        <v/>
      </c>
      <c r="J96" s="5" t="n"/>
    </row>
    <row r="97">
      <c r="A97" s="5" t="n">
        <v>3096</v>
      </c>
      <c r="B97" s="5" t="n"/>
      <c r="C97" s="5" t="n"/>
      <c r="D97" s="5" t="n"/>
      <c r="E97" s="5" t="n"/>
      <c r="F97" s="5" t="n"/>
      <c r="G97" s="5" t="n"/>
      <c r="H97" s="5" t="n"/>
      <c r="I97" s="5">
        <f>COUNTIFS('Game Telemetry'!A:A,A97,'Game Telemetry'!D:D,"&gt;0")</f>
        <v/>
      </c>
      <c r="J97" s="5" t="n"/>
    </row>
    <row r="98">
      <c r="A98" s="5" t="n">
        <v>3097</v>
      </c>
      <c r="B98" s="5" t="n"/>
      <c r="C98" s="5" t="n"/>
      <c r="D98" s="5" t="n"/>
      <c r="E98" s="5" t="n"/>
      <c r="F98" s="5" t="n"/>
      <c r="G98" s="5" t="n"/>
      <c r="H98" s="5" t="n"/>
      <c r="I98" s="5">
        <f>COUNTIFS('Game Telemetry'!A:A,A98,'Game Telemetry'!D:D,"&gt;0")</f>
        <v/>
      </c>
      <c r="J98" s="5" t="n"/>
    </row>
    <row r="99">
      <c r="A99" s="5" t="n">
        <v>3098</v>
      </c>
      <c r="B99" s="5" t="n"/>
      <c r="C99" s="5" t="n"/>
      <c r="D99" s="5" t="n"/>
      <c r="E99" s="5" t="n"/>
      <c r="F99" s="5" t="n"/>
      <c r="G99" s="5" t="n"/>
      <c r="H99" s="5" t="n"/>
      <c r="I99" s="5">
        <f>COUNTIFS('Game Telemetry'!A:A,A99,'Game Telemetry'!D:D,"&gt;0")</f>
        <v/>
      </c>
      <c r="J99" s="5" t="n"/>
    </row>
    <row r="100">
      <c r="A100" s="5" t="n">
        <v>3099</v>
      </c>
      <c r="B100" s="5" t="n"/>
      <c r="C100" s="5" t="n"/>
      <c r="D100" s="5" t="n"/>
      <c r="E100" s="5" t="n"/>
      <c r="F100" s="5" t="n"/>
      <c r="G100" s="5" t="n"/>
      <c r="H100" s="5" t="n"/>
      <c r="I100" s="5">
        <f>COUNTIFS('Game Telemetry'!A:A,A100,'Game Telemetry'!D:D,"&gt;0")</f>
        <v/>
      </c>
      <c r="J100" s="5" t="n"/>
    </row>
    <row r="101">
      <c r="A101" s="5" t="n">
        <v>3100</v>
      </c>
      <c r="B101" s="5" t="n"/>
      <c r="C101" s="5" t="n"/>
      <c r="D101" s="5" t="n"/>
      <c r="E101" s="5" t="n"/>
      <c r="F101" s="5" t="n"/>
      <c r="G101" s="5" t="n"/>
      <c r="H101" s="5" t="n"/>
      <c r="I101" s="5">
        <f>COUNTIFS('Game Telemetry'!A:A,A101,'Game Telemetry'!D:D,"&gt;0")</f>
        <v/>
      </c>
      <c r="J101" s="5" t="n"/>
    </row>
    <row r="102">
      <c r="A102" s="5" t="n">
        <v>3101</v>
      </c>
      <c r="B102" s="5" t="n"/>
      <c r="C102" s="5" t="n"/>
      <c r="D102" s="5" t="n"/>
      <c r="E102" s="5" t="n"/>
      <c r="F102" s="5" t="n"/>
      <c r="G102" s="5" t="n"/>
      <c r="H102" s="5" t="n"/>
      <c r="I102" s="5">
        <f>COUNTIFS('Game Telemetry'!A:A,A102,'Game Telemetry'!D:D,"&gt;0")</f>
        <v/>
      </c>
      <c r="J102" s="5" t="n"/>
    </row>
    <row r="103">
      <c r="A103" s="5" t="n">
        <v>3102</v>
      </c>
      <c r="B103" s="5" t="n"/>
      <c r="C103" s="5" t="n"/>
      <c r="D103" s="5" t="n"/>
      <c r="E103" s="5" t="n"/>
      <c r="F103" s="5" t="n"/>
      <c r="G103" s="5" t="n"/>
      <c r="H103" s="5" t="n"/>
      <c r="I103" s="5">
        <f>COUNTIFS('Game Telemetry'!A:A,A103,'Game Telemetry'!D:D,"&gt;0")</f>
        <v/>
      </c>
      <c r="J103" s="5" t="n"/>
    </row>
    <row r="104">
      <c r="A104" s="5" t="n">
        <v>3103</v>
      </c>
      <c r="B104" s="5" t="n"/>
      <c r="C104" s="5" t="n"/>
      <c r="D104" s="5" t="n"/>
      <c r="E104" s="5" t="n"/>
      <c r="F104" s="5" t="n"/>
      <c r="G104" s="5" t="n"/>
      <c r="H104" s="5" t="n"/>
      <c r="I104" s="5">
        <f>COUNTIFS('Game Telemetry'!A:A,A104,'Game Telemetry'!D:D,"&gt;0")</f>
        <v/>
      </c>
      <c r="J104" s="5" t="n"/>
    </row>
    <row r="105">
      <c r="A105" s="5" t="n">
        <v>3104</v>
      </c>
      <c r="B105" s="5" t="n"/>
      <c r="C105" s="5" t="n"/>
      <c r="D105" s="5" t="n"/>
      <c r="E105" s="5" t="n"/>
      <c r="F105" s="5" t="n"/>
      <c r="G105" s="5" t="n"/>
      <c r="H105" s="5" t="n"/>
      <c r="I105" s="5">
        <f>COUNTIFS('Game Telemetry'!A:A,A105,'Game Telemetry'!D:D,"&gt;0")</f>
        <v/>
      </c>
      <c r="J105" s="5" t="n"/>
    </row>
    <row r="106">
      <c r="A106" s="5" t="n">
        <v>3105</v>
      </c>
      <c r="B106" s="5" t="n"/>
      <c r="C106" s="5" t="n"/>
      <c r="D106" s="5" t="n"/>
      <c r="E106" s="5" t="n"/>
      <c r="F106" s="5" t="n"/>
      <c r="G106" s="5" t="n"/>
      <c r="H106" s="5" t="n"/>
      <c r="I106" s="5">
        <f>COUNTIFS('Game Telemetry'!A:A,A106,'Game Telemetry'!D:D,"&gt;0")</f>
        <v/>
      </c>
      <c r="J106" s="5" t="n"/>
    </row>
    <row r="107">
      <c r="A107" s="5" t="n">
        <v>3106</v>
      </c>
      <c r="B107" s="5" t="n"/>
      <c r="C107" s="5" t="n"/>
      <c r="D107" s="5" t="n"/>
      <c r="E107" s="5" t="n"/>
      <c r="F107" s="5" t="n"/>
      <c r="G107" s="5" t="n"/>
      <c r="H107" s="5" t="n"/>
      <c r="I107" s="5">
        <f>COUNTIFS('Game Telemetry'!A:A,A107,'Game Telemetry'!D:D,"&gt;0")</f>
        <v/>
      </c>
      <c r="J107" s="5" t="n"/>
    </row>
    <row r="108">
      <c r="A108" s="5" t="n">
        <v>3107</v>
      </c>
      <c r="B108" s="5" t="n"/>
      <c r="C108" s="5" t="n"/>
      <c r="D108" s="5" t="n"/>
      <c r="E108" s="5" t="n"/>
      <c r="F108" s="5" t="n"/>
      <c r="G108" s="5" t="n"/>
      <c r="H108" s="5" t="n"/>
      <c r="I108" s="5">
        <f>COUNTIFS('Game Telemetry'!A:A,A108,'Game Telemetry'!D:D,"&gt;0")</f>
        <v/>
      </c>
      <c r="J108" s="5" t="n"/>
    </row>
    <row r="109">
      <c r="A109" s="5" t="n">
        <v>3108</v>
      </c>
      <c r="B109" s="5" t="n"/>
      <c r="C109" s="5" t="n"/>
      <c r="D109" s="5" t="n"/>
      <c r="E109" s="5" t="n"/>
      <c r="F109" s="5" t="n"/>
      <c r="G109" s="5" t="n"/>
      <c r="H109" s="5" t="n"/>
      <c r="I109" s="5">
        <f>COUNTIFS('Game Telemetry'!A:A,A109,'Game Telemetry'!D:D,"&gt;0")</f>
        <v/>
      </c>
      <c r="J109" s="5" t="n"/>
    </row>
    <row r="110">
      <c r="A110" s="5" t="n">
        <v>3109</v>
      </c>
      <c r="B110" s="5" t="n"/>
      <c r="C110" s="5" t="n"/>
      <c r="D110" s="5" t="n"/>
      <c r="E110" s="5" t="n"/>
      <c r="F110" s="5" t="n"/>
      <c r="G110" s="5" t="n"/>
      <c r="H110" s="5" t="n"/>
      <c r="I110" s="5">
        <f>COUNTIFS('Game Telemetry'!A:A,A110,'Game Telemetry'!D:D,"&gt;0")</f>
        <v/>
      </c>
      <c r="J110" s="5" t="n"/>
    </row>
    <row r="111">
      <c r="A111" s="5" t="n">
        <v>3110</v>
      </c>
      <c r="B111" s="5" t="n"/>
      <c r="C111" s="5" t="n"/>
      <c r="D111" s="5" t="n"/>
      <c r="E111" s="5" t="n"/>
      <c r="F111" s="5" t="n"/>
      <c r="G111" s="5" t="n"/>
      <c r="H111" s="5" t="n"/>
      <c r="I111" s="5">
        <f>COUNTIFS('Game Telemetry'!A:A,A111,'Game Telemetry'!D:D,"&gt;0")</f>
        <v/>
      </c>
      <c r="J111" s="5" t="n"/>
    </row>
    <row r="112">
      <c r="A112" s="5" t="n">
        <v>3111</v>
      </c>
      <c r="B112" s="5" t="n"/>
      <c r="C112" s="5" t="n"/>
      <c r="D112" s="5" t="n"/>
      <c r="E112" s="5" t="n"/>
      <c r="F112" s="5" t="n"/>
      <c r="G112" s="5" t="n"/>
      <c r="H112" s="5" t="n"/>
      <c r="I112" s="5">
        <f>COUNTIFS('Game Telemetry'!A:A,A112,'Game Telemetry'!D:D,"&gt;0")</f>
        <v/>
      </c>
      <c r="J112" s="5" t="n"/>
    </row>
    <row r="113">
      <c r="A113" s="5" t="n">
        <v>3112</v>
      </c>
      <c r="B113" s="5" t="n"/>
      <c r="C113" s="5" t="n"/>
      <c r="D113" s="5" t="n"/>
      <c r="E113" s="5" t="n"/>
      <c r="F113" s="5" t="n"/>
      <c r="G113" s="5" t="n"/>
      <c r="H113" s="5" t="n"/>
      <c r="I113" s="5">
        <f>COUNTIFS('Game Telemetry'!A:A,A113,'Game Telemetry'!D:D,"&gt;0")</f>
        <v/>
      </c>
      <c r="J113" s="5" t="n"/>
    </row>
    <row r="114">
      <c r="A114" s="5" t="n">
        <v>3113</v>
      </c>
      <c r="B114" s="5" t="n"/>
      <c r="C114" s="5" t="n"/>
      <c r="D114" s="5" t="n"/>
      <c r="E114" s="5" t="n"/>
      <c r="F114" s="5" t="n"/>
      <c r="G114" s="5" t="n"/>
      <c r="H114" s="5" t="n"/>
      <c r="I114" s="5">
        <f>COUNTIFS('Game Telemetry'!A:A,A114,'Game Telemetry'!D:D,"&gt;0")</f>
        <v/>
      </c>
      <c r="J114" s="5" t="n"/>
    </row>
    <row r="115">
      <c r="A115" s="5" t="n">
        <v>3114</v>
      </c>
      <c r="B115" s="5" t="n"/>
      <c r="C115" s="5" t="n"/>
      <c r="D115" s="5" t="n"/>
      <c r="E115" s="5" t="n"/>
      <c r="F115" s="5" t="n"/>
      <c r="G115" s="5" t="n"/>
      <c r="H115" s="5" t="n"/>
      <c r="I115" s="5">
        <f>COUNTIFS('Game Telemetry'!A:A,A115,'Game Telemetry'!D:D,"&gt;0")</f>
        <v/>
      </c>
      <c r="J115" s="5" t="n"/>
    </row>
    <row r="116">
      <c r="A116" s="5" t="n">
        <v>3115</v>
      </c>
      <c r="B116" s="5" t="n"/>
      <c r="C116" s="5" t="n"/>
      <c r="D116" s="5" t="n"/>
      <c r="E116" s="5" t="n"/>
      <c r="F116" s="5" t="n"/>
      <c r="G116" s="5" t="n"/>
      <c r="H116" s="5" t="n"/>
      <c r="I116" s="5">
        <f>COUNTIFS('Game Telemetry'!A:A,A116,'Game Telemetry'!D:D,"&gt;0")</f>
        <v/>
      </c>
      <c r="J116" s="5" t="n"/>
    </row>
    <row r="117">
      <c r="A117" s="5" t="n">
        <v>3116</v>
      </c>
      <c r="B117" s="5" t="n"/>
      <c r="C117" s="5" t="n"/>
      <c r="D117" s="5" t="n"/>
      <c r="E117" s="5" t="n"/>
      <c r="F117" s="5" t="n"/>
      <c r="G117" s="5" t="n"/>
      <c r="H117" s="5" t="n"/>
      <c r="I117" s="5">
        <f>COUNTIFS('Game Telemetry'!A:A,A117,'Game Telemetry'!D:D,"&gt;0")</f>
        <v/>
      </c>
      <c r="J117" s="5" t="n"/>
    </row>
    <row r="118">
      <c r="A118" s="5" t="n">
        <v>3117</v>
      </c>
      <c r="B118" s="5" t="n"/>
      <c r="C118" s="5" t="n"/>
      <c r="D118" s="5" t="n"/>
      <c r="E118" s="5" t="n"/>
      <c r="F118" s="5" t="n"/>
      <c r="G118" s="5" t="n"/>
      <c r="H118" s="5" t="n"/>
      <c r="I118" s="5">
        <f>COUNTIFS('Game Telemetry'!A:A,A118,'Game Telemetry'!D:D,"&gt;0")</f>
        <v/>
      </c>
      <c r="J118" s="5" t="n"/>
    </row>
    <row r="119">
      <c r="A119" s="5" t="n">
        <v>3118</v>
      </c>
      <c r="B119" s="5" t="n"/>
      <c r="C119" s="5" t="n"/>
      <c r="D119" s="5" t="n"/>
      <c r="E119" s="5" t="n"/>
      <c r="F119" s="5" t="n"/>
      <c r="G119" s="5" t="n"/>
      <c r="H119" s="5" t="n"/>
      <c r="I119" s="5">
        <f>COUNTIFS('Game Telemetry'!A:A,A119,'Game Telemetry'!D:D,"&gt;0")</f>
        <v/>
      </c>
      <c r="J119" s="5" t="n"/>
    </row>
    <row r="120">
      <c r="A120" s="5" t="n">
        <v>3119</v>
      </c>
      <c r="B120" s="5" t="n"/>
      <c r="C120" s="5" t="n"/>
      <c r="D120" s="5" t="n"/>
      <c r="E120" s="5" t="n"/>
      <c r="F120" s="5" t="n"/>
      <c r="G120" s="5" t="n"/>
      <c r="H120" s="5" t="n"/>
      <c r="I120" s="5">
        <f>COUNTIFS('Game Telemetry'!A:A,A120,'Game Telemetry'!D:D,"&gt;0")</f>
        <v/>
      </c>
      <c r="J120" s="5" t="n"/>
    </row>
    <row r="121">
      <c r="A121" s="5" t="n">
        <v>3120</v>
      </c>
      <c r="B121" s="5" t="n"/>
      <c r="C121" s="5" t="n"/>
      <c r="D121" s="5" t="n"/>
      <c r="E121" s="5" t="n"/>
      <c r="F121" s="5" t="n"/>
      <c r="G121" s="5" t="n"/>
      <c r="H121" s="5" t="n"/>
      <c r="I121" s="5">
        <f>COUNTIFS('Game Telemetry'!A:A,A121,'Game Telemetry'!D:D,"&gt;0")</f>
        <v/>
      </c>
      <c r="J121" s="5" t="n"/>
    </row>
  </sheetData>
  <dataValidations count="2">
    <dataValidation sqref="B2:G121" showDropDown="0" showInputMessage="1" showErrorMessage="1" allowBlank="1" type="list">
      <formula1>"TRUE,FALSE"</formula1>
    </dataValidation>
    <dataValidation sqref="H2:H121" showDropDown="0" showInputMessage="1" showErrorMessage="1" allowBlank="1" type="list">
      <formula1>"F0,F1,F2,F3,F4"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32" customWidth="1" min="4" max="4"/>
  </cols>
  <sheetData>
    <row r="1">
      <c r="A1" s="8" t="inlineStr">
        <is>
          <t>Stage-3 Headline Indicators (auto-computed)</t>
        </is>
      </c>
    </row>
    <row r="3">
      <c r="A3" s="3" t="inlineStr">
        <is>
          <t>Indicator</t>
        </is>
      </c>
      <c r="B3" s="3" t="inlineStr">
        <is>
          <t>All N=120</t>
        </is>
      </c>
      <c r="C3" s="3" t="inlineStr">
        <is>
          <t>Age 65–80</t>
        </is>
      </c>
      <c r="D3" s="3" t="inlineStr">
        <is>
          <t>Formula source</t>
        </is>
      </c>
    </row>
    <row r="4">
      <c r="A4" s="9" t="inlineStr">
        <is>
          <t>Permanent dropout rate (%)</t>
        </is>
      </c>
      <c r="B4" s="10">
        <f>ROUND(COUNTIF(Outcomes!C2:C121,TRUE)/COUNT(Outcomes!A2:A121)*100,1)</f>
        <v/>
      </c>
      <c r="C4" s="10">
        <f>IFERROR(ROUND(SUMPRODUCT((Outcomes!C2:C121=TRUE)*(Participants!D2:D121="65-80"))/SUMPRODUCT((Participants!D2:D121="65-80")*1)*100,1),"")</f>
        <v/>
      </c>
      <c r="D4" s="11" t="inlineStr">
        <is>
          <t>Outcomes!Initial_Dropout</t>
        </is>
      </c>
    </row>
    <row r="5">
      <c r="A5" s="9" t="inlineStr">
        <is>
          <t>Voluntary return after dropout (%)</t>
        </is>
      </c>
      <c r="B5" s="10">
        <f>IFERROR(ROUND(COUNTIFS(Outcomes!D2:D121,TRUE,Outcomes!C2:C121,TRUE)/COUNTIF(Outcomes!C2:C121,TRUE)*100,1),"")</f>
        <v/>
      </c>
      <c r="C5" s="10">
        <f>IFERROR(ROUND(SUMPRODUCT((Outcomes!D2:D121=TRUE)*(Outcomes!C2:C121=TRUE)*(Participants!D2:D121="65-80"))/SUMPRODUCT((Outcomes!C2:C121=TRUE)*(Participants!D2:D121="65-80"))*100,1),"")</f>
        <v/>
      </c>
      <c r="D5" s="11" t="inlineStr">
        <is>
          <t>Outcomes!Voluntary_Return ÷ Initial_Dropout</t>
        </is>
      </c>
    </row>
    <row r="6">
      <c r="A6" s="9" t="inlineStr">
        <is>
          <t>In-session retention (%)</t>
        </is>
      </c>
      <c r="B6" s="10">
        <f>ROUND(COUNTIF(Outcomes!E2:E121,TRUE)/COUNT(Outcomes!A2:A121)*100,1)</f>
        <v/>
      </c>
      <c r="C6" s="10">
        <f>IFERROR(ROUND(SUMPRODUCT((Outcomes!E2:E121=TRUE)*(Participants!D2:D121="65-80"))/SUMPRODUCT((Participants!D2:D121="65-80")*1)*100,1),"")</f>
        <v/>
      </c>
      <c r="D6" s="11" t="inlineStr">
        <is>
          <t>Outcomes!InSession_Retention</t>
        </is>
      </c>
    </row>
    <row r="7">
      <c r="A7" s="9" t="inlineStr">
        <is>
          <t>Regular-use intention (%)</t>
        </is>
      </c>
      <c r="B7" s="10">
        <f>ROUND(COUNTIF(Outcomes!F2:F121,TRUE)/COUNT(Outcomes!A2:A121)*100,1)</f>
        <v/>
      </c>
      <c r="C7" s="10">
        <f>IFERROR(ROUND(SUMPRODUCT((Outcomes!F2:F121=TRUE)*(Participants!D2:D121="65-80"))/SUMPRODUCT((Participants!D2:D121="65-80")*1)*100,1),"")</f>
        <v/>
      </c>
      <c r="D7" s="11" t="inlineStr">
        <is>
          <t>Outcomes!Regular_Use_Intent</t>
        </is>
      </c>
    </row>
    <row r="8">
      <c r="A8" s="9" t="inlineStr">
        <is>
          <t>Coordination endorsement (%)</t>
        </is>
      </c>
      <c r="B8" s="10">
        <f>ROUND(COUNTIF(Outcomes!G2:G121,TRUE)/COUNT(Outcomes!A2:A121)*100,1)</f>
        <v/>
      </c>
      <c r="C8" s="10">
        <f>IFERROR(ROUND(SUMPRODUCT((Outcomes!G2:G121=TRUE)*(Participants!D2:D121="65-80"))/SUMPRODUCT((Participants!D2:D121="65-80")*1)*100,1),"")</f>
        <v/>
      </c>
      <c r="D8" s="11" t="inlineStr">
        <is>
          <t>Outcomes!Coord_Endorse</t>
        </is>
      </c>
    </row>
    <row r="9">
      <c r="A9" s="9" t="inlineStr">
        <is>
          <t>F4 cluster size</t>
        </is>
      </c>
      <c r="B9" s="10">
        <f>COUNTIF(Outcomes!H2:H121,"F4")</f>
        <v/>
      </c>
      <c r="C9" s="10">
        <f>SUMPRODUCT((Outcomes!H2:H121="F4")*(Participants!D2:D121="65-80"))</f>
        <v/>
      </c>
      <c r="D9" s="11" t="inlineStr">
        <is>
          <t>Outcomes!FIAS_F_Code</t>
        </is>
      </c>
    </row>
    <row r="10">
      <c r="A10" s="9" t="inlineStr">
        <is>
          <t>Q4 mean — Q1 AI Difficulty</t>
        </is>
      </c>
      <c r="B10" s="10">
        <f>IFERROR(ROUND(AVERAGE('Q4 Responses'!C3:C122),2),"")</f>
        <v/>
      </c>
      <c r="C10" s="10" t="inlineStr"/>
      <c r="D10" s="11" t="inlineStr">
        <is>
          <t>Q4 Responses</t>
        </is>
      </c>
    </row>
    <row r="11">
      <c r="A11" s="9" t="inlineStr">
        <is>
          <t>Q4 mean — Q2 Persistence</t>
        </is>
      </c>
      <c r="B11" s="10">
        <f>IFERROR(ROUND(AVERAGE('Q4 Responses'!D3:D122),2),"")</f>
        <v/>
      </c>
      <c r="C11" s="10" t="inlineStr"/>
      <c r="D11" s="11" t="inlineStr"/>
    </row>
    <row r="12">
      <c r="A12" s="9" t="inlineStr">
        <is>
          <t>Q4 mean — Q3 Features</t>
        </is>
      </c>
      <c r="B12" s="10">
        <f>IFERROR(ROUND(AVERAGE('Q4 Responses'!E3:E122),2),"")</f>
        <v/>
      </c>
      <c r="C12" s="10" t="inlineStr"/>
      <c r="D12" s="11" t="inlineStr"/>
    </row>
    <row r="13">
      <c r="A13" s="9" t="inlineStr">
        <is>
          <t>Q4 mean — Q4 Enjoyment</t>
        </is>
      </c>
      <c r="B13" s="10">
        <f>IFERROR(ROUND(AVERAGE('Q4 Responses'!F3:F122),2),"")</f>
        <v/>
      </c>
      <c r="C13" s="10" t="inlineStr"/>
      <c r="D13" s="11" t="inlineStr"/>
    </row>
    <row r="14">
      <c r="A14" s="9" t="inlineStr">
        <is>
          <t>Q4 mean — Q5 Self-Efficacy</t>
        </is>
      </c>
      <c r="B14" s="10">
        <f>IFERROR(ROUND(AVERAGE('Q4 Responses'!G3:G122),2),"")</f>
        <v/>
      </c>
      <c r="C14" s="10" t="inlineStr"/>
      <c r="D14" s="11" t="inlineStr"/>
    </row>
    <row r="15">
      <c r="A15" s="9" t="inlineStr">
        <is>
          <t>Q4 mean — Q6 Learn-Reframe</t>
        </is>
      </c>
      <c r="B15" s="10">
        <f>IFERROR(ROUND(AVERAGE('Q4 Responses'!H3:H122),2),"")</f>
        <v/>
      </c>
      <c r="C15" s="10" t="inlineStr"/>
      <c r="D15" s="11" t="inlineStr"/>
    </row>
    <row r="16">
      <c r="A16" s="9" t="inlineStr">
        <is>
          <t>Q4 mean — Q7 Coord-Frame</t>
        </is>
      </c>
      <c r="B16" s="10">
        <f>IFERROR(ROUND(AVERAGE('Q4 Responses'!I3:I122),2),"")</f>
        <v/>
      </c>
      <c r="C16" s="10" t="inlineStr"/>
      <c r="D16" s="11" t="inlineStr"/>
    </row>
    <row r="17">
      <c r="A17" s="9" t="inlineStr">
        <is>
          <t>Q4 mean — Q8 Return+Recommend</t>
        </is>
      </c>
      <c r="B17" s="10">
        <f>IFERROR(ROUND(AVERAGE('Q4 Responses'!J3:J122),2),"")</f>
        <v/>
      </c>
      <c r="C17" s="10" t="inlineStr"/>
      <c r="D17" s="11" t="inlineStr"/>
    </row>
    <row r="18">
      <c r="A18" s="9" t="inlineStr">
        <is>
          <t>FIAS-protection composite (mean)</t>
        </is>
      </c>
      <c r="B18" s="10">
        <f>IFERROR(ROUND(AVERAGE('Q4 Responses'!K3:K122),2),"")</f>
        <v/>
      </c>
      <c r="C18" s="10" t="inlineStr"/>
      <c r="D18" s="11" t="inlineStr">
        <is>
          <t>mean(Q2,Q6,Q7)</t>
        </is>
      </c>
    </row>
    <row r="19">
      <c r="A19" s="9" t="inlineStr">
        <is>
          <t>Engagement composite (mean)</t>
        </is>
      </c>
      <c r="B19" s="10">
        <f>IFERROR(ROUND(AVERAGE('Q4 Responses'!L3:L122),2),"")</f>
        <v/>
      </c>
      <c r="C19" s="10" t="inlineStr"/>
      <c r="D19" s="11" t="inlineStr">
        <is>
          <t>mean(Q3,Q4,Q8)</t>
        </is>
      </c>
    </row>
    <row r="20">
      <c r="A20" s="9" t="inlineStr">
        <is>
          <t>Commitment gap (pp)</t>
        </is>
      </c>
      <c r="B20" s="10">
        <f>IFERROR(ROUND(ROUND(COUNTIF(Outcomes!E2:E121,TRUE)/COUNT(Outcomes!A2:A121)*100,1)-ROUND(COUNTIF(Outcomes!F2:F121,TRUE)/COUNT(Outcomes!A2:A121)*100,1),1),"")</f>
        <v/>
      </c>
      <c r="C20" s="10">
        <f>IFERROR(ROUND(IFERROR(ROUND(SUMPRODUCT((Outcomes!E2:E121=TRUE)*(Participants!D2:D121="65-80"))/SUMPRODUCT((Participants!D2:D121="65-80")*1)*100,1),0)-IFERROR(ROUND(SUMPRODUCT((Outcomes!F2:F121=TRUE)*(Participants!D2:D121="65-80"))/SUMPRODUCT((Participants!D2:D121="65-80")*1)*100,1),0),1),"")</f>
        <v/>
      </c>
      <c r="D20" s="11" t="inlineStr">
        <is>
          <t>In-session − Regular-use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4" t="inlineStr">
        <is>
          <t>Stage-3 published aggregate results — transcribed verbatim from Paper 3: Tam &amp; Cheung, 'When the Frame Is Removed, the Failure Returns to Being a Failure' (v6). These are the cross-check targets; they are NOT raw data.</t>
        </is>
      </c>
    </row>
    <row r="2"/>
    <row r="3">
      <c r="A3" s="14" t="inlineStr">
        <is>
          <t>Table P3-1. Participant characteristics (N = 120)</t>
        </is>
      </c>
    </row>
    <row r="4">
      <c r="A4" s="14" t="inlineStr">
        <is>
          <t>Characteristic</t>
        </is>
      </c>
      <c r="B4" s="14" t="inlineStr">
        <is>
          <t>Category</t>
        </is>
      </c>
      <c r="C4" s="14" t="inlineStr">
        <is>
          <t>n</t>
        </is>
      </c>
      <c r="D4" s="14" t="inlineStr">
        <is>
          <t>%</t>
        </is>
      </c>
    </row>
    <row r="5">
      <c r="A5" t="inlineStr">
        <is>
          <t>Gender</t>
        </is>
      </c>
      <c r="B5" t="inlineStr">
        <is>
          <t>Male</t>
        </is>
      </c>
      <c r="C5" t="n">
        <v>48</v>
      </c>
      <c r="D5" t="n">
        <v>40</v>
      </c>
    </row>
    <row r="6">
      <c r="A6" t="inlineStr">
        <is>
          <t>Gender</t>
        </is>
      </c>
      <c r="B6" t="inlineStr">
        <is>
          <t>Female</t>
        </is>
      </c>
      <c r="C6" t="n">
        <v>72</v>
      </c>
      <c r="D6" t="n">
        <v>60</v>
      </c>
    </row>
    <row r="7">
      <c r="A7" t="inlineStr">
        <is>
          <t>Age band</t>
        </is>
      </c>
      <c r="B7" t="inlineStr">
        <is>
          <t>25-44</t>
        </is>
      </c>
      <c r="C7" t="n">
        <v>35</v>
      </c>
      <c r="D7" t="n">
        <v>29.2</v>
      </c>
    </row>
    <row r="8">
      <c r="A8" t="inlineStr">
        <is>
          <t>Age band</t>
        </is>
      </c>
      <c r="B8" t="inlineStr">
        <is>
          <t>45-64</t>
        </is>
      </c>
      <c r="C8" t="n">
        <v>40</v>
      </c>
      <c r="D8" t="n">
        <v>33.3</v>
      </c>
    </row>
    <row r="9">
      <c r="A9" t="inlineStr">
        <is>
          <t>Age band</t>
        </is>
      </c>
      <c r="B9" t="inlineStr">
        <is>
          <t>65-80</t>
        </is>
      </c>
      <c r="C9" t="n">
        <v>45</v>
      </c>
      <c r="D9" t="n">
        <v>37.5</v>
      </c>
    </row>
    <row r="10">
      <c r="A10" t="inlineStr">
        <is>
          <t>Education</t>
        </is>
      </c>
      <c r="B10" t="inlineStr">
        <is>
          <t>High school or above</t>
        </is>
      </c>
      <c r="C10" t="n">
        <v>120</v>
      </c>
      <c r="D10" t="n">
        <v>100</v>
      </c>
    </row>
    <row r="11"/>
    <row r="12">
      <c r="A12" s="14" t="inlineStr">
        <is>
          <t>Table P3-2. Overall engagement (N = 120)</t>
        </is>
      </c>
    </row>
    <row r="13">
      <c r="A13" s="14" t="inlineStr">
        <is>
          <t>Metric</t>
        </is>
      </c>
      <c r="B13" s="14" t="inlineStr">
        <is>
          <t>n</t>
        </is>
      </c>
      <c r="C13" s="14" t="inlineStr">
        <is>
          <t>%</t>
        </is>
      </c>
    </row>
    <row r="14">
      <c r="A14" t="inlineStr">
        <is>
          <t>Dropped out before completing 5 attempts</t>
        </is>
      </c>
      <c r="B14" t="n">
        <v>23</v>
      </c>
      <c r="C14" t="n">
        <v>19.2</v>
      </c>
    </row>
    <row r="15">
      <c r="A15" t="inlineStr">
        <is>
          <t>Returned after initial dropout</t>
        </is>
      </c>
      <c r="B15" t="n">
        <v>15</v>
      </c>
      <c r="C15" t="n">
        <v>12.5</v>
      </c>
    </row>
    <row r="16">
      <c r="A16" t="inlineStr">
        <is>
          <t>Permanent dropout (did not return)</t>
        </is>
      </c>
      <c r="B16" t="n">
        <v>8</v>
      </c>
      <c r="C16" t="n">
        <v>6.7</v>
      </c>
    </row>
    <row r="17">
      <c r="A17" t="inlineStr">
        <is>
          <t>Overall retention</t>
        </is>
      </c>
      <c r="B17" t="n">
        <v>112</v>
      </c>
      <c r="C17" t="n">
        <v>93.3</v>
      </c>
    </row>
    <row r="18">
      <c r="A18" t="inlineStr">
        <is>
          <t>Return rate among initial dropouts (15 of 23)</t>
        </is>
      </c>
      <c r="B18" t="inlineStr">
        <is>
          <t>—</t>
        </is>
      </c>
      <c r="C18" t="n">
        <v>65.2</v>
      </c>
    </row>
    <row r="19"/>
    <row r="20">
      <c r="A20" s="14" t="inlineStr">
        <is>
          <t>Table P3-3. Age-stratified engagement</t>
        </is>
      </c>
    </row>
    <row r="21">
      <c r="A21" s="14" t="inlineStr">
        <is>
          <t>Age band</t>
        </is>
      </c>
      <c r="B21" s="14" t="inlineStr">
        <is>
          <t>Total n</t>
        </is>
      </c>
      <c r="C21" s="14" t="inlineStr">
        <is>
          <t>Initial dropout</t>
        </is>
      </c>
      <c r="D21" s="14" t="inlineStr">
        <is>
          <t>Returned</t>
        </is>
      </c>
      <c r="E21" s="14" t="inlineStr">
        <is>
          <t>Permanent dropout</t>
        </is>
      </c>
      <c r="F21" s="14" t="inlineStr">
        <is>
          <t>Retention rate</t>
        </is>
      </c>
    </row>
    <row r="22">
      <c r="A22" t="inlineStr">
        <is>
          <t>25-44</t>
        </is>
      </c>
      <c r="B22" t="n">
        <v>35</v>
      </c>
      <c r="C22" t="inlineStr">
        <is>
          <t>0 (0.0%)</t>
        </is>
      </c>
      <c r="D22" t="n">
        <v>0</v>
      </c>
      <c r="E22" t="inlineStr">
        <is>
          <t>0 (0.0%)</t>
        </is>
      </c>
      <c r="F22" t="inlineStr">
        <is>
          <t>100.0%</t>
        </is>
      </c>
    </row>
    <row r="23">
      <c r="A23" t="inlineStr">
        <is>
          <t>45-64</t>
        </is>
      </c>
      <c r="B23" t="n">
        <v>40</v>
      </c>
      <c r="C23" t="inlineStr">
        <is>
          <t>7 (17.5%)</t>
        </is>
      </c>
      <c r="D23" t="n">
        <v>5</v>
      </c>
      <c r="E23" t="inlineStr">
        <is>
          <t>2 (5.0%)</t>
        </is>
      </c>
      <c r="F23" t="inlineStr">
        <is>
          <t>95.0%</t>
        </is>
      </c>
    </row>
    <row r="24">
      <c r="A24" t="inlineStr">
        <is>
          <t>65-80</t>
        </is>
      </c>
      <c r="B24" t="n">
        <v>45</v>
      </c>
      <c r="C24" t="inlineStr">
        <is>
          <t>16 (35.6%)</t>
        </is>
      </c>
      <c r="D24" t="n">
        <v>10</v>
      </c>
      <c r="E24" t="inlineStr">
        <is>
          <t>6 (13.3%)</t>
        </is>
      </c>
      <c r="F24" t="inlineStr">
        <is>
          <t>86.7%</t>
        </is>
      </c>
    </row>
    <row r="25">
      <c r="A25" t="inlineStr">
        <is>
          <t>Total</t>
        </is>
      </c>
      <c r="B25" t="n">
        <v>120</v>
      </c>
      <c r="C25" t="inlineStr">
        <is>
          <t>23 (19.2%)</t>
        </is>
      </c>
      <c r="D25" t="n">
        <v>15</v>
      </c>
      <c r="E25" t="inlineStr">
        <is>
          <t>8 (6.7%)</t>
        </is>
      </c>
      <c r="F25" t="inlineStr">
        <is>
          <t>93.3%</t>
        </is>
      </c>
    </row>
    <row r="26"/>
    <row r="27">
      <c r="A27" s="14" t="inlineStr">
        <is>
          <t>Table P3-4. Endorsement and intention (N = 120)</t>
        </is>
      </c>
    </row>
    <row r="28">
      <c r="A28" s="14" t="inlineStr">
        <is>
          <t>Item</t>
        </is>
      </c>
      <c r="B28" s="14" t="inlineStr">
        <is>
          <t>n</t>
        </is>
      </c>
      <c r="C28" s="14" t="inlineStr">
        <is>
          <t>%</t>
        </is>
      </c>
    </row>
    <row r="29">
      <c r="A29" t="inlineStr">
        <is>
          <t>Liked the game as a reflection of eye-leg coordination</t>
        </is>
      </c>
      <c r="B29" t="n">
        <v>86</v>
      </c>
      <c r="C29" t="n">
        <v>71.7</v>
      </c>
    </row>
    <row r="30">
      <c r="A30" t="inlineStr">
        <is>
          <t>Would use for regular health training if accessible</t>
        </is>
      </c>
      <c r="B30" t="n">
        <v>76</v>
      </c>
      <c r="C30" t="n">
        <v>63.3</v>
      </c>
    </row>
    <row r="31"/>
    <row r="32">
      <c r="A32" s="14" t="inlineStr">
        <is>
          <t>Table P3-5. Regular-use intention by age band</t>
        </is>
      </c>
    </row>
    <row r="33">
      <c r="A33" s="14" t="inlineStr">
        <is>
          <t>Age band</t>
        </is>
      </c>
      <c r="B33" s="14" t="inlineStr">
        <is>
          <t>Total n</t>
        </is>
      </c>
      <c r="C33" s="14" t="inlineStr">
        <is>
          <t>Would use regularly</t>
        </is>
      </c>
      <c r="D33" s="14" t="inlineStr">
        <is>
          <t>Intention rate</t>
        </is>
      </c>
    </row>
    <row r="34">
      <c r="A34" t="inlineStr">
        <is>
          <t>25-44</t>
        </is>
      </c>
      <c r="B34" t="n">
        <v>35</v>
      </c>
      <c r="C34" t="n">
        <v>25</v>
      </c>
      <c r="D34" t="inlineStr">
        <is>
          <t>71.4%</t>
        </is>
      </c>
    </row>
    <row r="35">
      <c r="A35" t="inlineStr">
        <is>
          <t>45-64</t>
        </is>
      </c>
      <c r="B35" t="n">
        <v>40</v>
      </c>
      <c r="C35" t="n">
        <v>28</v>
      </c>
      <c r="D35" t="inlineStr">
        <is>
          <t>70.0%</t>
        </is>
      </c>
    </row>
    <row r="36">
      <c r="A36" t="inlineStr">
        <is>
          <t>65-80</t>
        </is>
      </c>
      <c r="B36" t="n">
        <v>45</v>
      </c>
      <c r="C36" t="n">
        <v>23</v>
      </c>
      <c r="D36" t="inlineStr">
        <is>
          <t>51.1%</t>
        </is>
      </c>
    </row>
    <row r="37">
      <c r="A37" t="inlineStr">
        <is>
          <t>Total</t>
        </is>
      </c>
      <c r="B37" t="n">
        <v>120</v>
      </c>
      <c r="C37" t="n">
        <v>76</v>
      </c>
      <c r="D37" t="inlineStr">
        <is>
          <t>63.3%</t>
        </is>
      </c>
    </row>
    <row r="38"/>
    <row r="39">
      <c r="A39" s="16" t="inlineStr">
        <is>
          <t>Reconciliation note: the age-band sizes above are as printed in the preliminary summary (Paper 3: 35 / 40 / 45). The full participant register compiled from the primary records gives 38 / 41 / 41 (total 120 unchanged); every outcome count is unchanged. The Reconciliation sheet targets use the full register.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</cols>
  <sheetData>
    <row r="1">
      <c r="A1" s="14" t="inlineStr">
        <is>
          <t>Reconciliation of transcribed records against the published Stage-3 aggregates (Paper 3). 'Current' recomputes live from the Participants/Outcomes sheets; enter records ONLY from surviving primary sources.</t>
        </is>
      </c>
    </row>
    <row r="2"/>
    <row r="3">
      <c r="A3" s="14" t="inlineStr">
        <is>
          <t>#</t>
        </is>
      </c>
      <c r="B3" s="14" t="inlineStr">
        <is>
          <t>Indicator</t>
        </is>
      </c>
      <c r="C3" s="14" t="inlineStr">
        <is>
          <t>Published target</t>
        </is>
      </c>
      <c r="D3" s="14" t="inlineStr">
        <is>
          <t>Current (live from sheets)</t>
        </is>
      </c>
      <c r="E3" s="14" t="inlineStr">
        <is>
          <t>Status</t>
        </is>
      </c>
    </row>
    <row r="4">
      <c r="A4" t="n">
        <v>1</v>
      </c>
      <c r="B4" t="inlineStr">
        <is>
          <t>Participants entered (n)</t>
        </is>
      </c>
      <c r="C4" s="15" t="n">
        <v>120</v>
      </c>
      <c r="D4">
        <f>COUNTA(Participants!$C$2:$C$121)</f>
        <v/>
      </c>
      <c r="E4">
        <f>IF(D4="","pending",IF(D4=C4,"MATCH","CHECK"))</f>
        <v/>
      </c>
    </row>
    <row r="5">
      <c r="A5" t="n">
        <v>2</v>
      </c>
      <c r="B5" t="inlineStr">
        <is>
          <t>Age band 25-44 (n)</t>
        </is>
      </c>
      <c r="C5" s="15" t="n">
        <v>38</v>
      </c>
      <c r="D5">
        <f>COUNTIF(Participants!$D$2:$D$121,"25-44")</f>
        <v/>
      </c>
      <c r="E5">
        <f>IF(D5="","pending",IF(D5=C5,"MATCH","CHECK"))</f>
        <v/>
      </c>
    </row>
    <row r="6">
      <c r="A6" t="n">
        <v>3</v>
      </c>
      <c r="B6" t="inlineStr">
        <is>
          <t>Age band 45-64 (n)</t>
        </is>
      </c>
      <c r="C6" s="15" t="n">
        <v>41</v>
      </c>
      <c r="D6">
        <f>COUNTIF(Participants!$D$2:$D$121,"45-64")</f>
        <v/>
      </c>
      <c r="E6">
        <f>IF(D6="","pending",IF(D6=C6,"MATCH","CHECK"))</f>
        <v/>
      </c>
    </row>
    <row r="7">
      <c r="A7" t="n">
        <v>4</v>
      </c>
      <c r="B7" t="inlineStr">
        <is>
          <t>Age band 65-80 (n)</t>
        </is>
      </c>
      <c r="C7" s="15" t="n">
        <v>41</v>
      </c>
      <c r="D7">
        <f>COUNTIF(Participants!$D$2:$D$121,"65-80")</f>
        <v/>
      </c>
      <c r="E7">
        <f>IF(D7="","pending",IF(D7=C7,"MATCH","CHECK"))</f>
        <v/>
      </c>
    </row>
    <row r="8">
      <c r="A8" t="n">
        <v>5</v>
      </c>
      <c r="B8" t="inlineStr">
        <is>
          <t>Male (n)</t>
        </is>
      </c>
      <c r="C8" s="15" t="n">
        <v>48</v>
      </c>
      <c r="D8">
        <f>COUNTIF(Participants!$E$2:$E$121,"M")</f>
        <v/>
      </c>
      <c r="E8">
        <f>IF(D8="","pending",IF(D8=C8,"MATCH","CHECK"))</f>
        <v/>
      </c>
    </row>
    <row r="9">
      <c r="A9" t="n">
        <v>6</v>
      </c>
      <c r="B9" t="inlineStr">
        <is>
          <t>Female (n)</t>
        </is>
      </c>
      <c r="C9" s="15" t="n">
        <v>72</v>
      </c>
      <c r="D9">
        <f>COUNTIF(Participants!$E$2:$E$121,"F")</f>
        <v/>
      </c>
      <c r="E9">
        <f>IF(D9="","pending",IF(D9=C9,"MATCH","CHECK"))</f>
        <v/>
      </c>
    </row>
    <row r="10">
      <c r="A10" t="n">
        <v>7</v>
      </c>
      <c r="B10" t="inlineStr">
        <is>
          <t>Initial dropouts, all (n)</t>
        </is>
      </c>
      <c r="C10" s="15" t="n">
        <v>23</v>
      </c>
      <c r="D10">
        <f>COUNTIF(Outcomes!$C$2:$C$121,TRUE)</f>
        <v/>
      </c>
      <c r="E10">
        <f>IF(D10="","pending",IF(D10=C10,"MATCH","CHECK"))</f>
        <v/>
      </c>
    </row>
    <row r="11">
      <c r="A11" t="n">
        <v>8</v>
      </c>
      <c r="B11" t="inlineStr">
        <is>
          <t>Initial dropouts, 45-64 (n)</t>
        </is>
      </c>
      <c r="C11" s="15" t="n">
        <v>7</v>
      </c>
      <c r="D11">
        <f>SUMPRODUCT((Participants!$D$2:$D$121="45-64")*(Outcomes!$C$2:$C$121=TRUE))</f>
        <v/>
      </c>
      <c r="E11">
        <f>IF(D11="","pending",IF(D11=C11,"MATCH","CHECK"))</f>
        <v/>
      </c>
    </row>
    <row r="12">
      <c r="A12" t="n">
        <v>9</v>
      </c>
      <c r="B12" t="inlineStr">
        <is>
          <t>Initial dropouts, 65-80 (n)</t>
        </is>
      </c>
      <c r="C12" s="15" t="n">
        <v>16</v>
      </c>
      <c r="D12">
        <f>SUMPRODUCT((Participants!$D$2:$D$121="65-80")*(Outcomes!$C$2:$C$121=TRUE))</f>
        <v/>
      </c>
      <c r="E12">
        <f>IF(D12="","pending",IF(D12=C12,"MATCH","CHECK"))</f>
        <v/>
      </c>
    </row>
    <row r="13">
      <c r="A13" t="n">
        <v>10</v>
      </c>
      <c r="B13" t="inlineStr">
        <is>
          <t>Initial dropouts, 25-44 (n)</t>
        </is>
      </c>
      <c r="C13" s="15" t="n">
        <v>0</v>
      </c>
      <c r="D13">
        <f>SUMPRODUCT((Participants!$D$2:$D$121="25-44")*(Outcomes!$C$2:$C$121=TRUE))</f>
        <v/>
      </c>
      <c r="E13">
        <f>IF(D13="","pending",IF(D13=C13,"MATCH","CHECK"))</f>
        <v/>
      </c>
    </row>
    <row r="14">
      <c r="A14" t="n">
        <v>11</v>
      </c>
      <c r="B14" t="inlineStr">
        <is>
          <t>Voluntary returns, all (n)</t>
        </is>
      </c>
      <c r="C14" s="15" t="n">
        <v>15</v>
      </c>
      <c r="D14">
        <f>COUNTIF(Outcomes!$D$2:$D$121,TRUE)</f>
        <v/>
      </c>
      <c r="E14">
        <f>IF(D14="","pending",IF(D14=C14,"MATCH","CHECK"))</f>
        <v/>
      </c>
    </row>
    <row r="15">
      <c r="A15" t="n">
        <v>12</v>
      </c>
      <c r="B15" t="inlineStr">
        <is>
          <t>Voluntary returns, 45-64 (n)</t>
        </is>
      </c>
      <c r="C15" s="15" t="n">
        <v>5</v>
      </c>
      <c r="D15">
        <f>SUMPRODUCT((Participants!$D$2:$D$121="45-64")*(Outcomes!$D$2:$D$121=TRUE))</f>
        <v/>
      </c>
      <c r="E15">
        <f>IF(D15="","pending",IF(D15=C15,"MATCH","CHECK"))</f>
        <v/>
      </c>
    </row>
    <row r="16">
      <c r="A16" t="n">
        <v>13</v>
      </c>
      <c r="B16" t="inlineStr">
        <is>
          <t>Voluntary returns, 65-80 (n)</t>
        </is>
      </c>
      <c r="C16" s="15" t="n">
        <v>10</v>
      </c>
      <c r="D16">
        <f>SUMPRODUCT((Participants!$D$2:$D$121="65-80")*(Outcomes!$D$2:$D$121=TRUE))</f>
        <v/>
      </c>
      <c r="E16">
        <f>IF(D16="","pending",IF(D16=C16,"MATCH","CHECK"))</f>
        <v/>
      </c>
    </row>
    <row r="17">
      <c r="A17" t="n">
        <v>14</v>
      </c>
      <c r="B17" t="inlineStr">
        <is>
          <t>Permanent dropout, all (n)</t>
        </is>
      </c>
      <c r="C17" s="15" t="n">
        <v>8</v>
      </c>
      <c r="D17">
        <f>COUNTIF(Outcomes!$C$2:$C$121,TRUE)-COUNTIF(Outcomes!$D$2:$D$121,TRUE)</f>
        <v/>
      </c>
      <c r="E17">
        <f>IF(D17="","pending",IF(D17=C17,"MATCH","CHECK"))</f>
        <v/>
      </c>
    </row>
    <row r="18">
      <c r="A18" t="n">
        <v>15</v>
      </c>
      <c r="B18" t="inlineStr">
        <is>
          <t>Permanent dropout, 65-80 (n)</t>
        </is>
      </c>
      <c r="C18" s="15" t="n">
        <v>6</v>
      </c>
      <c r="D18">
        <f>SUMPRODUCT((Participants!$D$2:$D$121="65-80")*(Outcomes!$C$2:$C$121=TRUE))-SUMPRODUCT((Participants!$D$2:$D$121="65-80")*(Outcomes!$D$2:$D$121=TRUE))</f>
        <v/>
      </c>
      <c r="E18">
        <f>IF(D18="","pending",IF(D18=C18,"MATCH","CHECK"))</f>
        <v/>
      </c>
    </row>
    <row r="19">
      <c r="A19" t="n">
        <v>16</v>
      </c>
      <c r="B19" t="inlineStr">
        <is>
          <t>Overall retention (n)</t>
        </is>
      </c>
      <c r="C19" s="15" t="n">
        <v>112</v>
      </c>
      <c r="D19">
        <f>120-(COUNTIF(Outcomes!$C$2:$C$121,TRUE)-COUNTIF(Outcomes!$D$2:$D$121,TRUE))</f>
        <v/>
      </c>
      <c r="E19">
        <f>IF(D19="","pending",IF(D19=C19,"MATCH","CHECK"))</f>
        <v/>
      </c>
    </row>
    <row r="20">
      <c r="A20" t="n">
        <v>17</v>
      </c>
      <c r="B20" t="inlineStr">
        <is>
          <t>Return rate among dropouts (%)</t>
        </is>
      </c>
      <c r="C20" s="15" t="n">
        <v>65.2</v>
      </c>
      <c r="D20">
        <f>IFERROR(ROUND(COUNTIF(Outcomes!$D$2:$D$121,TRUE)/COUNTIF(Outcomes!$C$2:$C$121,TRUE)*100,1),"")</f>
        <v/>
      </c>
      <c r="E20">
        <f>IF(D20="","pending",IF(D20=C20,"MATCH","CHECK"))</f>
        <v/>
      </c>
    </row>
    <row r="21">
      <c r="A21" t="n">
        <v>18</v>
      </c>
      <c r="B21" t="inlineStr">
        <is>
          <t>Return rate among 65-80 dropouts (%)</t>
        </is>
      </c>
      <c r="C21" s="15" t="n">
        <v>62.5</v>
      </c>
      <c r="D21">
        <f>IFERROR(ROUND(SUMPRODUCT((Participants!$D$2:$D$121="65-80")*(Outcomes!$D$2:$D$121=TRUE))/SUMPRODUCT((Participants!$D$2:$D$121="65-80")*(Outcomes!$C$2:$C$121=TRUE))*100,1),"")</f>
        <v/>
      </c>
      <c r="E21">
        <f>IF(D21="","pending",IF(D21=C21,"MATCH","CHECK"))</f>
        <v/>
      </c>
    </row>
    <row r="22">
      <c r="A22" t="n">
        <v>19</v>
      </c>
      <c r="B22" t="inlineStr">
        <is>
          <t>Coordination endorsement (n)</t>
        </is>
      </c>
      <c r="C22" s="15" t="n">
        <v>86</v>
      </c>
      <c r="D22">
        <f>COUNTIF(Outcomes!$G$2:$G$121,TRUE)</f>
        <v/>
      </c>
      <c r="E22">
        <f>IF(D22="","pending",IF(D22=C22,"MATCH","CHECK"))</f>
        <v/>
      </c>
    </row>
    <row r="23">
      <c r="A23" t="n">
        <v>20</v>
      </c>
      <c r="B23" t="inlineStr">
        <is>
          <t>Coordination endorsement (%)</t>
        </is>
      </c>
      <c r="C23" s="15" t="n">
        <v>71.7</v>
      </c>
      <c r="D23">
        <f>IFERROR(ROUND(COUNTIF(Outcomes!$G$2:$G$121,TRUE)/120*100,1),"")</f>
        <v/>
      </c>
      <c r="E23">
        <f>IF(D23="","pending",IF(D23=C23,"MATCH","CHECK"))</f>
        <v/>
      </c>
    </row>
    <row r="24">
      <c r="A24" t="n">
        <v>21</v>
      </c>
      <c r="B24" t="inlineStr">
        <is>
          <t>Regular-use intention, all (n)</t>
        </is>
      </c>
      <c r="C24" s="15" t="n">
        <v>76</v>
      </c>
      <c r="D24">
        <f>COUNTIF(Outcomes!$F$2:$F$121,TRUE)</f>
        <v/>
      </c>
      <c r="E24">
        <f>IF(D24="","pending",IF(D24=C24,"MATCH","CHECK"))</f>
        <v/>
      </c>
    </row>
    <row r="25">
      <c r="A25" t="n">
        <v>22</v>
      </c>
      <c r="B25" t="inlineStr">
        <is>
          <t>Regular-use intention, 25-44 (n)</t>
        </is>
      </c>
      <c r="C25" s="15" t="n">
        <v>25</v>
      </c>
      <c r="D25">
        <f>SUMPRODUCT((Participants!$D$2:$D$121="25-44")*(Outcomes!$F$2:$F$121=TRUE))</f>
        <v/>
      </c>
      <c r="E25">
        <f>IF(D25="","pending",IF(D25=C25,"MATCH","CHECK"))</f>
        <v/>
      </c>
    </row>
    <row r="26">
      <c r="A26" t="n">
        <v>23</v>
      </c>
      <c r="B26" t="inlineStr">
        <is>
          <t>Regular-use intention, 45-64 (n)</t>
        </is>
      </c>
      <c r="C26" s="15" t="n">
        <v>28</v>
      </c>
      <c r="D26">
        <f>SUMPRODUCT((Participants!$D$2:$D$121="45-64")*(Outcomes!$F$2:$F$121=TRUE))</f>
        <v/>
      </c>
      <c r="E26">
        <f>IF(D26="","pending",IF(D26=C26,"MATCH","CHECK"))</f>
        <v/>
      </c>
    </row>
    <row r="27">
      <c r="A27" t="n">
        <v>24</v>
      </c>
      <c r="B27" t="inlineStr">
        <is>
          <t>Regular-use intention, 65-80 (n)</t>
        </is>
      </c>
      <c r="C27" s="15" t="n">
        <v>23</v>
      </c>
      <c r="D27">
        <f>SUMPRODUCT((Participants!$D$2:$D$121="65-80")*(Outcomes!$F$2:$F$121=TRUE))</f>
        <v/>
      </c>
      <c r="E27">
        <f>IF(D27="","pending",IF(D27=C27,"MATCH","CHECK"))</f>
        <v/>
      </c>
    </row>
    <row r="28">
      <c r="A28" t="n">
        <v>25</v>
      </c>
      <c r="B28" t="inlineStr">
        <is>
          <t>In-session retention, 65-80 (%)</t>
        </is>
      </c>
      <c r="C28" s="15" t="n">
        <v>85.40000000000001</v>
      </c>
      <c r="D28">
        <f>IFERROR(ROUND(SUMPRODUCT((Participants!$D$2:$D$121="65-80")*(Outcomes!$E$2:$E$121=TRUE))/COUNTIF(Participants!$D$2:$D$121,"65-80")*100,1),"")</f>
        <v/>
      </c>
      <c r="E28">
        <f>IF(D28="","pending",IF(D28=C28,"MATCH","CHECK"))</f>
        <v/>
      </c>
    </row>
    <row r="29">
      <c r="A29" t="n">
        <v>26</v>
      </c>
      <c r="B29" t="inlineStr">
        <is>
          <t>Commitment gap, 65-80 (pp)</t>
        </is>
      </c>
      <c r="C29" s="15" t="n">
        <v>29.3</v>
      </c>
      <c r="D29">
        <f>IFERROR(ROUND(D28-SUMPRODUCT((Participants!$D$2:$D$121="65-80")*(Outcomes!$F$2:$F$121=TRUE))/COUNTIF(Participants!$D$2:$D$121,"65-80")*100,1),"")</f>
        <v/>
      </c>
      <c r="E29">
        <f>IF(D29="","pending",IF(D29=C29,"MATCH","CHECK"))</f>
        <v/>
      </c>
    </row>
    <row r="30"/>
    <row r="31">
      <c r="A31" s="16" t="inlineStr">
        <is>
          <t>Note: age-band targets follow the register rebuilt from primary records (38 / 41 / 41; total 120 unchanged). The published Paper-3 Table 1 printed 35 / 40 / 45; all outcome-count targets (dropouts 23, returns 15, permanent 8, endorsement 86, intention 76) are unchanged. Band percentages (retention 85.4, commitment gap 29.3 pp) are computed on the rebuilt denominators.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2026-06-08T12:29:11Z</dcterms:created>
  <dcterms:modified xmlns:dcterms="http://purl.org/dc/terms/" xmlns:xsi="http://www.w3.org/2001/XMLSchema-instance" xsi:type="dcterms:W3CDTF">2026-07-19T20:32:22Z</dcterms:modified>
</cp:coreProperties>
</file>