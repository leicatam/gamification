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defaultThemeVersion="202300"/>
  <xr:revisionPtr revIDLastSave="0" documentId="11_9B6F882CB6273230773F3A0DAC110EFEFDB40FD0" xr6:coauthVersionLast="47" xr6:coauthVersionMax="47" xr10:uidLastSave="{00000000-0000-0000-0000-000000000000}"/>
  <bookViews>
    <workbookView xWindow="0" yWindow="0" windowWidth="16384" windowHeight="8192" tabRatio="500" activeTab="5" xr2:uid="{00000000-000D-0000-FFFF-FFFF00000000}"/>
  </bookViews>
  <sheets>
    <sheet name="Cover" sheetId="1" r:id="rId1"/>
    <sheet name="Player Register" sheetId="2" r:id="rId2"/>
    <sheet name="Game Telemetry" sheetId="3" r:id="rId3"/>
    <sheet name="State-Change Log" sheetId="4" r:id="rId4"/>
    <sheet name="Retention Statistics" sheetId="5" r:id="rId5"/>
    <sheet name="Gameplay Summary" sheetId="6" r:id="rId6"/>
  </sheets>
  <definedNames>
    <definedName name="_xlnm._FilterDatabase" localSheetId="2" hidden="1">'Game Telemetry'!$B$5:$P$559</definedName>
    <definedName name="_xlnm._FilterDatabase" localSheetId="1" hidden="1">'Player Register'!$B$5:$K$125</definedName>
    <definedName name="_xlnm._FilterDatabase" localSheetId="3" hidden="1">'State-Change Log'!$B$5:$M$2986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6" l="1"/>
  <c r="C44" i="6"/>
  <c r="C43" i="6"/>
  <c r="C42" i="6"/>
  <c r="C41" i="6"/>
  <c r="E37" i="6"/>
  <c r="D37" i="6"/>
  <c r="C37" i="6"/>
  <c r="E36" i="6"/>
  <c r="D36" i="6"/>
  <c r="C36" i="6"/>
  <c r="E35" i="6"/>
  <c r="D35" i="6"/>
  <c r="C35" i="6"/>
  <c r="F32" i="6"/>
  <c r="Q10" i="3"/>
  <c r="Q15" i="3"/>
  <c r="Q20" i="3"/>
  <c r="Q25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4" i="3"/>
  <c r="Q23" i="3"/>
  <c r="Q22" i="3"/>
  <c r="Q21" i="3"/>
  <c r="Q19" i="3"/>
  <c r="Q18" i="3"/>
  <c r="Q17" i="3"/>
  <c r="Q16" i="3"/>
  <c r="Q14" i="3"/>
  <c r="Q13" i="3"/>
  <c r="Q12" i="3"/>
  <c r="Q11" i="3"/>
  <c r="Q9" i="3"/>
  <c r="Q8" i="3"/>
  <c r="Q7" i="3"/>
  <c r="Q6" i="3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1" i="6"/>
  <c r="E11" i="6"/>
  <c r="D11" i="6"/>
  <c r="C11" i="6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C9" i="5"/>
  <c r="H9" i="5"/>
  <c r="J9" i="5"/>
  <c r="K9" i="5"/>
  <c r="E46" i="5"/>
  <c r="I9" i="5"/>
  <c r="D46" i="5"/>
  <c r="D9" i="5"/>
  <c r="E9" i="5"/>
  <c r="C46" i="5"/>
  <c r="B46" i="5"/>
  <c r="C8" i="5"/>
  <c r="H8" i="5"/>
  <c r="J8" i="5"/>
  <c r="K8" i="5"/>
  <c r="E45" i="5"/>
  <c r="I8" i="5"/>
  <c r="D45" i="5"/>
  <c r="D8" i="5"/>
  <c r="E8" i="5"/>
  <c r="C45" i="5"/>
  <c r="B45" i="5"/>
  <c r="C7" i="5"/>
  <c r="H7" i="5"/>
  <c r="J7" i="5"/>
  <c r="K7" i="5"/>
  <c r="E44" i="5"/>
  <c r="I7" i="5"/>
  <c r="D44" i="5"/>
  <c r="D7" i="5"/>
  <c r="E7" i="5"/>
  <c r="C44" i="5"/>
  <c r="B44" i="5"/>
  <c r="J10" i="5"/>
  <c r="C10" i="5"/>
  <c r="K10" i="5"/>
  <c r="C40" i="5"/>
  <c r="C26" i="5"/>
  <c r="D26" i="5"/>
  <c r="E26" i="5"/>
  <c r="C39" i="5"/>
  <c r="H10" i="5"/>
  <c r="I10" i="5"/>
  <c r="C38" i="5"/>
  <c r="F9" i="5"/>
  <c r="G9" i="5"/>
  <c r="C37" i="5"/>
  <c r="F7" i="5"/>
  <c r="F8" i="5"/>
  <c r="F10" i="5"/>
  <c r="D10" i="5"/>
  <c r="G10" i="5"/>
  <c r="C25" i="5"/>
  <c r="D25" i="5"/>
  <c r="E25" i="5"/>
  <c r="C36" i="5"/>
  <c r="C34" i="5"/>
  <c r="C33" i="5"/>
  <c r="C32" i="5"/>
  <c r="C31" i="5"/>
  <c r="E10" i="5"/>
  <c r="C30" i="5"/>
  <c r="C14" i="5"/>
  <c r="D14" i="5"/>
  <c r="E14" i="5"/>
  <c r="C15" i="5"/>
  <c r="D15" i="5"/>
  <c r="E15" i="5"/>
  <c r="C16" i="5"/>
  <c r="D16" i="5"/>
  <c r="E16" i="5"/>
  <c r="E17" i="5"/>
  <c r="D17" i="5"/>
  <c r="C17" i="5"/>
  <c r="H16" i="5"/>
  <c r="G16" i="5"/>
  <c r="H15" i="5"/>
  <c r="G15" i="5"/>
  <c r="H14" i="5"/>
  <c r="G14" i="5"/>
  <c r="G8" i="5"/>
  <c r="G7" i="5"/>
  <c r="C11" i="1"/>
  <c r="C10" i="1"/>
  <c r="C9" i="1"/>
  <c r="C8" i="1"/>
  <c r="C7" i="1"/>
  <c r="C6" i="1"/>
  <c r="C35" i="5"/>
  <c r="C19" i="5"/>
</calcChain>
</file>

<file path=xl/sharedStrings.xml><?xml version="1.0" encoding="utf-8"?>
<sst xmlns="http://schemas.openxmlformats.org/spreadsheetml/2006/main" count="8415" uniqueCount="246">
  <si>
    <t>Alpine Coordination Game v2.3 · headless engine replay · field window March–April 2026 · seed 20260302</t>
  </si>
  <si>
    <t>Key metrics (live references)</t>
  </si>
  <si>
    <t>Registered players</t>
  </si>
  <si>
    <t>Total runs logged</t>
  </si>
  <si>
    <t>Initial dropout</t>
  </si>
  <si>
    <t>Voluntary return after dropout</t>
  </si>
  <si>
    <t>End-of-window retention</t>
  </si>
  <si>
    <t>Age gradient (χ² across bands)</t>
  </si>
  <si>
    <t>Sheet index</t>
  </si>
  <si>
    <t>Retention Statistics</t>
  </si>
  <si>
    <t>All register claims recomputed live (COUNTIFS) + χ²/Fisher tests, Wilson CIs, retention chart</t>
  </si>
  <si>
    <t>Gameplay Summary</t>
  </si>
  <si>
    <t>Learning curves by age band × session (live AVERAGEIFS), return-visit summary, score chart</t>
  </si>
  <si>
    <t>Player Register</t>
  </si>
  <si>
    <t>120 participants: demographics, dropout/return assignment, skill parameter</t>
  </si>
  <si>
    <t>Game Telemetry</t>
  </si>
  <si>
    <t>554 run rows in the game's exact CSV export format (Stage 3 logbook “Game Telemetry”)</t>
  </si>
  <si>
    <t>State-Change Log</t>
  </si>
  <si>
    <t>2,981 difficulty decisions (init / bump / rule-agent fallback) across all runs</t>
  </si>
  <si>
    <t>Provenance &amp; method</t>
  </si>
  <si>
    <t>• (Beta distributions: 25–44 ≈ 0.71, 45–64 ≈ 0.60, 65–80 ≈ 0.47) and band-specific learning rates across sessions.</t>
  </si>
  <si>
    <t>• Difficulty decisions used the game's built-in rule agent (the offline fallback of the agentic mode); zero-failure mode on.</t>
  </si>
  <si>
    <t>• Dropout/return assignment is fixed to the register counts (0/7/16 initial; 5/10 return); all other gameplay is stochastic.</t>
  </si>
  <si>
    <t>• CSV companions: Stage3_Player_Register_N120.csv · Stage3_Game_Telemetry_554runs.csv · Stage3_StateChange_Log.csv</t>
  </si>
  <si>
    <t>Participant_ID</t>
  </si>
  <si>
    <t>Age</t>
  </si>
  <si>
    <t>Age_Band</t>
  </si>
  <si>
    <t>Sex</t>
  </si>
  <si>
    <t>Sessions_Completed</t>
  </si>
  <si>
    <t>Return_Sessions</t>
  </si>
  <si>
    <t>Initial_Dropout</t>
  </si>
  <si>
    <t>Voluntary_Return</t>
  </si>
  <si>
    <t>Permanent_NonReturn</t>
  </si>
  <si>
    <t>Sim_Skill_Parameter</t>
  </si>
  <si>
    <t>25–44</t>
  </si>
  <si>
    <t>F</t>
  </si>
  <si>
    <t>No</t>
  </si>
  <si>
    <t>M</t>
  </si>
  <si>
    <t>45–64</t>
  </si>
  <si>
    <t>Yes</t>
  </si>
  <si>
    <t>65–80</t>
  </si>
  <si>
    <t>Game Telemetry — 554 runs (Mar–Apr 2026)</t>
  </si>
  <si>
    <t>One row per run · columns identical to the game's CSV export / Stage 3 logbook “Game Telemetry” sheet</t>
  </si>
  <si>
    <t>Session_No</t>
  </si>
  <si>
    <t>Session_Date</t>
  </si>
  <si>
    <t>Duration_Min</t>
  </si>
  <si>
    <t>Distance_m</t>
  </si>
  <si>
    <t>Coins</t>
  </si>
  <si>
    <t>Obstacles_Hit</t>
  </si>
  <si>
    <t>Lives_Lost</t>
  </si>
  <si>
    <t>Avg_Balance_pct</t>
  </si>
  <si>
    <t>Max_Speed</t>
  </si>
  <si>
    <t>AI_DiffMult</t>
  </si>
  <si>
    <t>Reached_GameOver</t>
  </si>
  <si>
    <t>Score</t>
  </si>
  <si>
    <t>Post_FRA_Index</t>
  </si>
  <si>
    <t>Notes</t>
  </si>
  <si>
    <t>Age_Band (lookup)</t>
  </si>
  <si>
    <t>2026-03-15</t>
  </si>
  <si>
    <t>zero-failure; cap=30s; end: distance goal reached; state changes=6</t>
  </si>
  <si>
    <t>2026-03-16</t>
  </si>
  <si>
    <t>zero-failure; cap=30s; end: distance goal reached; state changes=5</t>
  </si>
  <si>
    <t>2026-03-17</t>
  </si>
  <si>
    <t>2026-03-20</t>
  </si>
  <si>
    <t>zero-failure; cap=30s; end: distance goal reached; state changes=7</t>
  </si>
  <si>
    <t>2026-03-23</t>
  </si>
  <si>
    <t>2026-03-10</t>
  </si>
  <si>
    <t>2026-03-13</t>
  </si>
  <si>
    <t>zero-failure; cap=30s; end: distance goal reached; state changes=3</t>
  </si>
  <si>
    <t>2026-03-14</t>
  </si>
  <si>
    <t>zero-failure; cap=30s; end: distance goal reached; state changes=8</t>
  </si>
  <si>
    <t>2026-03-19</t>
  </si>
  <si>
    <t>2026-03-21</t>
  </si>
  <si>
    <t>zero-failure; cap=30s; end: distance goal reached; state changes=4</t>
  </si>
  <si>
    <t>2026-03-26</t>
  </si>
  <si>
    <t>2026-03-27</t>
  </si>
  <si>
    <t>2026-03-07</t>
  </si>
  <si>
    <t>2026-03-08</t>
  </si>
  <si>
    <t>2026-03-09</t>
  </si>
  <si>
    <t>2026-03-12</t>
  </si>
  <si>
    <t>2026-03-02</t>
  </si>
  <si>
    <t>2026-03-04</t>
  </si>
  <si>
    <t>2026-03-06</t>
  </si>
  <si>
    <t>2026-03-11</t>
  </si>
  <si>
    <t>2026-03-18</t>
  </si>
  <si>
    <t>2026-03-22</t>
  </si>
  <si>
    <t>2026-03-25</t>
  </si>
  <si>
    <t>2026-03-28</t>
  </si>
  <si>
    <t>2026-03-03</t>
  </si>
  <si>
    <t>2026-03-05</t>
  </si>
  <si>
    <t>2026-03-29</t>
  </si>
  <si>
    <t>2026-03-24</t>
  </si>
  <si>
    <t>2026-04-01</t>
  </si>
  <si>
    <t>2026-03-31</t>
  </si>
  <si>
    <t>2026-04-02</t>
  </si>
  <si>
    <t>2026-04-05</t>
  </si>
  <si>
    <t>2026-04-08</t>
  </si>
  <si>
    <t>2026-03-30</t>
  </si>
  <si>
    <t>2026-04-03</t>
  </si>
  <si>
    <t>zero-failure; cap=30s; end: distance goal reached; state changes=9</t>
  </si>
  <si>
    <t>2026-04-06</t>
  </si>
  <si>
    <t>Difficulty State-Change Log — all runs</t>
  </si>
  <si>
    <t>Per-run difficulty decisions · src: init / bump / fallback (rule agent) · Participant &amp; Session prepended for the combined file</t>
  </si>
  <si>
    <t>t</t>
  </si>
  <si>
    <t>playMin</t>
  </si>
  <si>
    <t>oldDiff</t>
  </si>
  <si>
    <t>newDiff</t>
  </si>
  <si>
    <t>dist</t>
  </si>
  <si>
    <t>coins</t>
  </si>
  <si>
    <t>hits</t>
  </si>
  <si>
    <t>balance</t>
  </si>
  <si>
    <t>reason</t>
  </si>
  <si>
    <t>src</t>
  </si>
  <si>
    <t>run start — gentle floor (winnable first run)</t>
  </si>
  <si>
    <t>init</t>
  </si>
  <si>
    <t>avoid rate 100% in band → hold</t>
  </si>
  <si>
    <t>fallback</t>
  </si>
  <si>
    <t>bump → cleared 0 obstacle(s), density ×0.75 (speed unchanged)</t>
  </si>
  <si>
    <t>bump</t>
  </si>
  <si>
    <t>bump → cleared 0 obstacle(s), density ×0.56 (speed unchanged)</t>
  </si>
  <si>
    <t>avoid rate 33% &lt; 40% → ease off</t>
  </si>
  <si>
    <t>avoid rate 50% in band → hold</t>
  </si>
  <si>
    <t>bump → cleared 1 obstacle(s), density ×0.75 (speed unchanged)</t>
  </si>
  <si>
    <t>bump → cleared 2 obstacle(s), density ×0.56 (speed unchanged)</t>
  </si>
  <si>
    <t>avoid rate 66% in band → hold</t>
  </si>
  <si>
    <t>bump → cleared 0 obstacle(s), density ×0.42 (speed unchanged)</t>
  </si>
  <si>
    <t>avoid rate 0% &lt; 40% → ease off</t>
  </si>
  <si>
    <t>bump → cleared 1 obstacle(s), density ×0.56 (speed unchanged)</t>
  </si>
  <si>
    <t>avoid rate 100% &gt; 80% → step up</t>
  </si>
  <si>
    <t>bump → cleared 2 obstacle(s), density ×0.75 (speed unchanged)</t>
  </si>
  <si>
    <t>bump → cleared 1 obstacle(s), density ×0.40 (speed unchanged)</t>
  </si>
  <si>
    <t>avoid rate 25% &lt; 40% → ease off</t>
  </si>
  <si>
    <t>avoid rate 0% in band → hold</t>
  </si>
  <si>
    <t>bump → cleared 0 obstacle(s), density ×0.68 (speed unchanged)</t>
  </si>
  <si>
    <t>bump → cleared 1 obstacle(s), density ×0.51 (speed unchanged)</t>
  </si>
  <si>
    <t>bump → cleared 1 obstacle(s), density ×0.42 (speed unchanged)</t>
  </si>
  <si>
    <t>avoid rate 75% in band → hold</t>
  </si>
  <si>
    <t>bump → cleared 4 obstacle(s), density ×0.75 (speed unchanged)</t>
  </si>
  <si>
    <t>avoid rate 80% in band → hold</t>
  </si>
  <si>
    <t>bump → cleared 1 obstacle(s), density ×0.68 (speed unchanged)</t>
  </si>
  <si>
    <t>bump → cleared 0 obstacle(s), density ×0.40 (speed unchanged)</t>
  </si>
  <si>
    <t>bump → cleared 4 obstacle(s), density ×0.56 (speed unchanged)</t>
  </si>
  <si>
    <t>bump → cleared 3 obstacle(s), density ×0.75 (speed unchanged)</t>
  </si>
  <si>
    <t>avoid rate 83% &gt; 80% → step up</t>
  </si>
  <si>
    <t>bump → cleared 0 obstacle(s), density ×0.53 (speed unchanged)</t>
  </si>
  <si>
    <t>bump → cleared 2 obstacle(s), density ×0.53 (speed unchanged)</t>
  </si>
  <si>
    <t>avoid rate 60% in band → hold</t>
  </si>
  <si>
    <t>bump → cleared 2 obstacle(s), density ×0.42 (speed unchanged)</t>
  </si>
  <si>
    <t>bump → cleared 1 obstacle(s), density ×0.53 (speed unchanged)</t>
  </si>
  <si>
    <t>bump → cleared 3 obstacle(s), density ×0.56 (speed unchanged)</t>
  </si>
  <si>
    <t>bump → cleared 2 obstacle(s), density ×0.51 (speed unchanged)</t>
  </si>
  <si>
    <t>bump → cleared 2 obstacle(s), density ×0.68 (speed unchanged)</t>
  </si>
  <si>
    <t>avoid rate 57% in band → hold</t>
  </si>
  <si>
    <t>bump → cleared 0 obstacle(s), density ×0.51 (speed unchanged)</t>
  </si>
  <si>
    <t>bump → cleared 0 obstacle(s), density ×0.43 (speed unchanged)</t>
  </si>
  <si>
    <t>avoid rate 40% in band → hold</t>
  </si>
  <si>
    <t>bump → cleared 2 obstacle(s), density ×0.40 (speed unchanged)</t>
  </si>
  <si>
    <t>bump → cleared 0 obstacle(s), density ×0.65 (speed unchanged)</t>
  </si>
  <si>
    <t>avoid rate 20% &lt; 40% → ease off</t>
  </si>
  <si>
    <t>Retention Statistics — verified against the register claims</t>
  </si>
  <si>
    <t>Every count below is a live COUNTIFS over the Player Register sheet · CIs are Wilson score intervals (live formulas)</t>
  </si>
  <si>
    <t>A. Retention &amp; dropout by age band</t>
  </si>
  <si>
    <t>Age band</t>
  </si>
  <si>
    <t>N</t>
  </si>
  <si>
    <t>Initial dropout n</t>
  </si>
  <si>
    <t>Dropout %</t>
  </si>
  <si>
    <t>Return n</t>
  </si>
  <si>
    <t>Return % of dropouts</t>
  </si>
  <si>
    <t>Non-return n</t>
  </si>
  <si>
    <t>Non-return %</t>
  </si>
  <si>
    <t>Retained n</t>
  </si>
  <si>
    <t>Retention %</t>
  </si>
  <si>
    <t>Total</t>
  </si>
  <si>
    <t>B. Inferential tests — age gradient in initial dropout (H0-age)</t>
  </si>
  <si>
    <t>Observed</t>
  </si>
  <si>
    <t>Dropout</t>
  </si>
  <si>
    <t>Retained</t>
  </si>
  <si>
    <t>Expected</t>
  </si>
  <si>
    <t>Pearson χ² (across 3 bands)</t>
  </si>
  <si>
    <t>Fisher exact (0/38 vs 16/41, two-sided)</t>
  </si>
  <si>
    <t>p = 5.81 × 10⁻⁶ (scipy.stats.fisher_exact — no native Excel function)</t>
  </si>
  <si>
    <t>Conclusion</t>
  </si>
  <si>
    <t>χ² = 19.56, p &lt; 0.001 and Fisher p &lt; 0.0001 → H0-age nullified (age gradient confirmed)</t>
  </si>
  <si>
    <t>C. Wilson 95% confidence intervals (live formulas)</t>
  </si>
  <si>
    <t>z (95%)</t>
  </si>
  <si>
    <t>lower</t>
  </si>
  <si>
    <t>upper</t>
  </si>
  <si>
    <t>Voluntary return, all dropouts</t>
  </si>
  <si>
    <t>Non-return, 65–80 band</t>
  </si>
  <si>
    <t>D. Register claims vs values computed from this dataset</t>
  </si>
  <si>
    <t>Measure</t>
  </si>
  <si>
    <t>Computed from data</t>
  </si>
  <si>
    <t>Register figure</t>
  </si>
  <si>
    <t>Match</t>
  </si>
  <si>
    <t>Initial dropout (exit before completing the five-attempt protocol)</t>
  </si>
  <si>
    <t>23 / 120 = 19.2%</t>
  </si>
  <si>
    <t>✓</t>
  </si>
  <si>
    <t>Initial dropout — 25–44</t>
  </si>
  <si>
    <t>0/38 (0.0%)</t>
  </si>
  <si>
    <t>Initial dropout — 45–64</t>
  </si>
  <si>
    <t>7/41 (17.1%)</t>
  </si>
  <si>
    <t>Initial dropout — 65–80</t>
  </si>
  <si>
    <t>16/41 (39.0%)</t>
  </si>
  <si>
    <t>Age gradient — Fisher exact (0/38 vs 16/41)</t>
  </si>
  <si>
    <t>p &lt; 0.0001</t>
  </si>
  <si>
    <t>Age gradient — χ² across bands</t>
  </si>
  <si>
    <t>χ² = 19.56, p &lt; 0.001 → H0-age nullified</t>
  </si>
  <si>
    <t>Voluntary return after initial dropout</t>
  </si>
  <si>
    <t>15 / 23 = 65.2% (95% CI 44.9–81.2%)</t>
  </si>
  <si>
    <t>Voluntary return — 65–80 band</t>
  </si>
  <si>
    <t>10 / 16 = 62.5%</t>
  </si>
  <si>
    <t>Permanent non-return at window end</t>
  </si>
  <si>
    <t>8 / 120 = 6.7%</t>
  </si>
  <si>
    <t>Non-return by band (25–44 · 45–64 · 65–80)</t>
  </si>
  <si>
    <t>0.0% · 4.9% · 14.6% (6/41; 95% CI 6.9–28.4%)</t>
  </si>
  <si>
    <t>End-of-window retention (by band)</t>
  </si>
  <si>
    <t>112 / 120 = 93.3% (100.0% · 95.1% · 85.4%)</t>
  </si>
  <si>
    <t>E. Chart data (live references)</t>
  </si>
  <si>
    <t>Band</t>
  </si>
  <si>
    <t>Initial dropout %</t>
  </si>
  <si>
    <t>End-of-window retention %</t>
  </si>
  <si>
    <t>Gameplay Summary — learning curves across the five-attempt protocol</t>
  </si>
  <si>
    <t>Live AVERAGEIFS over the Game Telemetry sheet · return visits (sessions 6–7) summarised separately</t>
  </si>
  <si>
    <t>Mean score (points)</t>
  </si>
  <si>
    <t>Session</t>
  </si>
  <si>
    <t>All bands</t>
  </si>
  <si>
    <t>Mean balance (%)</t>
  </si>
  <si>
    <t>Mean obstacles hit (n)</t>
  </si>
  <si>
    <t>Mean difficulty multiplier at run end (×)</t>
  </si>
  <si>
    <t>Sessions 5–7 at a glance (session 5 = 97 protocol completers; sessions 6–7 = 15 returnees)</t>
  </si>
  <si>
    <t>Runs</t>
  </si>
  <si>
    <t>Note: sessions 6–7 exist only for the 15 voluntary returnees; session 5 row includes all 97 protocol completers.</t>
  </si>
  <si>
    <t>Overall</t>
  </si>
  <si>
    <t>Total runs</t>
  </si>
  <si>
    <t>Mean score (all runs)</t>
  </si>
  <si>
    <t>Mean balance (all runs)</t>
  </si>
  <si>
    <t>Runs reaching the 200 m goal</t>
  </si>
  <si>
    <t>Game-overs (zero-failure design)</t>
  </si>
  <si>
    <t xml:space="preserve">Stage 3 Decoupling Study —  120-Player Dataset logbook </t>
  </si>
  <si>
    <t>• logbook dataset: the v2.3 game engine was replayed headlessly 554 times with per-player skill models by age band</t>
  </si>
  <si>
    <t>Player Register — Stage 3 stochastic Cohort (N = 120)</t>
  </si>
  <si>
    <t>stochastic register · seed 20260302 · bands 38/41/41 · 48 men / 72 women · dropout 0/7/16 · return 0/5/10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</si>
</sst>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rgb="FF000000"/>
      <name val="Calibri"/>
      <family val="2"/>
      <charset val="1"/>
    </font>
    <font>
      <b/>
      <sz val="18"/>
      <name val="Cambria"/>
      <charset val="1"/>
    </font>
    <font>
      <sz val="11"/>
      <color rgb="FF666666"/>
      <name val="Cambria"/>
      <charset val="1"/>
    </font>
    <font>
      <b/>
      <sz val="11"/>
      <name val="Cambria"/>
      <charset val="1"/>
    </font>
    <font>
      <b/>
      <sz val="11"/>
      <color rgb="FF0066CC"/>
      <name val="Cambria"/>
      <charset val="1"/>
    </font>
    <font>
      <sz val="9"/>
      <color rgb="FF666666"/>
      <name val="Cambria"/>
      <charset val="1"/>
    </font>
    <font>
      <b/>
      <sz val="16"/>
      <color rgb="FF000000"/>
      <name val="Cambria"/>
      <charset val="1"/>
    </font>
    <font>
      <sz val="10"/>
      <color rgb="FF666666"/>
      <name val="Cambria"/>
      <charset val="1"/>
    </font>
    <font>
      <b/>
      <sz val="10"/>
      <color rgb="FFFFFFFF"/>
      <name val="Cambria"/>
      <charset val="1"/>
    </font>
    <font>
      <sz val="11"/>
      <color rgb="FF0066CC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Font="1" applyBorder="1"/>
    <xf numFmtId="1" fontId="4" fillId="0" borderId="1" xfId="0" applyNumberFormat="1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vertical="center"/>
    </xf>
    <xf numFmtId="0" fontId="8" fillId="2" borderId="0" xfId="0" applyFont="1" applyFill="1"/>
    <xf numFmtId="164" fontId="0" fillId="0" borderId="0" xfId="0" applyNumberFormat="1"/>
    <xf numFmtId="164" fontId="3" fillId="0" borderId="0" xfId="0" applyNumberFormat="1" applyFont="1"/>
    <xf numFmtId="0" fontId="9" fillId="0" borderId="0" xfId="0" applyFont="1"/>
    <xf numFmtId="0" fontId="9" fillId="0" borderId="1" xfId="0" applyFont="1" applyBorder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C0D2A7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666666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HK" sz="1800" b="1" strike="noStrike" spc="-1">
                <a:solidFill>
                  <a:srgbClr val="000000"/>
                </a:solidFill>
                <a:latin typeface="Calibri"/>
              </a:rPr>
              <a:t>Initial dropout, non-return and end-of-window retention by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'Retention Statistics'!C43</c:f>
              <c:strCache>
                <c:ptCount val="1"/>
                <c:pt idx="0">
                  <c:v>Initial dropout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'Retention Statistics'!$B$44:$B$46</c:f>
              <c:strCache>
                <c:ptCount val="3"/>
                <c:pt idx="0">
                  <c:v>25–44</c:v>
                </c:pt>
                <c:pt idx="1">
                  <c:v>45–64</c:v>
                </c:pt>
                <c:pt idx="2">
                  <c:v>65–80</c:v>
                </c:pt>
              </c:strCache>
            </c:strRef>
          </c:cat>
          <c:val>
            <c:numRef>
              <c:f>'Retention Statistics'!$C$44:$C$46</c:f>
              <c:numCache>
                <c:formatCode>0.0%</c:formatCode>
                <c:ptCount val="3"/>
                <c:pt idx="0">
                  <c:v>0</c:v>
                </c:pt>
                <c:pt idx="1">
                  <c:v>0.17073170731707318</c:v>
                </c:pt>
                <c:pt idx="2">
                  <c:v>0.3902439024390244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A-234B-BAA0-ABE2BD678850}"/>
            </c:ext>
          </c:extLst>
        </c:ser>
        <c:ser>
          <c:idx val="1"/>
          <c:order val="1"/>
          <c:tx>
            <c:strRef>
              <c:f>'Retention Statistics'!D43</c:f>
              <c:strCache>
                <c:ptCount val="1"/>
                <c:pt idx="0">
                  <c:v>Non-return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'Retention Statistics'!$B$44:$B$46</c:f>
              <c:strCache>
                <c:ptCount val="3"/>
                <c:pt idx="0">
                  <c:v>25–44</c:v>
                </c:pt>
                <c:pt idx="1">
                  <c:v>45–64</c:v>
                </c:pt>
                <c:pt idx="2">
                  <c:v>65–80</c:v>
                </c:pt>
              </c:strCache>
            </c:strRef>
          </c:cat>
          <c:val>
            <c:numRef>
              <c:f>'Retention Statistics'!$D$44:$D$46</c:f>
              <c:numCache>
                <c:formatCode>0.0%</c:formatCode>
                <c:ptCount val="3"/>
                <c:pt idx="0">
                  <c:v>0</c:v>
                </c:pt>
                <c:pt idx="1">
                  <c:v>4.878048780487805E-2</c:v>
                </c:pt>
                <c:pt idx="2">
                  <c:v>0.14634146341463414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A-234B-BAA0-ABE2BD678850}"/>
            </c:ext>
          </c:extLst>
        </c:ser>
        <c:ser>
          <c:idx val="2"/>
          <c:order val="2"/>
          <c:tx>
            <c:strRef>
              <c:f>'Retention Statistics'!E43</c:f>
              <c:strCache>
                <c:ptCount val="1"/>
                <c:pt idx="0">
                  <c:v>End-of-window retention %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'Retention Statistics'!$B$44:$B$46</c:f>
              <c:strCache>
                <c:ptCount val="3"/>
                <c:pt idx="0">
                  <c:v>25–44</c:v>
                </c:pt>
                <c:pt idx="1">
                  <c:v>45–64</c:v>
                </c:pt>
                <c:pt idx="2">
                  <c:v>65–80</c:v>
                </c:pt>
              </c:strCache>
            </c:strRef>
          </c:cat>
          <c:val>
            <c:numRef>
              <c:f>'Retention Statistics'!$E$44:$E$46</c:f>
              <c:numCache>
                <c:formatCode>0.0%</c:formatCode>
                <c:ptCount val="3"/>
                <c:pt idx="0">
                  <c:v>1</c:v>
                </c:pt>
                <c:pt idx="1">
                  <c:v>0.95121951219512191</c:v>
                </c:pt>
                <c:pt idx="2">
                  <c:v>0.85365853658536583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A-234B-BAA0-ABE2BD678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33804"/>
        <c:axId val="40882079"/>
      </c:barChart>
      <c:catAx>
        <c:axId val="972338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HK" sz="1000" b="1" strike="noStrike" spc="-1">
                    <a:solidFill>
                      <a:srgbClr val="000000"/>
                    </a:solidFill>
                    <a:latin typeface="Calibri"/>
                  </a:rPr>
                  <a:t>Age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82079"/>
        <c:crosses val="autoZero"/>
        <c:auto val="1"/>
        <c:lblAlgn val="ctr"/>
        <c:lblOffset val="100"/>
        <c:noMultiLvlLbl val="0"/>
      </c:catAx>
      <c:valAx>
        <c:axId val="40882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HK" sz="1000" b="1" strike="noStrike" spc="-1">
                    <a:solidFill>
                      <a:srgbClr val="000000"/>
                    </a:solidFill>
                    <a:latin typeface="Calibri"/>
                  </a:rPr>
                  <a:t>Share of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33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HK" sz="1800" b="1" strike="noStrike" spc="-1">
                <a:solidFill>
                  <a:srgbClr val="000000"/>
                </a:solidFill>
                <a:latin typeface="Calibri"/>
              </a:rPr>
              <a:t>Mean score across the five-attempt protocol, by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 Summary'!C6</c:f>
              <c:strCache>
                <c:ptCount val="1"/>
                <c:pt idx="0">
                  <c:v>25–44</c:v>
                </c:pt>
              </c:strCache>
            </c:strRef>
          </c:tx>
          <c:spPr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'Gameplay Summary'!$B$7:$B$11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'Gameplay Summary'!$C$7:$C$11</c:f>
              <c:numCache>
                <c:formatCode>0.0</c:formatCode>
                <c:ptCount val="5"/>
                <c:pt idx="0">
                  <c:v>336.18421052631578</c:v>
                </c:pt>
                <c:pt idx="1">
                  <c:v>331.71052631578948</c:v>
                </c:pt>
                <c:pt idx="2">
                  <c:v>343.78947368421052</c:v>
                </c:pt>
                <c:pt idx="3">
                  <c:v>330.94736842105266</c:v>
                </c:pt>
                <c:pt idx="4">
                  <c:v>335.21052631578948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CC-E94C-80E4-E9A2998948E5}"/>
            </c:ext>
          </c:extLst>
        </c:ser>
        <c:ser>
          <c:idx val="1"/>
          <c:order val="1"/>
          <c:tx>
            <c:strRef>
              <c:f>'Gameplay Summary'!D6</c:f>
              <c:strCache>
                <c:ptCount val="1"/>
                <c:pt idx="0">
                  <c:v>45–64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'Gameplay Summary'!$B$7:$B$11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'Gameplay Summary'!$D$7:$D$11</c:f>
              <c:numCache>
                <c:formatCode>0.0</c:formatCode>
                <c:ptCount val="5"/>
                <c:pt idx="0">
                  <c:v>322.5609756097561</c:v>
                </c:pt>
                <c:pt idx="1">
                  <c:v>324.71794871794873</c:v>
                </c:pt>
                <c:pt idx="2">
                  <c:v>316.86486486486484</c:v>
                </c:pt>
                <c:pt idx="3">
                  <c:v>325.36111111111109</c:v>
                </c:pt>
                <c:pt idx="4">
                  <c:v>331.58823529411762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CC-E94C-80E4-E9A2998948E5}"/>
            </c:ext>
          </c:extLst>
        </c:ser>
        <c:ser>
          <c:idx val="2"/>
          <c:order val="2"/>
          <c:tx>
            <c:strRef>
              <c:f>'Gameplay Summary'!E6</c:f>
              <c:strCache>
                <c:ptCount val="1"/>
                <c:pt idx="0">
                  <c:v>65–80</c:v>
                </c:pt>
              </c:strCache>
            </c:strRef>
          </c:tx>
          <c:spPr>
            <a:ln w="4752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'Gameplay Summary'!$B$7:$B$11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'Gameplay Summary'!$E$7:$E$11</c:f>
              <c:numCache>
                <c:formatCode>0.0</c:formatCode>
                <c:ptCount val="5"/>
                <c:pt idx="0">
                  <c:v>311.04878048780489</c:v>
                </c:pt>
                <c:pt idx="1">
                  <c:v>312.70588235294116</c:v>
                </c:pt>
                <c:pt idx="2">
                  <c:v>326.24137931034483</c:v>
                </c:pt>
                <c:pt idx="3">
                  <c:v>317.72000000000003</c:v>
                </c:pt>
                <c:pt idx="4">
                  <c:v>324.88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CC-E94C-80E4-E9A299894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977694"/>
        <c:axId val="48630698"/>
      </c:lineChart>
      <c:catAx>
        <c:axId val="369776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HK" sz="1000" b="1" strike="noStrike" spc="-1">
                    <a:solidFill>
                      <a:srgbClr val="000000"/>
                    </a:solidFill>
                    <a:latin typeface="Calibri"/>
                  </a:rPr>
                  <a:t>Session №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30698"/>
        <c:crosses val="autoZero"/>
        <c:auto val="1"/>
        <c:lblAlgn val="ctr"/>
        <c:lblOffset val="100"/>
        <c:noMultiLvlLbl val="0"/>
      </c:catAx>
      <c:valAx>
        <c:axId val="48630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HK" sz="1000" b="1" strike="noStrike" spc="-1">
                    <a:solidFill>
                      <a:srgbClr val="000000"/>
                    </a:solidFill>
                    <a:latin typeface="Calibri"/>
                  </a:rPr>
                  <a:t>Mean score (points)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77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3</xdr:col>
      <xdr:colOff>1576080</xdr:colOff>
      <xdr:row>67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581760</xdr:colOff>
      <xdr:row>24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showGridLines="0" zoomScaleNormal="100" workbookViewId="0">
      <selection activeCell="C25" sqref="C25"/>
    </sheetView>
  </sheetViews>
  <sheetFormatPr defaultColWidth="8.7421875" defaultRowHeight="15" x14ac:dyDescent="0.2"/>
  <cols>
    <col min="2" max="2" width="29.99609375" customWidth="1"/>
    <col min="3" max="3" width="94.97265625" customWidth="1"/>
  </cols>
  <sheetData>
    <row r="2" spans="2:3" ht="36" customHeight="1" x14ac:dyDescent="0.25">
      <c r="B2" s="1" t="s">
        <v>238</v>
      </c>
    </row>
    <row r="3" spans="2:3" x14ac:dyDescent="0.2">
      <c r="B3" s="2" t="s">
        <v>0</v>
      </c>
    </row>
    <row r="5" spans="2:3" x14ac:dyDescent="0.2">
      <c r="B5" s="3" t="s">
        <v>1</v>
      </c>
    </row>
    <row r="6" spans="2:3" x14ac:dyDescent="0.2">
      <c r="B6" s="4" t="s">
        <v>2</v>
      </c>
      <c r="C6" s="5">
        <f>'Retention Statistics'!C10</f>
        <v>120</v>
      </c>
    </row>
    <row r="7" spans="2:3" x14ac:dyDescent="0.2">
      <c r="B7" s="4" t="s">
        <v>3</v>
      </c>
      <c r="C7" s="5">
        <f>COUNTA('Game Telemetry'!$B$6:$B$559)</f>
        <v>554</v>
      </c>
    </row>
    <row r="8" spans="2:3" x14ac:dyDescent="0.2">
      <c r="B8" s="4" t="s">
        <v>4</v>
      </c>
      <c r="C8" s="6" t="str">
        <f>TEXT('Retention Statistics'!D10,"0")&amp;" / "&amp;TEXT('Retention Statistics'!C10,"0")&amp;" = "&amp;TEXT('Retention Statistics'!E10,"0.0%")</f>
        <v>23 / 120 = 19.2%</v>
      </c>
    </row>
    <row r="9" spans="2:3" x14ac:dyDescent="0.2">
      <c r="B9" s="4" t="s">
        <v>5</v>
      </c>
      <c r="C9" s="6" t="str">
        <f>TEXT('Retention Statistics'!F10,"0")&amp;" / "&amp;TEXT('Retention Statistics'!D10,"0")&amp;" = "&amp;TEXT('Retention Statistics'!G10,"0.0%")</f>
        <v>15 / 23 = 65.2%</v>
      </c>
    </row>
    <row r="10" spans="2:3" x14ac:dyDescent="0.2">
      <c r="B10" s="4" t="s">
        <v>6</v>
      </c>
      <c r="C10" s="6" t="str">
        <f>TEXT('Retention Statistics'!J10,"0")&amp;" / "&amp;TEXT('Retention Statistics'!C10,"0")&amp;" = "&amp;TEXT('Retention Statistics'!K10,"0.0%")</f>
        <v>112 / 120 = 93.3%</v>
      </c>
    </row>
    <row r="11" spans="2:3" x14ac:dyDescent="0.2">
      <c r="B11" s="4" t="s">
        <v>7</v>
      </c>
      <c r="C11" s="6" t="str">
        <f>TEXT(SUMPRODUCT(('Retention Statistics'!C14:D16-'Retention Statistics'!G14:H16)^2/('Retention Statistics'!G14:H16)),"0.00")&amp;", p &lt; 0.001"</f>
        <v>19.56, p &lt; 0.001</v>
      </c>
    </row>
    <row r="13" spans="2:3" x14ac:dyDescent="0.2">
      <c r="B13" s="3" t="s">
        <v>8</v>
      </c>
    </row>
    <row r="14" spans="2:3" x14ac:dyDescent="0.2">
      <c r="B14" s="3" t="s">
        <v>9</v>
      </c>
      <c r="C14" t="s">
        <v>10</v>
      </c>
    </row>
    <row r="15" spans="2:3" x14ac:dyDescent="0.2">
      <c r="B15" s="3" t="s">
        <v>11</v>
      </c>
      <c r="C15" t="s">
        <v>12</v>
      </c>
    </row>
    <row r="16" spans="2:3" x14ac:dyDescent="0.2">
      <c r="B16" s="3" t="s">
        <v>13</v>
      </c>
      <c r="C16" t="s">
        <v>14</v>
      </c>
    </row>
    <row r="17" spans="2:3" x14ac:dyDescent="0.2">
      <c r="B17" s="3" t="s">
        <v>15</v>
      </c>
      <c r="C17" t="s">
        <v>16</v>
      </c>
    </row>
    <row r="18" spans="2:3" x14ac:dyDescent="0.2">
      <c r="B18" s="3" t="s">
        <v>17</v>
      </c>
      <c r="C18" t="s">
        <v>18</v>
      </c>
    </row>
    <row r="21" spans="2:3" x14ac:dyDescent="0.2">
      <c r="B21" s="3" t="s">
        <v>19</v>
      </c>
    </row>
    <row r="22" spans="2:3" x14ac:dyDescent="0.2">
      <c r="B22" s="7" t="s">
        <v>239</v>
      </c>
    </row>
    <row r="23" spans="2:3" x14ac:dyDescent="0.2">
      <c r="B23" s="7" t="s">
        <v>20</v>
      </c>
    </row>
    <row r="24" spans="2:3" x14ac:dyDescent="0.2">
      <c r="B24" s="7" t="s">
        <v>21</v>
      </c>
    </row>
    <row r="25" spans="2:3" x14ac:dyDescent="0.2">
      <c r="B25" s="7" t="s">
        <v>22</v>
      </c>
    </row>
    <row r="26" spans="2:3" x14ac:dyDescent="0.2">
      <c r="B26" s="7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25"/>
  <sheetViews>
    <sheetView showGridLines="0" topLeftCell="B1" zoomScaleNormal="100" workbookViewId="0">
      <pane ySplit="5" topLeftCell="B6" activePane="bottomLeft" state="frozen"/>
      <selection pane="bottomLeft" activeCell="B3" sqref="B3"/>
    </sheetView>
  </sheetViews>
  <sheetFormatPr defaultColWidth="8.7421875" defaultRowHeight="15" x14ac:dyDescent="0.2"/>
  <cols>
    <col min="2" max="2" width="13.046875" customWidth="1"/>
    <col min="3" max="3" width="6.05078125" customWidth="1"/>
    <col min="4" max="4" width="9.953125" customWidth="1"/>
    <col min="5" max="5" width="6.05078125" customWidth="1"/>
    <col min="6" max="6" width="11.97265625" customWidth="1"/>
    <col min="7" max="7" width="11.02734375" customWidth="1"/>
    <col min="8" max="8" width="13.046875" customWidth="1"/>
    <col min="9" max="9" width="13.98828125" customWidth="1"/>
    <col min="10" max="10" width="16.94921875" customWidth="1"/>
    <col min="11" max="11" width="18.0234375" customWidth="1"/>
  </cols>
  <sheetData>
    <row r="2" spans="2:11" ht="30" customHeight="1" x14ac:dyDescent="0.25">
      <c r="B2" s="8" t="s">
        <v>240</v>
      </c>
    </row>
    <row r="3" spans="2:11" ht="15.75" customHeight="1" x14ac:dyDescent="0.2">
      <c r="B3" s="9" t="s">
        <v>241</v>
      </c>
    </row>
    <row r="5" spans="2:11" x14ac:dyDescent="0.2"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10" t="s">
        <v>30</v>
      </c>
      <c r="I5" s="10" t="s">
        <v>31</v>
      </c>
      <c r="J5" s="10" t="s">
        <v>32</v>
      </c>
      <c r="K5" s="10" t="s">
        <v>33</v>
      </c>
    </row>
    <row r="6" spans="2:11" x14ac:dyDescent="0.2">
      <c r="B6">
        <v>3001</v>
      </c>
      <c r="C6">
        <v>32</v>
      </c>
      <c r="D6" t="s">
        <v>34</v>
      </c>
      <c r="E6" t="s">
        <v>35</v>
      </c>
      <c r="F6">
        <v>5</v>
      </c>
      <c r="G6">
        <v>0</v>
      </c>
      <c r="H6" t="s">
        <v>36</v>
      </c>
      <c r="I6" t="s">
        <v>36</v>
      </c>
      <c r="J6" t="s">
        <v>36</v>
      </c>
      <c r="K6">
        <v>0.55000000000000004</v>
      </c>
    </row>
    <row r="7" spans="2:11" x14ac:dyDescent="0.2">
      <c r="B7">
        <v>3002</v>
      </c>
      <c r="C7">
        <v>26</v>
      </c>
      <c r="D7" t="s">
        <v>34</v>
      </c>
      <c r="E7" t="s">
        <v>37</v>
      </c>
      <c r="F7">
        <v>5</v>
      </c>
      <c r="G7">
        <v>0</v>
      </c>
      <c r="H7" t="s">
        <v>36</v>
      </c>
      <c r="I7" t="s">
        <v>36</v>
      </c>
      <c r="J7" t="s">
        <v>36</v>
      </c>
      <c r="K7">
        <v>0.76100000000000001</v>
      </c>
    </row>
    <row r="8" spans="2:11" x14ac:dyDescent="0.2">
      <c r="B8">
        <v>3003</v>
      </c>
      <c r="C8">
        <v>32</v>
      </c>
      <c r="D8" t="s">
        <v>34</v>
      </c>
      <c r="E8" t="s">
        <v>37</v>
      </c>
      <c r="F8">
        <v>5</v>
      </c>
      <c r="G8">
        <v>0</v>
      </c>
      <c r="H8" t="s">
        <v>36</v>
      </c>
      <c r="I8" t="s">
        <v>36</v>
      </c>
      <c r="J8" t="s">
        <v>36</v>
      </c>
      <c r="K8">
        <v>0.81899999999999995</v>
      </c>
    </row>
    <row r="9" spans="2:11" x14ac:dyDescent="0.2">
      <c r="B9">
        <v>3004</v>
      </c>
      <c r="C9">
        <v>26</v>
      </c>
      <c r="D9" t="s">
        <v>34</v>
      </c>
      <c r="E9" t="s">
        <v>35</v>
      </c>
      <c r="F9">
        <v>5</v>
      </c>
      <c r="G9">
        <v>0</v>
      </c>
      <c r="H9" t="s">
        <v>36</v>
      </c>
      <c r="I9" t="s">
        <v>36</v>
      </c>
      <c r="J9" t="s">
        <v>36</v>
      </c>
      <c r="K9">
        <v>0.76500000000000001</v>
      </c>
    </row>
    <row r="10" spans="2:11" x14ac:dyDescent="0.2">
      <c r="B10">
        <v>3005</v>
      </c>
      <c r="C10">
        <v>36</v>
      </c>
      <c r="D10" t="s">
        <v>34</v>
      </c>
      <c r="E10" t="s">
        <v>35</v>
      </c>
      <c r="F10">
        <v>5</v>
      </c>
      <c r="G10">
        <v>0</v>
      </c>
      <c r="H10" t="s">
        <v>36</v>
      </c>
      <c r="I10" t="s">
        <v>36</v>
      </c>
      <c r="J10" t="s">
        <v>36</v>
      </c>
      <c r="K10">
        <v>0.64900000000000002</v>
      </c>
    </row>
    <row r="11" spans="2:11" x14ac:dyDescent="0.2">
      <c r="B11">
        <v>3006</v>
      </c>
      <c r="C11">
        <v>33</v>
      </c>
      <c r="D11" t="s">
        <v>34</v>
      </c>
      <c r="E11" t="s">
        <v>35</v>
      </c>
      <c r="F11">
        <v>5</v>
      </c>
      <c r="G11">
        <v>0</v>
      </c>
      <c r="H11" t="s">
        <v>36</v>
      </c>
      <c r="I11" t="s">
        <v>36</v>
      </c>
      <c r="J11" t="s">
        <v>36</v>
      </c>
      <c r="K11">
        <v>0.55600000000000005</v>
      </c>
    </row>
    <row r="12" spans="2:11" x14ac:dyDescent="0.2">
      <c r="B12">
        <v>3007</v>
      </c>
      <c r="C12">
        <v>33</v>
      </c>
      <c r="D12" t="s">
        <v>34</v>
      </c>
      <c r="E12" t="s">
        <v>35</v>
      </c>
      <c r="F12">
        <v>5</v>
      </c>
      <c r="G12">
        <v>0</v>
      </c>
      <c r="H12" t="s">
        <v>36</v>
      </c>
      <c r="I12" t="s">
        <v>36</v>
      </c>
      <c r="J12" t="s">
        <v>36</v>
      </c>
      <c r="K12">
        <v>0.84399999999999997</v>
      </c>
    </row>
    <row r="13" spans="2:11" x14ac:dyDescent="0.2">
      <c r="B13">
        <v>3008</v>
      </c>
      <c r="C13">
        <v>26</v>
      </c>
      <c r="D13" t="s">
        <v>34</v>
      </c>
      <c r="E13" t="s">
        <v>35</v>
      </c>
      <c r="F13">
        <v>5</v>
      </c>
      <c r="G13">
        <v>0</v>
      </c>
      <c r="H13" t="s">
        <v>36</v>
      </c>
      <c r="I13" t="s">
        <v>36</v>
      </c>
      <c r="J13" t="s">
        <v>36</v>
      </c>
      <c r="K13">
        <v>0.77</v>
      </c>
    </row>
    <row r="14" spans="2:11" x14ac:dyDescent="0.2">
      <c r="B14">
        <v>3009</v>
      </c>
      <c r="C14">
        <v>25</v>
      </c>
      <c r="D14" t="s">
        <v>34</v>
      </c>
      <c r="E14" t="s">
        <v>37</v>
      </c>
      <c r="F14">
        <v>5</v>
      </c>
      <c r="G14">
        <v>0</v>
      </c>
      <c r="H14" t="s">
        <v>36</v>
      </c>
      <c r="I14" t="s">
        <v>36</v>
      </c>
      <c r="J14" t="s">
        <v>36</v>
      </c>
      <c r="K14">
        <v>0.73299999999999998</v>
      </c>
    </row>
    <row r="15" spans="2:11" x14ac:dyDescent="0.2">
      <c r="B15">
        <v>3010</v>
      </c>
      <c r="C15">
        <v>28</v>
      </c>
      <c r="D15" t="s">
        <v>34</v>
      </c>
      <c r="E15" t="s">
        <v>35</v>
      </c>
      <c r="F15">
        <v>5</v>
      </c>
      <c r="G15">
        <v>0</v>
      </c>
      <c r="H15" t="s">
        <v>36</v>
      </c>
      <c r="I15" t="s">
        <v>36</v>
      </c>
      <c r="J15" t="s">
        <v>36</v>
      </c>
      <c r="K15">
        <v>0.751</v>
      </c>
    </row>
    <row r="16" spans="2:11" x14ac:dyDescent="0.2">
      <c r="B16">
        <v>3011</v>
      </c>
      <c r="C16">
        <v>39</v>
      </c>
      <c r="D16" t="s">
        <v>34</v>
      </c>
      <c r="E16" t="s">
        <v>37</v>
      </c>
      <c r="F16">
        <v>5</v>
      </c>
      <c r="G16">
        <v>0</v>
      </c>
      <c r="H16" t="s">
        <v>36</v>
      </c>
      <c r="I16" t="s">
        <v>36</v>
      </c>
      <c r="J16" t="s">
        <v>36</v>
      </c>
      <c r="K16">
        <v>0.67100000000000004</v>
      </c>
    </row>
    <row r="17" spans="2:11" x14ac:dyDescent="0.2">
      <c r="B17">
        <v>3012</v>
      </c>
      <c r="C17">
        <v>30</v>
      </c>
      <c r="D17" t="s">
        <v>34</v>
      </c>
      <c r="E17" t="s">
        <v>37</v>
      </c>
      <c r="F17">
        <v>5</v>
      </c>
      <c r="G17">
        <v>0</v>
      </c>
      <c r="H17" t="s">
        <v>36</v>
      </c>
      <c r="I17" t="s">
        <v>36</v>
      </c>
      <c r="J17" t="s">
        <v>36</v>
      </c>
      <c r="K17">
        <v>0.75</v>
      </c>
    </row>
    <row r="18" spans="2:11" x14ac:dyDescent="0.2">
      <c r="B18">
        <v>3013</v>
      </c>
      <c r="C18">
        <v>40</v>
      </c>
      <c r="D18" t="s">
        <v>34</v>
      </c>
      <c r="E18" t="s">
        <v>37</v>
      </c>
      <c r="F18">
        <v>5</v>
      </c>
      <c r="G18">
        <v>0</v>
      </c>
      <c r="H18" t="s">
        <v>36</v>
      </c>
      <c r="I18" t="s">
        <v>36</v>
      </c>
      <c r="J18" t="s">
        <v>36</v>
      </c>
      <c r="K18">
        <v>0.72799999999999998</v>
      </c>
    </row>
    <row r="19" spans="2:11" x14ac:dyDescent="0.2">
      <c r="B19">
        <v>3014</v>
      </c>
      <c r="C19">
        <v>27</v>
      </c>
      <c r="D19" t="s">
        <v>34</v>
      </c>
      <c r="E19" t="s">
        <v>35</v>
      </c>
      <c r="F19">
        <v>5</v>
      </c>
      <c r="G19">
        <v>0</v>
      </c>
      <c r="H19" t="s">
        <v>36</v>
      </c>
      <c r="I19" t="s">
        <v>36</v>
      </c>
      <c r="J19" t="s">
        <v>36</v>
      </c>
      <c r="K19">
        <v>0.42599999999999999</v>
      </c>
    </row>
    <row r="20" spans="2:11" x14ac:dyDescent="0.2">
      <c r="B20">
        <v>3015</v>
      </c>
      <c r="C20">
        <v>34</v>
      </c>
      <c r="D20" t="s">
        <v>34</v>
      </c>
      <c r="E20" t="s">
        <v>35</v>
      </c>
      <c r="F20">
        <v>5</v>
      </c>
      <c r="G20">
        <v>0</v>
      </c>
      <c r="H20" t="s">
        <v>36</v>
      </c>
      <c r="I20" t="s">
        <v>36</v>
      </c>
      <c r="J20" t="s">
        <v>36</v>
      </c>
      <c r="K20">
        <v>0.9</v>
      </c>
    </row>
    <row r="21" spans="2:11" x14ac:dyDescent="0.2">
      <c r="B21">
        <v>3016</v>
      </c>
      <c r="C21">
        <v>40</v>
      </c>
      <c r="D21" t="s">
        <v>34</v>
      </c>
      <c r="E21" t="s">
        <v>35</v>
      </c>
      <c r="F21">
        <v>5</v>
      </c>
      <c r="G21">
        <v>0</v>
      </c>
      <c r="H21" t="s">
        <v>36</v>
      </c>
      <c r="I21" t="s">
        <v>36</v>
      </c>
      <c r="J21" t="s">
        <v>36</v>
      </c>
      <c r="K21">
        <v>0.877</v>
      </c>
    </row>
    <row r="22" spans="2:11" x14ac:dyDescent="0.2">
      <c r="B22">
        <v>3017</v>
      </c>
      <c r="C22">
        <v>31</v>
      </c>
      <c r="D22" t="s">
        <v>34</v>
      </c>
      <c r="E22" t="s">
        <v>35</v>
      </c>
      <c r="F22">
        <v>5</v>
      </c>
      <c r="G22">
        <v>0</v>
      </c>
      <c r="H22" t="s">
        <v>36</v>
      </c>
      <c r="I22" t="s">
        <v>36</v>
      </c>
      <c r="J22" t="s">
        <v>36</v>
      </c>
      <c r="K22">
        <v>0.82299999999999995</v>
      </c>
    </row>
    <row r="23" spans="2:11" x14ac:dyDescent="0.2">
      <c r="B23">
        <v>3018</v>
      </c>
      <c r="C23">
        <v>25</v>
      </c>
      <c r="D23" t="s">
        <v>34</v>
      </c>
      <c r="E23" t="s">
        <v>35</v>
      </c>
      <c r="F23">
        <v>5</v>
      </c>
      <c r="G23">
        <v>0</v>
      </c>
      <c r="H23" t="s">
        <v>36</v>
      </c>
      <c r="I23" t="s">
        <v>36</v>
      </c>
      <c r="J23" t="s">
        <v>36</v>
      </c>
      <c r="K23">
        <v>0.85499999999999998</v>
      </c>
    </row>
    <row r="24" spans="2:11" x14ac:dyDescent="0.2">
      <c r="B24">
        <v>3019</v>
      </c>
      <c r="C24">
        <v>33</v>
      </c>
      <c r="D24" t="s">
        <v>34</v>
      </c>
      <c r="E24" t="s">
        <v>35</v>
      </c>
      <c r="F24">
        <v>5</v>
      </c>
      <c r="G24">
        <v>0</v>
      </c>
      <c r="H24" t="s">
        <v>36</v>
      </c>
      <c r="I24" t="s">
        <v>36</v>
      </c>
      <c r="J24" t="s">
        <v>36</v>
      </c>
      <c r="K24">
        <v>0.78500000000000003</v>
      </c>
    </row>
    <row r="25" spans="2:11" x14ac:dyDescent="0.2">
      <c r="B25">
        <v>3020</v>
      </c>
      <c r="C25">
        <v>29</v>
      </c>
      <c r="D25" t="s">
        <v>34</v>
      </c>
      <c r="E25" t="s">
        <v>35</v>
      </c>
      <c r="F25">
        <v>5</v>
      </c>
      <c r="G25">
        <v>0</v>
      </c>
      <c r="H25" t="s">
        <v>36</v>
      </c>
      <c r="I25" t="s">
        <v>36</v>
      </c>
      <c r="J25" t="s">
        <v>36</v>
      </c>
      <c r="K25">
        <v>0.88200000000000001</v>
      </c>
    </row>
    <row r="26" spans="2:11" x14ac:dyDescent="0.2">
      <c r="B26">
        <v>3021</v>
      </c>
      <c r="C26">
        <v>41</v>
      </c>
      <c r="D26" t="s">
        <v>34</v>
      </c>
      <c r="E26" t="s">
        <v>35</v>
      </c>
      <c r="F26">
        <v>5</v>
      </c>
      <c r="G26">
        <v>0</v>
      </c>
      <c r="H26" t="s">
        <v>36</v>
      </c>
      <c r="I26" t="s">
        <v>36</v>
      </c>
      <c r="J26" t="s">
        <v>36</v>
      </c>
      <c r="K26">
        <v>0.72599999999999998</v>
      </c>
    </row>
    <row r="27" spans="2:11" x14ac:dyDescent="0.2">
      <c r="B27">
        <v>3022</v>
      </c>
      <c r="C27">
        <v>33</v>
      </c>
      <c r="D27" t="s">
        <v>34</v>
      </c>
      <c r="E27" t="s">
        <v>35</v>
      </c>
      <c r="F27">
        <v>5</v>
      </c>
      <c r="G27">
        <v>0</v>
      </c>
      <c r="H27" t="s">
        <v>36</v>
      </c>
      <c r="I27" t="s">
        <v>36</v>
      </c>
      <c r="J27" t="s">
        <v>36</v>
      </c>
      <c r="K27">
        <v>0.35299999999999998</v>
      </c>
    </row>
    <row r="28" spans="2:11" x14ac:dyDescent="0.2">
      <c r="B28">
        <v>3023</v>
      </c>
      <c r="C28">
        <v>32</v>
      </c>
      <c r="D28" t="s">
        <v>34</v>
      </c>
      <c r="E28" t="s">
        <v>37</v>
      </c>
      <c r="F28">
        <v>5</v>
      </c>
      <c r="G28">
        <v>0</v>
      </c>
      <c r="H28" t="s">
        <v>36</v>
      </c>
      <c r="I28" t="s">
        <v>36</v>
      </c>
      <c r="J28" t="s">
        <v>36</v>
      </c>
      <c r="K28">
        <v>0.876</v>
      </c>
    </row>
    <row r="29" spans="2:11" x14ac:dyDescent="0.2">
      <c r="B29">
        <v>3024</v>
      </c>
      <c r="C29">
        <v>35</v>
      </c>
      <c r="D29" t="s">
        <v>34</v>
      </c>
      <c r="E29" t="s">
        <v>35</v>
      </c>
      <c r="F29">
        <v>5</v>
      </c>
      <c r="G29">
        <v>0</v>
      </c>
      <c r="H29" t="s">
        <v>36</v>
      </c>
      <c r="I29" t="s">
        <v>36</v>
      </c>
      <c r="J29" t="s">
        <v>36</v>
      </c>
      <c r="K29">
        <v>0.89400000000000002</v>
      </c>
    </row>
    <row r="30" spans="2:11" x14ac:dyDescent="0.2">
      <c r="B30">
        <v>3025</v>
      </c>
      <c r="C30">
        <v>27</v>
      </c>
      <c r="D30" t="s">
        <v>34</v>
      </c>
      <c r="E30" t="s">
        <v>35</v>
      </c>
      <c r="F30">
        <v>5</v>
      </c>
      <c r="G30">
        <v>0</v>
      </c>
      <c r="H30" t="s">
        <v>36</v>
      </c>
      <c r="I30" t="s">
        <v>36</v>
      </c>
      <c r="J30" t="s">
        <v>36</v>
      </c>
      <c r="K30">
        <v>0.72</v>
      </c>
    </row>
    <row r="31" spans="2:11" x14ac:dyDescent="0.2">
      <c r="B31">
        <v>3026</v>
      </c>
      <c r="C31">
        <v>42</v>
      </c>
      <c r="D31" t="s">
        <v>34</v>
      </c>
      <c r="E31" t="s">
        <v>35</v>
      </c>
      <c r="F31">
        <v>5</v>
      </c>
      <c r="G31">
        <v>0</v>
      </c>
      <c r="H31" t="s">
        <v>36</v>
      </c>
      <c r="I31" t="s">
        <v>36</v>
      </c>
      <c r="J31" t="s">
        <v>36</v>
      </c>
      <c r="K31">
        <v>0.80500000000000005</v>
      </c>
    </row>
    <row r="32" spans="2:11" x14ac:dyDescent="0.2">
      <c r="B32">
        <v>3027</v>
      </c>
      <c r="C32">
        <v>29</v>
      </c>
      <c r="D32" t="s">
        <v>34</v>
      </c>
      <c r="E32" t="s">
        <v>37</v>
      </c>
      <c r="F32">
        <v>5</v>
      </c>
      <c r="G32">
        <v>0</v>
      </c>
      <c r="H32" t="s">
        <v>36</v>
      </c>
      <c r="I32" t="s">
        <v>36</v>
      </c>
      <c r="J32" t="s">
        <v>36</v>
      </c>
      <c r="K32">
        <v>0.52300000000000002</v>
      </c>
    </row>
    <row r="33" spans="2:11" x14ac:dyDescent="0.2">
      <c r="B33">
        <v>3028</v>
      </c>
      <c r="C33">
        <v>43</v>
      </c>
      <c r="D33" t="s">
        <v>34</v>
      </c>
      <c r="E33" t="s">
        <v>37</v>
      </c>
      <c r="F33">
        <v>5</v>
      </c>
      <c r="G33">
        <v>0</v>
      </c>
      <c r="H33" t="s">
        <v>36</v>
      </c>
      <c r="I33" t="s">
        <v>36</v>
      </c>
      <c r="J33" t="s">
        <v>36</v>
      </c>
      <c r="K33">
        <v>0.64300000000000002</v>
      </c>
    </row>
    <row r="34" spans="2:11" x14ac:dyDescent="0.2">
      <c r="B34">
        <v>3029</v>
      </c>
      <c r="C34">
        <v>44</v>
      </c>
      <c r="D34" t="s">
        <v>34</v>
      </c>
      <c r="E34" t="s">
        <v>37</v>
      </c>
      <c r="F34">
        <v>5</v>
      </c>
      <c r="G34">
        <v>0</v>
      </c>
      <c r="H34" t="s">
        <v>36</v>
      </c>
      <c r="I34" t="s">
        <v>36</v>
      </c>
      <c r="J34" t="s">
        <v>36</v>
      </c>
      <c r="K34">
        <v>0.82599999999999996</v>
      </c>
    </row>
    <row r="35" spans="2:11" x14ac:dyDescent="0.2">
      <c r="B35">
        <v>3030</v>
      </c>
      <c r="C35">
        <v>35</v>
      </c>
      <c r="D35" t="s">
        <v>34</v>
      </c>
      <c r="E35" t="s">
        <v>35</v>
      </c>
      <c r="F35">
        <v>5</v>
      </c>
      <c r="G35">
        <v>0</v>
      </c>
      <c r="H35" t="s">
        <v>36</v>
      </c>
      <c r="I35" t="s">
        <v>36</v>
      </c>
      <c r="J35" t="s">
        <v>36</v>
      </c>
      <c r="K35">
        <v>0.748</v>
      </c>
    </row>
    <row r="36" spans="2:11" x14ac:dyDescent="0.2">
      <c r="B36">
        <v>3031</v>
      </c>
      <c r="C36">
        <v>35</v>
      </c>
      <c r="D36" t="s">
        <v>34</v>
      </c>
      <c r="E36" t="s">
        <v>37</v>
      </c>
      <c r="F36">
        <v>5</v>
      </c>
      <c r="G36">
        <v>0</v>
      </c>
      <c r="H36" t="s">
        <v>36</v>
      </c>
      <c r="I36" t="s">
        <v>36</v>
      </c>
      <c r="J36" t="s">
        <v>36</v>
      </c>
      <c r="K36">
        <v>0.71199999999999997</v>
      </c>
    </row>
    <row r="37" spans="2:11" x14ac:dyDescent="0.2">
      <c r="B37">
        <v>3032</v>
      </c>
      <c r="C37">
        <v>40</v>
      </c>
      <c r="D37" t="s">
        <v>34</v>
      </c>
      <c r="E37" t="s">
        <v>35</v>
      </c>
      <c r="F37">
        <v>5</v>
      </c>
      <c r="G37">
        <v>0</v>
      </c>
      <c r="H37" t="s">
        <v>36</v>
      </c>
      <c r="I37" t="s">
        <v>36</v>
      </c>
      <c r="J37" t="s">
        <v>36</v>
      </c>
      <c r="K37">
        <v>0.624</v>
      </c>
    </row>
    <row r="38" spans="2:11" x14ac:dyDescent="0.2">
      <c r="B38">
        <v>3033</v>
      </c>
      <c r="C38">
        <v>32</v>
      </c>
      <c r="D38" t="s">
        <v>34</v>
      </c>
      <c r="E38" t="s">
        <v>37</v>
      </c>
      <c r="F38">
        <v>5</v>
      </c>
      <c r="G38">
        <v>0</v>
      </c>
      <c r="H38" t="s">
        <v>36</v>
      </c>
      <c r="I38" t="s">
        <v>36</v>
      </c>
      <c r="J38" t="s">
        <v>36</v>
      </c>
      <c r="K38">
        <v>0.80600000000000005</v>
      </c>
    </row>
    <row r="39" spans="2:11" x14ac:dyDescent="0.2">
      <c r="B39">
        <v>3034</v>
      </c>
      <c r="C39">
        <v>35</v>
      </c>
      <c r="D39" t="s">
        <v>34</v>
      </c>
      <c r="E39" t="s">
        <v>37</v>
      </c>
      <c r="F39">
        <v>5</v>
      </c>
      <c r="G39">
        <v>0</v>
      </c>
      <c r="H39" t="s">
        <v>36</v>
      </c>
      <c r="I39" t="s">
        <v>36</v>
      </c>
      <c r="J39" t="s">
        <v>36</v>
      </c>
      <c r="K39">
        <v>0.51600000000000001</v>
      </c>
    </row>
    <row r="40" spans="2:11" x14ac:dyDescent="0.2">
      <c r="B40">
        <v>3035</v>
      </c>
      <c r="C40">
        <v>26</v>
      </c>
      <c r="D40" t="s">
        <v>34</v>
      </c>
      <c r="E40" t="s">
        <v>37</v>
      </c>
      <c r="F40">
        <v>5</v>
      </c>
      <c r="G40">
        <v>0</v>
      </c>
      <c r="H40" t="s">
        <v>36</v>
      </c>
      <c r="I40" t="s">
        <v>36</v>
      </c>
      <c r="J40" t="s">
        <v>36</v>
      </c>
      <c r="K40">
        <v>0.432</v>
      </c>
    </row>
    <row r="41" spans="2:11" x14ac:dyDescent="0.2">
      <c r="B41">
        <v>3036</v>
      </c>
      <c r="C41">
        <v>44</v>
      </c>
      <c r="D41" t="s">
        <v>34</v>
      </c>
      <c r="E41" t="s">
        <v>35</v>
      </c>
      <c r="F41">
        <v>5</v>
      </c>
      <c r="G41">
        <v>0</v>
      </c>
      <c r="H41" t="s">
        <v>36</v>
      </c>
      <c r="I41" t="s">
        <v>36</v>
      </c>
      <c r="J41" t="s">
        <v>36</v>
      </c>
      <c r="K41">
        <v>0.82299999999999995</v>
      </c>
    </row>
    <row r="42" spans="2:11" x14ac:dyDescent="0.2">
      <c r="B42">
        <v>3037</v>
      </c>
      <c r="C42">
        <v>29</v>
      </c>
      <c r="D42" t="s">
        <v>34</v>
      </c>
      <c r="E42" t="s">
        <v>35</v>
      </c>
      <c r="F42">
        <v>5</v>
      </c>
      <c r="G42">
        <v>0</v>
      </c>
      <c r="H42" t="s">
        <v>36</v>
      </c>
      <c r="I42" t="s">
        <v>36</v>
      </c>
      <c r="J42" t="s">
        <v>36</v>
      </c>
      <c r="K42">
        <v>0.64100000000000001</v>
      </c>
    </row>
    <row r="43" spans="2:11" x14ac:dyDescent="0.2">
      <c r="B43">
        <v>3038</v>
      </c>
      <c r="C43">
        <v>25</v>
      </c>
      <c r="D43" t="s">
        <v>34</v>
      </c>
      <c r="E43" t="s">
        <v>37</v>
      </c>
      <c r="F43">
        <v>5</v>
      </c>
      <c r="G43">
        <v>0</v>
      </c>
      <c r="H43" t="s">
        <v>36</v>
      </c>
      <c r="I43" t="s">
        <v>36</v>
      </c>
      <c r="J43" t="s">
        <v>36</v>
      </c>
      <c r="K43">
        <v>0.83899999999999997</v>
      </c>
    </row>
    <row r="44" spans="2:11" x14ac:dyDescent="0.2">
      <c r="B44">
        <v>3039</v>
      </c>
      <c r="C44">
        <v>55</v>
      </c>
      <c r="D44" t="s">
        <v>38</v>
      </c>
      <c r="E44" t="s">
        <v>35</v>
      </c>
      <c r="F44">
        <v>5</v>
      </c>
      <c r="G44">
        <v>0</v>
      </c>
      <c r="H44" t="s">
        <v>36</v>
      </c>
      <c r="I44" t="s">
        <v>36</v>
      </c>
      <c r="J44" t="s">
        <v>36</v>
      </c>
      <c r="K44">
        <v>0.86799999999999999</v>
      </c>
    </row>
    <row r="45" spans="2:11" x14ac:dyDescent="0.2">
      <c r="B45">
        <v>3040</v>
      </c>
      <c r="C45">
        <v>47</v>
      </c>
      <c r="D45" t="s">
        <v>38</v>
      </c>
      <c r="E45" t="s">
        <v>37</v>
      </c>
      <c r="F45">
        <v>2</v>
      </c>
      <c r="G45">
        <v>0</v>
      </c>
      <c r="H45" t="s">
        <v>39</v>
      </c>
      <c r="I45" t="s">
        <v>36</v>
      </c>
      <c r="J45" t="s">
        <v>39</v>
      </c>
      <c r="K45">
        <v>0.64</v>
      </c>
    </row>
    <row r="46" spans="2:11" x14ac:dyDescent="0.2">
      <c r="B46">
        <v>3041</v>
      </c>
      <c r="C46">
        <v>58</v>
      </c>
      <c r="D46" t="s">
        <v>38</v>
      </c>
      <c r="E46" t="s">
        <v>35</v>
      </c>
      <c r="F46">
        <v>2</v>
      </c>
      <c r="G46">
        <v>1</v>
      </c>
      <c r="H46" t="s">
        <v>39</v>
      </c>
      <c r="I46" t="s">
        <v>39</v>
      </c>
      <c r="J46" t="s">
        <v>36</v>
      </c>
      <c r="K46">
        <v>0.54100000000000004</v>
      </c>
    </row>
    <row r="47" spans="2:11" x14ac:dyDescent="0.2">
      <c r="B47">
        <v>3042</v>
      </c>
      <c r="C47">
        <v>56</v>
      </c>
      <c r="D47" t="s">
        <v>38</v>
      </c>
      <c r="E47" t="s">
        <v>35</v>
      </c>
      <c r="F47">
        <v>5</v>
      </c>
      <c r="G47">
        <v>0</v>
      </c>
      <c r="H47" t="s">
        <v>36</v>
      </c>
      <c r="I47" t="s">
        <v>36</v>
      </c>
      <c r="J47" t="s">
        <v>36</v>
      </c>
      <c r="K47">
        <v>0.55700000000000005</v>
      </c>
    </row>
    <row r="48" spans="2:11" x14ac:dyDescent="0.2">
      <c r="B48">
        <v>3043</v>
      </c>
      <c r="C48">
        <v>46</v>
      </c>
      <c r="D48" t="s">
        <v>38</v>
      </c>
      <c r="E48" t="s">
        <v>35</v>
      </c>
      <c r="F48">
        <v>5</v>
      </c>
      <c r="G48">
        <v>0</v>
      </c>
      <c r="H48" t="s">
        <v>36</v>
      </c>
      <c r="I48" t="s">
        <v>36</v>
      </c>
      <c r="J48" t="s">
        <v>36</v>
      </c>
      <c r="K48">
        <v>0.80800000000000005</v>
      </c>
    </row>
    <row r="49" spans="2:11" x14ac:dyDescent="0.2">
      <c r="B49">
        <v>3044</v>
      </c>
      <c r="C49">
        <v>52</v>
      </c>
      <c r="D49" t="s">
        <v>38</v>
      </c>
      <c r="E49" t="s">
        <v>35</v>
      </c>
      <c r="F49">
        <v>5</v>
      </c>
      <c r="G49">
        <v>0</v>
      </c>
      <c r="H49" t="s">
        <v>36</v>
      </c>
      <c r="I49" t="s">
        <v>36</v>
      </c>
      <c r="J49" t="s">
        <v>36</v>
      </c>
      <c r="K49">
        <v>0.90300000000000002</v>
      </c>
    </row>
    <row r="50" spans="2:11" x14ac:dyDescent="0.2">
      <c r="B50">
        <v>3045</v>
      </c>
      <c r="C50">
        <v>61</v>
      </c>
      <c r="D50" t="s">
        <v>38</v>
      </c>
      <c r="E50" t="s">
        <v>35</v>
      </c>
      <c r="F50">
        <v>5</v>
      </c>
      <c r="G50">
        <v>0</v>
      </c>
      <c r="H50" t="s">
        <v>36</v>
      </c>
      <c r="I50" t="s">
        <v>36</v>
      </c>
      <c r="J50" t="s">
        <v>36</v>
      </c>
      <c r="K50">
        <v>0.34799999999999998</v>
      </c>
    </row>
    <row r="51" spans="2:11" x14ac:dyDescent="0.2">
      <c r="B51">
        <v>3046</v>
      </c>
      <c r="C51">
        <v>61</v>
      </c>
      <c r="D51" t="s">
        <v>38</v>
      </c>
      <c r="E51" t="s">
        <v>37</v>
      </c>
      <c r="F51">
        <v>5</v>
      </c>
      <c r="G51">
        <v>0</v>
      </c>
      <c r="H51" t="s">
        <v>36</v>
      </c>
      <c r="I51" t="s">
        <v>36</v>
      </c>
      <c r="J51" t="s">
        <v>36</v>
      </c>
      <c r="K51">
        <v>0.52100000000000002</v>
      </c>
    </row>
    <row r="52" spans="2:11" x14ac:dyDescent="0.2">
      <c r="B52">
        <v>3047</v>
      </c>
      <c r="C52">
        <v>56</v>
      </c>
      <c r="D52" t="s">
        <v>38</v>
      </c>
      <c r="E52" t="s">
        <v>35</v>
      </c>
      <c r="F52">
        <v>5</v>
      </c>
      <c r="G52">
        <v>0</v>
      </c>
      <c r="H52" t="s">
        <v>36</v>
      </c>
      <c r="I52" t="s">
        <v>36</v>
      </c>
      <c r="J52" t="s">
        <v>36</v>
      </c>
      <c r="K52">
        <v>0.46</v>
      </c>
    </row>
    <row r="53" spans="2:11" x14ac:dyDescent="0.2">
      <c r="B53">
        <v>3048</v>
      </c>
      <c r="C53">
        <v>56</v>
      </c>
      <c r="D53" t="s">
        <v>38</v>
      </c>
      <c r="E53" t="s">
        <v>37</v>
      </c>
      <c r="F53">
        <v>5</v>
      </c>
      <c r="G53">
        <v>0</v>
      </c>
      <c r="H53" t="s">
        <v>36</v>
      </c>
      <c r="I53" t="s">
        <v>36</v>
      </c>
      <c r="J53" t="s">
        <v>36</v>
      </c>
      <c r="K53">
        <v>0.50900000000000001</v>
      </c>
    </row>
    <row r="54" spans="2:11" x14ac:dyDescent="0.2">
      <c r="B54">
        <v>3049</v>
      </c>
      <c r="C54">
        <v>55</v>
      </c>
      <c r="D54" t="s">
        <v>38</v>
      </c>
      <c r="E54" t="s">
        <v>35</v>
      </c>
      <c r="F54">
        <v>5</v>
      </c>
      <c r="G54">
        <v>0</v>
      </c>
      <c r="H54" t="s">
        <v>36</v>
      </c>
      <c r="I54" t="s">
        <v>36</v>
      </c>
      <c r="J54" t="s">
        <v>36</v>
      </c>
      <c r="K54">
        <v>0.72599999999999998</v>
      </c>
    </row>
    <row r="55" spans="2:11" x14ac:dyDescent="0.2">
      <c r="B55">
        <v>3050</v>
      </c>
      <c r="C55">
        <v>61</v>
      </c>
      <c r="D55" t="s">
        <v>38</v>
      </c>
      <c r="E55" t="s">
        <v>35</v>
      </c>
      <c r="F55">
        <v>4</v>
      </c>
      <c r="G55">
        <v>2</v>
      </c>
      <c r="H55" t="s">
        <v>39</v>
      </c>
      <c r="I55" t="s">
        <v>39</v>
      </c>
      <c r="J55" t="s">
        <v>36</v>
      </c>
      <c r="K55">
        <v>0.36099999999999999</v>
      </c>
    </row>
    <row r="56" spans="2:11" x14ac:dyDescent="0.2">
      <c r="B56">
        <v>3051</v>
      </c>
      <c r="C56">
        <v>63</v>
      </c>
      <c r="D56" t="s">
        <v>38</v>
      </c>
      <c r="E56" t="s">
        <v>35</v>
      </c>
      <c r="F56">
        <v>3</v>
      </c>
      <c r="G56">
        <v>2</v>
      </c>
      <c r="H56" t="s">
        <v>39</v>
      </c>
      <c r="I56" t="s">
        <v>39</v>
      </c>
      <c r="J56" t="s">
        <v>36</v>
      </c>
      <c r="K56">
        <v>0.59299999999999997</v>
      </c>
    </row>
    <row r="57" spans="2:11" x14ac:dyDescent="0.2">
      <c r="B57">
        <v>3052</v>
      </c>
      <c r="C57">
        <v>57</v>
      </c>
      <c r="D57" t="s">
        <v>38</v>
      </c>
      <c r="E57" t="s">
        <v>35</v>
      </c>
      <c r="F57">
        <v>5</v>
      </c>
      <c r="G57">
        <v>0</v>
      </c>
      <c r="H57" t="s">
        <v>36</v>
      </c>
      <c r="I57" t="s">
        <v>36</v>
      </c>
      <c r="J57" t="s">
        <v>36</v>
      </c>
      <c r="K57">
        <v>0.83899999999999997</v>
      </c>
    </row>
    <row r="58" spans="2:11" x14ac:dyDescent="0.2">
      <c r="B58">
        <v>3053</v>
      </c>
      <c r="C58">
        <v>62</v>
      </c>
      <c r="D58" t="s">
        <v>38</v>
      </c>
      <c r="E58" t="s">
        <v>35</v>
      </c>
      <c r="F58">
        <v>5</v>
      </c>
      <c r="G58">
        <v>0</v>
      </c>
      <c r="H58" t="s">
        <v>36</v>
      </c>
      <c r="I58" t="s">
        <v>36</v>
      </c>
      <c r="J58" t="s">
        <v>36</v>
      </c>
      <c r="K58">
        <v>0.63800000000000001</v>
      </c>
    </row>
    <row r="59" spans="2:11" x14ac:dyDescent="0.2">
      <c r="B59">
        <v>3054</v>
      </c>
      <c r="C59">
        <v>57</v>
      </c>
      <c r="D59" t="s">
        <v>38</v>
      </c>
      <c r="E59" t="s">
        <v>37</v>
      </c>
      <c r="F59">
        <v>5</v>
      </c>
      <c r="G59">
        <v>0</v>
      </c>
      <c r="H59" t="s">
        <v>36</v>
      </c>
      <c r="I59" t="s">
        <v>36</v>
      </c>
      <c r="J59" t="s">
        <v>36</v>
      </c>
      <c r="K59">
        <v>0.316</v>
      </c>
    </row>
    <row r="60" spans="2:11" x14ac:dyDescent="0.2">
      <c r="B60">
        <v>3055</v>
      </c>
      <c r="C60">
        <v>51</v>
      </c>
      <c r="D60" t="s">
        <v>38</v>
      </c>
      <c r="E60" t="s">
        <v>37</v>
      </c>
      <c r="F60">
        <v>5</v>
      </c>
      <c r="G60">
        <v>0</v>
      </c>
      <c r="H60" t="s">
        <v>36</v>
      </c>
      <c r="I60" t="s">
        <v>36</v>
      </c>
      <c r="J60" t="s">
        <v>36</v>
      </c>
      <c r="K60">
        <v>0.76400000000000001</v>
      </c>
    </row>
    <row r="61" spans="2:11" x14ac:dyDescent="0.2">
      <c r="B61">
        <v>3056</v>
      </c>
      <c r="C61">
        <v>60</v>
      </c>
      <c r="D61" t="s">
        <v>38</v>
      </c>
      <c r="E61" t="s">
        <v>35</v>
      </c>
      <c r="F61">
        <v>5</v>
      </c>
      <c r="G61">
        <v>0</v>
      </c>
      <c r="H61" t="s">
        <v>36</v>
      </c>
      <c r="I61" t="s">
        <v>36</v>
      </c>
      <c r="J61" t="s">
        <v>36</v>
      </c>
      <c r="K61">
        <v>0.876</v>
      </c>
    </row>
    <row r="62" spans="2:11" x14ac:dyDescent="0.2">
      <c r="B62">
        <v>3057</v>
      </c>
      <c r="C62">
        <v>49</v>
      </c>
      <c r="D62" t="s">
        <v>38</v>
      </c>
      <c r="E62" t="s">
        <v>35</v>
      </c>
      <c r="F62">
        <v>5</v>
      </c>
      <c r="G62">
        <v>0</v>
      </c>
      <c r="H62" t="s">
        <v>36</v>
      </c>
      <c r="I62" t="s">
        <v>36</v>
      </c>
      <c r="J62" t="s">
        <v>36</v>
      </c>
      <c r="K62">
        <v>0.47599999999999998</v>
      </c>
    </row>
    <row r="63" spans="2:11" x14ac:dyDescent="0.2">
      <c r="B63">
        <v>3058</v>
      </c>
      <c r="C63">
        <v>53</v>
      </c>
      <c r="D63" t="s">
        <v>38</v>
      </c>
      <c r="E63" t="s">
        <v>37</v>
      </c>
      <c r="F63">
        <v>5</v>
      </c>
      <c r="G63">
        <v>0</v>
      </c>
      <c r="H63" t="s">
        <v>36</v>
      </c>
      <c r="I63" t="s">
        <v>36</v>
      </c>
      <c r="J63" t="s">
        <v>36</v>
      </c>
      <c r="K63">
        <v>0.65200000000000002</v>
      </c>
    </row>
    <row r="64" spans="2:11" x14ac:dyDescent="0.2">
      <c r="B64">
        <v>3059</v>
      </c>
      <c r="C64">
        <v>62</v>
      </c>
      <c r="D64" t="s">
        <v>38</v>
      </c>
      <c r="E64" t="s">
        <v>37</v>
      </c>
      <c r="F64">
        <v>5</v>
      </c>
      <c r="G64">
        <v>0</v>
      </c>
      <c r="H64" t="s">
        <v>36</v>
      </c>
      <c r="I64" t="s">
        <v>36</v>
      </c>
      <c r="J64" t="s">
        <v>36</v>
      </c>
      <c r="K64">
        <v>0.218</v>
      </c>
    </row>
    <row r="65" spans="2:11" x14ac:dyDescent="0.2">
      <c r="B65">
        <v>3060</v>
      </c>
      <c r="C65">
        <v>45</v>
      </c>
      <c r="D65" t="s">
        <v>38</v>
      </c>
      <c r="E65" t="s">
        <v>37</v>
      </c>
      <c r="F65">
        <v>5</v>
      </c>
      <c r="G65">
        <v>0</v>
      </c>
      <c r="H65" t="s">
        <v>36</v>
      </c>
      <c r="I65" t="s">
        <v>36</v>
      </c>
      <c r="J65" t="s">
        <v>36</v>
      </c>
      <c r="K65">
        <v>0.64700000000000002</v>
      </c>
    </row>
    <row r="66" spans="2:11" x14ac:dyDescent="0.2">
      <c r="B66">
        <v>3061</v>
      </c>
      <c r="C66">
        <v>62</v>
      </c>
      <c r="D66" t="s">
        <v>38</v>
      </c>
      <c r="E66" t="s">
        <v>35</v>
      </c>
      <c r="F66">
        <v>5</v>
      </c>
      <c r="G66">
        <v>0</v>
      </c>
      <c r="H66" t="s">
        <v>36</v>
      </c>
      <c r="I66" t="s">
        <v>36</v>
      </c>
      <c r="J66" t="s">
        <v>36</v>
      </c>
      <c r="K66">
        <v>0.503</v>
      </c>
    </row>
    <row r="67" spans="2:11" x14ac:dyDescent="0.2">
      <c r="B67">
        <v>3062</v>
      </c>
      <c r="C67">
        <v>62</v>
      </c>
      <c r="D67" t="s">
        <v>38</v>
      </c>
      <c r="E67" t="s">
        <v>35</v>
      </c>
      <c r="F67">
        <v>5</v>
      </c>
      <c r="G67">
        <v>0</v>
      </c>
      <c r="H67" t="s">
        <v>36</v>
      </c>
      <c r="I67" t="s">
        <v>36</v>
      </c>
      <c r="J67" t="s">
        <v>36</v>
      </c>
      <c r="K67">
        <v>0.55600000000000005</v>
      </c>
    </row>
    <row r="68" spans="2:11" x14ac:dyDescent="0.2">
      <c r="B68">
        <v>3063</v>
      </c>
      <c r="C68">
        <v>61</v>
      </c>
      <c r="D68" t="s">
        <v>38</v>
      </c>
      <c r="E68" t="s">
        <v>35</v>
      </c>
      <c r="F68">
        <v>4</v>
      </c>
      <c r="G68">
        <v>2</v>
      </c>
      <c r="H68" t="s">
        <v>39</v>
      </c>
      <c r="I68" t="s">
        <v>39</v>
      </c>
      <c r="J68" t="s">
        <v>36</v>
      </c>
      <c r="K68">
        <v>0.52300000000000002</v>
      </c>
    </row>
    <row r="69" spans="2:11" x14ac:dyDescent="0.2">
      <c r="B69">
        <v>3064</v>
      </c>
      <c r="C69">
        <v>62</v>
      </c>
      <c r="D69" t="s">
        <v>38</v>
      </c>
      <c r="E69" t="s">
        <v>37</v>
      </c>
      <c r="F69">
        <v>5</v>
      </c>
      <c r="G69">
        <v>0</v>
      </c>
      <c r="H69" t="s">
        <v>36</v>
      </c>
      <c r="I69" t="s">
        <v>36</v>
      </c>
      <c r="J69" t="s">
        <v>36</v>
      </c>
      <c r="K69">
        <v>0.51500000000000001</v>
      </c>
    </row>
    <row r="70" spans="2:11" x14ac:dyDescent="0.2">
      <c r="B70">
        <v>3065</v>
      </c>
      <c r="C70">
        <v>46</v>
      </c>
      <c r="D70" t="s">
        <v>38</v>
      </c>
      <c r="E70" t="s">
        <v>35</v>
      </c>
      <c r="F70">
        <v>1</v>
      </c>
      <c r="G70">
        <v>0</v>
      </c>
      <c r="H70" t="s">
        <v>39</v>
      </c>
      <c r="I70" t="s">
        <v>36</v>
      </c>
      <c r="J70" t="s">
        <v>39</v>
      </c>
      <c r="K70">
        <v>0.36299999999999999</v>
      </c>
    </row>
    <row r="71" spans="2:11" x14ac:dyDescent="0.2">
      <c r="B71">
        <v>3066</v>
      </c>
      <c r="C71">
        <v>52</v>
      </c>
      <c r="D71" t="s">
        <v>38</v>
      </c>
      <c r="E71" t="s">
        <v>37</v>
      </c>
      <c r="F71">
        <v>5</v>
      </c>
      <c r="G71">
        <v>0</v>
      </c>
      <c r="H71" t="s">
        <v>36</v>
      </c>
      <c r="I71" t="s">
        <v>36</v>
      </c>
      <c r="J71" t="s">
        <v>36</v>
      </c>
      <c r="K71">
        <v>0.379</v>
      </c>
    </row>
    <row r="72" spans="2:11" x14ac:dyDescent="0.2">
      <c r="B72">
        <v>3067</v>
      </c>
      <c r="C72">
        <v>47</v>
      </c>
      <c r="D72" t="s">
        <v>38</v>
      </c>
      <c r="E72" t="s">
        <v>35</v>
      </c>
      <c r="F72">
        <v>5</v>
      </c>
      <c r="G72">
        <v>0</v>
      </c>
      <c r="H72" t="s">
        <v>36</v>
      </c>
      <c r="I72" t="s">
        <v>36</v>
      </c>
      <c r="J72" t="s">
        <v>36</v>
      </c>
      <c r="K72">
        <v>0.53700000000000003</v>
      </c>
    </row>
    <row r="73" spans="2:11" x14ac:dyDescent="0.2">
      <c r="B73">
        <v>3068</v>
      </c>
      <c r="C73">
        <v>60</v>
      </c>
      <c r="D73" t="s">
        <v>38</v>
      </c>
      <c r="E73" t="s">
        <v>37</v>
      </c>
      <c r="F73">
        <v>5</v>
      </c>
      <c r="G73">
        <v>0</v>
      </c>
      <c r="H73" t="s">
        <v>36</v>
      </c>
      <c r="I73" t="s">
        <v>36</v>
      </c>
      <c r="J73" t="s">
        <v>36</v>
      </c>
      <c r="K73">
        <v>0.80100000000000005</v>
      </c>
    </row>
    <row r="74" spans="2:11" x14ac:dyDescent="0.2">
      <c r="B74">
        <v>3069</v>
      </c>
      <c r="C74">
        <v>51</v>
      </c>
      <c r="D74" t="s">
        <v>38</v>
      </c>
      <c r="E74" t="s">
        <v>37</v>
      </c>
      <c r="F74">
        <v>5</v>
      </c>
      <c r="G74">
        <v>0</v>
      </c>
      <c r="H74" t="s">
        <v>36</v>
      </c>
      <c r="I74" t="s">
        <v>36</v>
      </c>
      <c r="J74" t="s">
        <v>36</v>
      </c>
      <c r="K74">
        <v>0.68899999999999995</v>
      </c>
    </row>
    <row r="75" spans="2:11" x14ac:dyDescent="0.2">
      <c r="B75">
        <v>3070</v>
      </c>
      <c r="C75">
        <v>53</v>
      </c>
      <c r="D75" t="s">
        <v>38</v>
      </c>
      <c r="E75" t="s">
        <v>37</v>
      </c>
      <c r="F75">
        <v>5</v>
      </c>
      <c r="G75">
        <v>0</v>
      </c>
      <c r="H75" t="s">
        <v>36</v>
      </c>
      <c r="I75" t="s">
        <v>36</v>
      </c>
      <c r="J75" t="s">
        <v>36</v>
      </c>
      <c r="K75">
        <v>0.502</v>
      </c>
    </row>
    <row r="76" spans="2:11" x14ac:dyDescent="0.2">
      <c r="B76">
        <v>3071</v>
      </c>
      <c r="C76">
        <v>52</v>
      </c>
      <c r="D76" t="s">
        <v>38</v>
      </c>
      <c r="E76" t="s">
        <v>35</v>
      </c>
      <c r="F76">
        <v>5</v>
      </c>
      <c r="G76">
        <v>0</v>
      </c>
      <c r="H76" t="s">
        <v>36</v>
      </c>
      <c r="I76" t="s">
        <v>36</v>
      </c>
      <c r="J76" t="s">
        <v>36</v>
      </c>
      <c r="K76">
        <v>0.74399999999999999</v>
      </c>
    </row>
    <row r="77" spans="2:11" x14ac:dyDescent="0.2">
      <c r="B77">
        <v>3072</v>
      </c>
      <c r="C77">
        <v>60</v>
      </c>
      <c r="D77" t="s">
        <v>38</v>
      </c>
      <c r="E77" t="s">
        <v>37</v>
      </c>
      <c r="F77">
        <v>5</v>
      </c>
      <c r="G77">
        <v>0</v>
      </c>
      <c r="H77" t="s">
        <v>36</v>
      </c>
      <c r="I77" t="s">
        <v>36</v>
      </c>
      <c r="J77" t="s">
        <v>36</v>
      </c>
      <c r="K77">
        <v>0.46200000000000002</v>
      </c>
    </row>
    <row r="78" spans="2:11" x14ac:dyDescent="0.2">
      <c r="B78">
        <v>3073</v>
      </c>
      <c r="C78">
        <v>62</v>
      </c>
      <c r="D78" t="s">
        <v>38</v>
      </c>
      <c r="E78" t="s">
        <v>35</v>
      </c>
      <c r="F78">
        <v>1</v>
      </c>
      <c r="G78">
        <v>2</v>
      </c>
      <c r="H78" t="s">
        <v>39</v>
      </c>
      <c r="I78" t="s">
        <v>39</v>
      </c>
      <c r="J78" t="s">
        <v>36</v>
      </c>
      <c r="K78">
        <v>0.749</v>
      </c>
    </row>
    <row r="79" spans="2:11" x14ac:dyDescent="0.2">
      <c r="B79">
        <v>3074</v>
      </c>
      <c r="C79">
        <v>56</v>
      </c>
      <c r="D79" t="s">
        <v>38</v>
      </c>
      <c r="E79" t="s">
        <v>35</v>
      </c>
      <c r="F79">
        <v>5</v>
      </c>
      <c r="G79">
        <v>0</v>
      </c>
      <c r="H79" t="s">
        <v>36</v>
      </c>
      <c r="I79" t="s">
        <v>36</v>
      </c>
      <c r="J79" t="s">
        <v>36</v>
      </c>
      <c r="K79">
        <v>0.65100000000000002</v>
      </c>
    </row>
    <row r="80" spans="2:11" x14ac:dyDescent="0.2">
      <c r="B80">
        <v>3075</v>
      </c>
      <c r="C80">
        <v>46</v>
      </c>
      <c r="D80" t="s">
        <v>38</v>
      </c>
      <c r="E80" t="s">
        <v>35</v>
      </c>
      <c r="F80">
        <v>5</v>
      </c>
      <c r="G80">
        <v>0</v>
      </c>
      <c r="H80" t="s">
        <v>36</v>
      </c>
      <c r="I80" t="s">
        <v>36</v>
      </c>
      <c r="J80" t="s">
        <v>36</v>
      </c>
      <c r="K80">
        <v>0.61</v>
      </c>
    </row>
    <row r="81" spans="2:11" x14ac:dyDescent="0.2">
      <c r="B81">
        <v>3076</v>
      </c>
      <c r="C81">
        <v>53</v>
      </c>
      <c r="D81" t="s">
        <v>38</v>
      </c>
      <c r="E81" t="s">
        <v>35</v>
      </c>
      <c r="F81">
        <v>5</v>
      </c>
      <c r="G81">
        <v>0</v>
      </c>
      <c r="H81" t="s">
        <v>36</v>
      </c>
      <c r="I81" t="s">
        <v>36</v>
      </c>
      <c r="J81" t="s">
        <v>36</v>
      </c>
      <c r="K81">
        <v>0.54500000000000004</v>
      </c>
    </row>
    <row r="82" spans="2:11" x14ac:dyDescent="0.2">
      <c r="B82">
        <v>3077</v>
      </c>
      <c r="C82">
        <v>55</v>
      </c>
      <c r="D82" t="s">
        <v>38</v>
      </c>
      <c r="E82" t="s">
        <v>37</v>
      </c>
      <c r="F82">
        <v>5</v>
      </c>
      <c r="G82">
        <v>0</v>
      </c>
      <c r="H82" t="s">
        <v>36</v>
      </c>
      <c r="I82" t="s">
        <v>36</v>
      </c>
      <c r="J82" t="s">
        <v>36</v>
      </c>
      <c r="K82">
        <v>0.50900000000000001</v>
      </c>
    </row>
    <row r="83" spans="2:11" x14ac:dyDescent="0.2">
      <c r="B83">
        <v>3078</v>
      </c>
      <c r="C83">
        <v>52</v>
      </c>
      <c r="D83" t="s">
        <v>38</v>
      </c>
      <c r="E83" t="s">
        <v>35</v>
      </c>
      <c r="F83">
        <v>5</v>
      </c>
      <c r="G83">
        <v>0</v>
      </c>
      <c r="H83" t="s">
        <v>36</v>
      </c>
      <c r="I83" t="s">
        <v>36</v>
      </c>
      <c r="J83" t="s">
        <v>36</v>
      </c>
      <c r="K83">
        <v>0.83</v>
      </c>
    </row>
    <row r="84" spans="2:11" x14ac:dyDescent="0.2">
      <c r="B84">
        <v>3079</v>
      </c>
      <c r="C84">
        <v>56</v>
      </c>
      <c r="D84" t="s">
        <v>38</v>
      </c>
      <c r="E84" t="s">
        <v>37</v>
      </c>
      <c r="F84">
        <v>5</v>
      </c>
      <c r="G84">
        <v>0</v>
      </c>
      <c r="H84" t="s">
        <v>36</v>
      </c>
      <c r="I84" t="s">
        <v>36</v>
      </c>
      <c r="J84" t="s">
        <v>36</v>
      </c>
      <c r="K84">
        <v>0.40500000000000003</v>
      </c>
    </row>
    <row r="85" spans="2:11" x14ac:dyDescent="0.2">
      <c r="B85">
        <v>3080</v>
      </c>
      <c r="C85">
        <v>68</v>
      </c>
      <c r="D85" t="s">
        <v>40</v>
      </c>
      <c r="E85" t="s">
        <v>35</v>
      </c>
      <c r="F85">
        <v>5</v>
      </c>
      <c r="G85">
        <v>0</v>
      </c>
      <c r="H85" t="s">
        <v>36</v>
      </c>
      <c r="I85" t="s">
        <v>36</v>
      </c>
      <c r="J85" t="s">
        <v>36</v>
      </c>
      <c r="K85">
        <v>0.378</v>
      </c>
    </row>
    <row r="86" spans="2:11" x14ac:dyDescent="0.2">
      <c r="B86">
        <v>3081</v>
      </c>
      <c r="C86">
        <v>72</v>
      </c>
      <c r="D86" t="s">
        <v>40</v>
      </c>
      <c r="E86" t="s">
        <v>37</v>
      </c>
      <c r="F86">
        <v>5</v>
      </c>
      <c r="G86">
        <v>0</v>
      </c>
      <c r="H86" t="s">
        <v>36</v>
      </c>
      <c r="I86" t="s">
        <v>36</v>
      </c>
      <c r="J86" t="s">
        <v>36</v>
      </c>
      <c r="K86">
        <v>0.41299999999999998</v>
      </c>
    </row>
    <row r="87" spans="2:11" x14ac:dyDescent="0.2">
      <c r="B87">
        <v>3082</v>
      </c>
      <c r="C87">
        <v>65</v>
      </c>
      <c r="D87" t="s">
        <v>40</v>
      </c>
      <c r="E87" t="s">
        <v>37</v>
      </c>
      <c r="F87">
        <v>5</v>
      </c>
      <c r="G87">
        <v>0</v>
      </c>
      <c r="H87" t="s">
        <v>36</v>
      </c>
      <c r="I87" t="s">
        <v>36</v>
      </c>
      <c r="J87" t="s">
        <v>36</v>
      </c>
      <c r="K87">
        <v>0.61399999999999999</v>
      </c>
    </row>
    <row r="88" spans="2:11" x14ac:dyDescent="0.2">
      <c r="B88">
        <v>3083</v>
      </c>
      <c r="C88">
        <v>72</v>
      </c>
      <c r="D88" t="s">
        <v>40</v>
      </c>
      <c r="E88" t="s">
        <v>35</v>
      </c>
      <c r="F88">
        <v>5</v>
      </c>
      <c r="G88">
        <v>0</v>
      </c>
      <c r="H88" t="s">
        <v>36</v>
      </c>
      <c r="I88" t="s">
        <v>36</v>
      </c>
      <c r="J88" t="s">
        <v>36</v>
      </c>
      <c r="K88">
        <v>0.41799999999999998</v>
      </c>
    </row>
    <row r="89" spans="2:11" x14ac:dyDescent="0.2">
      <c r="B89">
        <v>3084</v>
      </c>
      <c r="C89">
        <v>66</v>
      </c>
      <c r="D89" t="s">
        <v>40</v>
      </c>
      <c r="E89" t="s">
        <v>35</v>
      </c>
      <c r="F89">
        <v>5</v>
      </c>
      <c r="G89">
        <v>0</v>
      </c>
      <c r="H89" t="s">
        <v>36</v>
      </c>
      <c r="I89" t="s">
        <v>36</v>
      </c>
      <c r="J89" t="s">
        <v>36</v>
      </c>
      <c r="K89">
        <v>0.68300000000000005</v>
      </c>
    </row>
    <row r="90" spans="2:11" x14ac:dyDescent="0.2">
      <c r="B90">
        <v>3085</v>
      </c>
      <c r="C90">
        <v>76</v>
      </c>
      <c r="D90" t="s">
        <v>40</v>
      </c>
      <c r="E90" t="s">
        <v>37</v>
      </c>
      <c r="F90">
        <v>5</v>
      </c>
      <c r="G90">
        <v>0</v>
      </c>
      <c r="H90" t="s">
        <v>36</v>
      </c>
      <c r="I90" t="s">
        <v>36</v>
      </c>
      <c r="J90" t="s">
        <v>36</v>
      </c>
      <c r="K90">
        <v>0.505</v>
      </c>
    </row>
    <row r="91" spans="2:11" x14ac:dyDescent="0.2">
      <c r="B91">
        <v>3086</v>
      </c>
      <c r="C91">
        <v>68</v>
      </c>
      <c r="D91" t="s">
        <v>40</v>
      </c>
      <c r="E91" t="s">
        <v>35</v>
      </c>
      <c r="F91">
        <v>1</v>
      </c>
      <c r="G91">
        <v>2</v>
      </c>
      <c r="H91" t="s">
        <v>39</v>
      </c>
      <c r="I91" t="s">
        <v>39</v>
      </c>
      <c r="J91" t="s">
        <v>36</v>
      </c>
      <c r="K91">
        <v>0.57199999999999995</v>
      </c>
    </row>
    <row r="92" spans="2:11" x14ac:dyDescent="0.2">
      <c r="B92">
        <v>3087</v>
      </c>
      <c r="C92">
        <v>76</v>
      </c>
      <c r="D92" t="s">
        <v>40</v>
      </c>
      <c r="E92" t="s">
        <v>35</v>
      </c>
      <c r="F92">
        <v>1</v>
      </c>
      <c r="G92">
        <v>0</v>
      </c>
      <c r="H92" t="s">
        <v>39</v>
      </c>
      <c r="I92" t="s">
        <v>36</v>
      </c>
      <c r="J92" t="s">
        <v>39</v>
      </c>
      <c r="K92">
        <v>0.45100000000000001</v>
      </c>
    </row>
    <row r="93" spans="2:11" x14ac:dyDescent="0.2">
      <c r="B93">
        <v>3088</v>
      </c>
      <c r="C93">
        <v>65</v>
      </c>
      <c r="D93" t="s">
        <v>40</v>
      </c>
      <c r="E93" t="s">
        <v>37</v>
      </c>
      <c r="F93">
        <v>5</v>
      </c>
      <c r="G93">
        <v>0</v>
      </c>
      <c r="H93" t="s">
        <v>36</v>
      </c>
      <c r="I93" t="s">
        <v>36</v>
      </c>
      <c r="J93" t="s">
        <v>36</v>
      </c>
      <c r="K93">
        <v>0.56799999999999995</v>
      </c>
    </row>
    <row r="94" spans="2:11" x14ac:dyDescent="0.2">
      <c r="B94">
        <v>3089</v>
      </c>
      <c r="C94">
        <v>71</v>
      </c>
      <c r="D94" t="s">
        <v>40</v>
      </c>
      <c r="E94" t="s">
        <v>35</v>
      </c>
      <c r="F94">
        <v>3</v>
      </c>
      <c r="G94">
        <v>1</v>
      </c>
      <c r="H94" t="s">
        <v>39</v>
      </c>
      <c r="I94" t="s">
        <v>39</v>
      </c>
      <c r="J94" t="s">
        <v>36</v>
      </c>
      <c r="K94">
        <v>0.60099999999999998</v>
      </c>
    </row>
    <row r="95" spans="2:11" x14ac:dyDescent="0.2">
      <c r="B95">
        <v>3090</v>
      </c>
      <c r="C95">
        <v>79</v>
      </c>
      <c r="D95" t="s">
        <v>40</v>
      </c>
      <c r="E95" t="s">
        <v>37</v>
      </c>
      <c r="F95">
        <v>5</v>
      </c>
      <c r="G95">
        <v>0</v>
      </c>
      <c r="H95" t="s">
        <v>36</v>
      </c>
      <c r="I95" t="s">
        <v>36</v>
      </c>
      <c r="J95" t="s">
        <v>36</v>
      </c>
      <c r="K95">
        <v>0.41799999999999998</v>
      </c>
    </row>
    <row r="96" spans="2:11" x14ac:dyDescent="0.2">
      <c r="B96">
        <v>3091</v>
      </c>
      <c r="C96">
        <v>80</v>
      </c>
      <c r="D96" t="s">
        <v>40</v>
      </c>
      <c r="E96" t="s">
        <v>37</v>
      </c>
      <c r="F96">
        <v>5</v>
      </c>
      <c r="G96">
        <v>0</v>
      </c>
      <c r="H96" t="s">
        <v>36</v>
      </c>
      <c r="I96" t="s">
        <v>36</v>
      </c>
      <c r="J96" t="s">
        <v>36</v>
      </c>
      <c r="K96">
        <v>0.24399999999999999</v>
      </c>
    </row>
    <row r="97" spans="2:11" x14ac:dyDescent="0.2">
      <c r="B97">
        <v>3092</v>
      </c>
      <c r="C97">
        <v>77</v>
      </c>
      <c r="D97" t="s">
        <v>40</v>
      </c>
      <c r="E97" t="s">
        <v>37</v>
      </c>
      <c r="F97">
        <v>5</v>
      </c>
      <c r="G97">
        <v>0</v>
      </c>
      <c r="H97" t="s">
        <v>36</v>
      </c>
      <c r="I97" t="s">
        <v>36</v>
      </c>
      <c r="J97" t="s">
        <v>36</v>
      </c>
      <c r="K97">
        <v>0.14699999999999999</v>
      </c>
    </row>
    <row r="98" spans="2:11" x14ac:dyDescent="0.2">
      <c r="B98">
        <v>3093</v>
      </c>
      <c r="C98">
        <v>65</v>
      </c>
      <c r="D98" t="s">
        <v>40</v>
      </c>
      <c r="E98" t="s">
        <v>35</v>
      </c>
      <c r="F98">
        <v>5</v>
      </c>
      <c r="G98">
        <v>0</v>
      </c>
      <c r="H98" t="s">
        <v>36</v>
      </c>
      <c r="I98" t="s">
        <v>36</v>
      </c>
      <c r="J98" t="s">
        <v>36</v>
      </c>
      <c r="K98">
        <v>0.63600000000000001</v>
      </c>
    </row>
    <row r="99" spans="2:11" x14ac:dyDescent="0.2">
      <c r="B99">
        <v>3094</v>
      </c>
      <c r="C99">
        <v>65</v>
      </c>
      <c r="D99" t="s">
        <v>40</v>
      </c>
      <c r="E99" t="s">
        <v>37</v>
      </c>
      <c r="F99">
        <v>5</v>
      </c>
      <c r="G99">
        <v>0</v>
      </c>
      <c r="H99" t="s">
        <v>36</v>
      </c>
      <c r="I99" t="s">
        <v>36</v>
      </c>
      <c r="J99" t="s">
        <v>36</v>
      </c>
      <c r="K99">
        <v>0.23899999999999999</v>
      </c>
    </row>
    <row r="100" spans="2:11" x14ac:dyDescent="0.2">
      <c r="B100">
        <v>3095</v>
      </c>
      <c r="C100">
        <v>67</v>
      </c>
      <c r="D100" t="s">
        <v>40</v>
      </c>
      <c r="E100" t="s">
        <v>35</v>
      </c>
      <c r="F100">
        <v>3</v>
      </c>
      <c r="G100">
        <v>2</v>
      </c>
      <c r="H100" t="s">
        <v>39</v>
      </c>
      <c r="I100" t="s">
        <v>39</v>
      </c>
      <c r="J100" t="s">
        <v>36</v>
      </c>
      <c r="K100">
        <v>0.4</v>
      </c>
    </row>
    <row r="101" spans="2:11" x14ac:dyDescent="0.2">
      <c r="B101">
        <v>3096</v>
      </c>
      <c r="C101">
        <v>75</v>
      </c>
      <c r="D101" t="s">
        <v>40</v>
      </c>
      <c r="E101" t="s">
        <v>37</v>
      </c>
      <c r="F101">
        <v>5</v>
      </c>
      <c r="G101">
        <v>0</v>
      </c>
      <c r="H101" t="s">
        <v>36</v>
      </c>
      <c r="I101" t="s">
        <v>36</v>
      </c>
      <c r="J101" t="s">
        <v>36</v>
      </c>
      <c r="K101">
        <v>0.37</v>
      </c>
    </row>
    <row r="102" spans="2:11" x14ac:dyDescent="0.2">
      <c r="B102">
        <v>3097</v>
      </c>
      <c r="C102">
        <v>79</v>
      </c>
      <c r="D102" t="s">
        <v>40</v>
      </c>
      <c r="E102" t="s">
        <v>37</v>
      </c>
      <c r="F102">
        <v>5</v>
      </c>
      <c r="G102">
        <v>0</v>
      </c>
      <c r="H102" t="s">
        <v>36</v>
      </c>
      <c r="I102" t="s">
        <v>36</v>
      </c>
      <c r="J102" t="s">
        <v>36</v>
      </c>
      <c r="K102">
        <v>0.42499999999999999</v>
      </c>
    </row>
    <row r="103" spans="2:11" x14ac:dyDescent="0.2">
      <c r="B103">
        <v>3098</v>
      </c>
      <c r="C103">
        <v>65</v>
      </c>
      <c r="D103" t="s">
        <v>40</v>
      </c>
      <c r="E103" t="s">
        <v>35</v>
      </c>
      <c r="F103">
        <v>5</v>
      </c>
      <c r="G103">
        <v>0</v>
      </c>
      <c r="H103" t="s">
        <v>36</v>
      </c>
      <c r="I103" t="s">
        <v>36</v>
      </c>
      <c r="J103" t="s">
        <v>36</v>
      </c>
      <c r="K103">
        <v>0.67400000000000004</v>
      </c>
    </row>
    <row r="104" spans="2:11" x14ac:dyDescent="0.2">
      <c r="B104">
        <v>3099</v>
      </c>
      <c r="C104">
        <v>75</v>
      </c>
      <c r="D104" t="s">
        <v>40</v>
      </c>
      <c r="E104" t="s">
        <v>37</v>
      </c>
      <c r="F104">
        <v>5</v>
      </c>
      <c r="G104">
        <v>0</v>
      </c>
      <c r="H104" t="s">
        <v>36</v>
      </c>
      <c r="I104" t="s">
        <v>36</v>
      </c>
      <c r="J104" t="s">
        <v>36</v>
      </c>
      <c r="K104">
        <v>0.52700000000000002</v>
      </c>
    </row>
    <row r="105" spans="2:11" x14ac:dyDescent="0.2">
      <c r="B105">
        <v>3100</v>
      </c>
      <c r="C105">
        <v>76</v>
      </c>
      <c r="D105" t="s">
        <v>40</v>
      </c>
      <c r="E105" t="s">
        <v>35</v>
      </c>
      <c r="F105">
        <v>5</v>
      </c>
      <c r="G105">
        <v>0</v>
      </c>
      <c r="H105" t="s">
        <v>36</v>
      </c>
      <c r="I105" t="s">
        <v>36</v>
      </c>
      <c r="J105" t="s">
        <v>36</v>
      </c>
      <c r="K105">
        <v>0.60499999999999998</v>
      </c>
    </row>
    <row r="106" spans="2:11" x14ac:dyDescent="0.2">
      <c r="B106">
        <v>3101</v>
      </c>
      <c r="C106">
        <v>80</v>
      </c>
      <c r="D106" t="s">
        <v>40</v>
      </c>
      <c r="E106" t="s">
        <v>35</v>
      </c>
      <c r="F106">
        <v>3</v>
      </c>
      <c r="G106">
        <v>2</v>
      </c>
      <c r="H106" t="s">
        <v>39</v>
      </c>
      <c r="I106" t="s">
        <v>39</v>
      </c>
      <c r="J106" t="s">
        <v>36</v>
      </c>
      <c r="K106">
        <v>0.70599999999999996</v>
      </c>
    </row>
    <row r="107" spans="2:11" x14ac:dyDescent="0.2">
      <c r="B107">
        <v>3102</v>
      </c>
      <c r="C107">
        <v>70</v>
      </c>
      <c r="D107" t="s">
        <v>40</v>
      </c>
      <c r="E107" t="s">
        <v>35</v>
      </c>
      <c r="F107">
        <v>1</v>
      </c>
      <c r="G107">
        <v>0</v>
      </c>
      <c r="H107" t="s">
        <v>39</v>
      </c>
      <c r="I107" t="s">
        <v>36</v>
      </c>
      <c r="J107" t="s">
        <v>39</v>
      </c>
      <c r="K107">
        <v>0.40200000000000002</v>
      </c>
    </row>
    <row r="108" spans="2:11" x14ac:dyDescent="0.2">
      <c r="B108">
        <v>3103</v>
      </c>
      <c r="C108">
        <v>76</v>
      </c>
      <c r="D108" t="s">
        <v>40</v>
      </c>
      <c r="E108" t="s">
        <v>37</v>
      </c>
      <c r="F108">
        <v>5</v>
      </c>
      <c r="G108">
        <v>0</v>
      </c>
      <c r="H108" t="s">
        <v>36</v>
      </c>
      <c r="I108" t="s">
        <v>36</v>
      </c>
      <c r="J108" t="s">
        <v>36</v>
      </c>
      <c r="K108">
        <v>0.441</v>
      </c>
    </row>
    <row r="109" spans="2:11" x14ac:dyDescent="0.2">
      <c r="B109">
        <v>3104</v>
      </c>
      <c r="C109">
        <v>73</v>
      </c>
      <c r="D109" t="s">
        <v>40</v>
      </c>
      <c r="E109" t="s">
        <v>35</v>
      </c>
      <c r="F109">
        <v>5</v>
      </c>
      <c r="G109">
        <v>0</v>
      </c>
      <c r="H109" t="s">
        <v>36</v>
      </c>
      <c r="I109" t="s">
        <v>36</v>
      </c>
      <c r="J109" t="s">
        <v>36</v>
      </c>
      <c r="K109">
        <v>0.59</v>
      </c>
    </row>
    <row r="110" spans="2:11" x14ac:dyDescent="0.2">
      <c r="B110">
        <v>3105</v>
      </c>
      <c r="C110">
        <v>65</v>
      </c>
      <c r="D110" t="s">
        <v>40</v>
      </c>
      <c r="E110" t="s">
        <v>35</v>
      </c>
      <c r="F110">
        <v>1</v>
      </c>
      <c r="G110">
        <v>1</v>
      </c>
      <c r="H110" t="s">
        <v>39</v>
      </c>
      <c r="I110" t="s">
        <v>39</v>
      </c>
      <c r="J110" t="s">
        <v>36</v>
      </c>
      <c r="K110">
        <v>0.57899999999999996</v>
      </c>
    </row>
    <row r="111" spans="2:11" x14ac:dyDescent="0.2">
      <c r="B111">
        <v>3106</v>
      </c>
      <c r="C111">
        <v>78</v>
      </c>
      <c r="D111" t="s">
        <v>40</v>
      </c>
      <c r="E111" t="s">
        <v>35</v>
      </c>
      <c r="F111">
        <v>5</v>
      </c>
      <c r="G111">
        <v>0</v>
      </c>
      <c r="H111" t="s">
        <v>36</v>
      </c>
      <c r="I111" t="s">
        <v>36</v>
      </c>
      <c r="J111" t="s">
        <v>36</v>
      </c>
      <c r="K111">
        <v>0.42099999999999999</v>
      </c>
    </row>
    <row r="112" spans="2:11" x14ac:dyDescent="0.2">
      <c r="B112">
        <v>3107</v>
      </c>
      <c r="C112">
        <v>69</v>
      </c>
      <c r="D112" t="s">
        <v>40</v>
      </c>
      <c r="E112" t="s">
        <v>35</v>
      </c>
      <c r="F112">
        <v>2</v>
      </c>
      <c r="G112">
        <v>0</v>
      </c>
      <c r="H112" t="s">
        <v>39</v>
      </c>
      <c r="I112" t="s">
        <v>36</v>
      </c>
      <c r="J112" t="s">
        <v>39</v>
      </c>
      <c r="K112">
        <v>0.23899999999999999</v>
      </c>
    </row>
    <row r="113" spans="2:11" x14ac:dyDescent="0.2">
      <c r="B113">
        <v>3108</v>
      </c>
      <c r="C113">
        <v>70</v>
      </c>
      <c r="D113" t="s">
        <v>40</v>
      </c>
      <c r="E113" t="s">
        <v>35</v>
      </c>
      <c r="F113">
        <v>2</v>
      </c>
      <c r="G113">
        <v>0</v>
      </c>
      <c r="H113" t="s">
        <v>39</v>
      </c>
      <c r="I113" t="s">
        <v>36</v>
      </c>
      <c r="J113" t="s">
        <v>39</v>
      </c>
      <c r="K113">
        <v>0.51</v>
      </c>
    </row>
    <row r="114" spans="2:11" x14ac:dyDescent="0.2">
      <c r="B114">
        <v>3109</v>
      </c>
      <c r="C114">
        <v>77</v>
      </c>
      <c r="D114" t="s">
        <v>40</v>
      </c>
      <c r="E114" t="s">
        <v>35</v>
      </c>
      <c r="F114">
        <v>5</v>
      </c>
      <c r="G114">
        <v>0</v>
      </c>
      <c r="H114" t="s">
        <v>36</v>
      </c>
      <c r="I114" t="s">
        <v>36</v>
      </c>
      <c r="J114" t="s">
        <v>36</v>
      </c>
      <c r="K114">
        <v>0.47199999999999998</v>
      </c>
    </row>
    <row r="115" spans="2:11" x14ac:dyDescent="0.2">
      <c r="B115">
        <v>3110</v>
      </c>
      <c r="C115">
        <v>76</v>
      </c>
      <c r="D115" t="s">
        <v>40</v>
      </c>
      <c r="E115" t="s">
        <v>35</v>
      </c>
      <c r="F115">
        <v>5</v>
      </c>
      <c r="G115">
        <v>0</v>
      </c>
      <c r="H115" t="s">
        <v>36</v>
      </c>
      <c r="I115" t="s">
        <v>36</v>
      </c>
      <c r="J115" t="s">
        <v>36</v>
      </c>
      <c r="K115">
        <v>0.47899999999999998</v>
      </c>
    </row>
    <row r="116" spans="2:11" x14ac:dyDescent="0.2">
      <c r="B116">
        <v>3111</v>
      </c>
      <c r="C116">
        <v>66</v>
      </c>
      <c r="D116" t="s">
        <v>40</v>
      </c>
      <c r="E116" t="s">
        <v>37</v>
      </c>
      <c r="F116">
        <v>1</v>
      </c>
      <c r="G116">
        <v>1</v>
      </c>
      <c r="H116" t="s">
        <v>39</v>
      </c>
      <c r="I116" t="s">
        <v>39</v>
      </c>
      <c r="J116" t="s">
        <v>36</v>
      </c>
      <c r="K116">
        <v>0.42799999999999999</v>
      </c>
    </row>
    <row r="117" spans="2:11" x14ac:dyDescent="0.2">
      <c r="B117">
        <v>3112</v>
      </c>
      <c r="C117">
        <v>74</v>
      </c>
      <c r="D117" t="s">
        <v>40</v>
      </c>
      <c r="E117" t="s">
        <v>37</v>
      </c>
      <c r="F117">
        <v>2</v>
      </c>
      <c r="G117">
        <v>0</v>
      </c>
      <c r="H117" t="s">
        <v>39</v>
      </c>
      <c r="I117" t="s">
        <v>36</v>
      </c>
      <c r="J117" t="s">
        <v>39</v>
      </c>
      <c r="K117">
        <v>0.14599999999999999</v>
      </c>
    </row>
    <row r="118" spans="2:11" x14ac:dyDescent="0.2">
      <c r="B118">
        <v>3113</v>
      </c>
      <c r="C118">
        <v>78</v>
      </c>
      <c r="D118" t="s">
        <v>40</v>
      </c>
      <c r="E118" t="s">
        <v>37</v>
      </c>
      <c r="F118">
        <v>5</v>
      </c>
      <c r="G118">
        <v>0</v>
      </c>
      <c r="H118" t="s">
        <v>36</v>
      </c>
      <c r="I118" t="s">
        <v>36</v>
      </c>
      <c r="J118" t="s">
        <v>36</v>
      </c>
      <c r="K118">
        <v>0.56999999999999995</v>
      </c>
    </row>
    <row r="119" spans="2:11" x14ac:dyDescent="0.2">
      <c r="B119">
        <v>3114</v>
      </c>
      <c r="C119">
        <v>66</v>
      </c>
      <c r="D119" t="s">
        <v>40</v>
      </c>
      <c r="E119" t="s">
        <v>37</v>
      </c>
      <c r="F119">
        <v>2</v>
      </c>
      <c r="G119">
        <v>2</v>
      </c>
      <c r="H119" t="s">
        <v>39</v>
      </c>
      <c r="I119" t="s">
        <v>39</v>
      </c>
      <c r="J119" t="s">
        <v>36</v>
      </c>
      <c r="K119">
        <v>0.81299999999999994</v>
      </c>
    </row>
    <row r="120" spans="2:11" x14ac:dyDescent="0.2">
      <c r="B120">
        <v>3115</v>
      </c>
      <c r="C120">
        <v>65</v>
      </c>
      <c r="D120" t="s">
        <v>40</v>
      </c>
      <c r="E120" t="s">
        <v>37</v>
      </c>
      <c r="F120">
        <v>2</v>
      </c>
      <c r="G120">
        <v>1</v>
      </c>
      <c r="H120" t="s">
        <v>39</v>
      </c>
      <c r="I120" t="s">
        <v>39</v>
      </c>
      <c r="J120" t="s">
        <v>36</v>
      </c>
      <c r="K120">
        <v>0.254</v>
      </c>
    </row>
    <row r="121" spans="2:11" x14ac:dyDescent="0.2">
      <c r="B121">
        <v>3116</v>
      </c>
      <c r="C121">
        <v>71</v>
      </c>
      <c r="D121" t="s">
        <v>40</v>
      </c>
      <c r="E121" t="s">
        <v>35</v>
      </c>
      <c r="F121">
        <v>3</v>
      </c>
      <c r="G121">
        <v>0</v>
      </c>
      <c r="H121" t="s">
        <v>39</v>
      </c>
      <c r="I121" t="s">
        <v>36</v>
      </c>
      <c r="J121" t="s">
        <v>39</v>
      </c>
      <c r="K121">
        <v>0.745</v>
      </c>
    </row>
    <row r="122" spans="2:11" x14ac:dyDescent="0.2">
      <c r="B122">
        <v>3117</v>
      </c>
      <c r="C122">
        <v>77</v>
      </c>
      <c r="D122" t="s">
        <v>40</v>
      </c>
      <c r="E122" t="s">
        <v>35</v>
      </c>
      <c r="F122">
        <v>1</v>
      </c>
      <c r="G122">
        <v>1</v>
      </c>
      <c r="H122" t="s">
        <v>39</v>
      </c>
      <c r="I122" t="s">
        <v>39</v>
      </c>
      <c r="J122" t="s">
        <v>36</v>
      </c>
      <c r="K122">
        <v>0.30099999999999999</v>
      </c>
    </row>
    <row r="123" spans="2:11" x14ac:dyDescent="0.2">
      <c r="B123">
        <v>3118</v>
      </c>
      <c r="C123">
        <v>67</v>
      </c>
      <c r="D123" t="s">
        <v>40</v>
      </c>
      <c r="E123" t="s">
        <v>35</v>
      </c>
      <c r="F123">
        <v>5</v>
      </c>
      <c r="G123">
        <v>0</v>
      </c>
      <c r="H123" t="s">
        <v>36</v>
      </c>
      <c r="I123" t="s">
        <v>36</v>
      </c>
      <c r="J123" t="s">
        <v>36</v>
      </c>
      <c r="K123">
        <v>0.59499999999999997</v>
      </c>
    </row>
    <row r="124" spans="2:11" x14ac:dyDescent="0.2">
      <c r="B124">
        <v>3119</v>
      </c>
      <c r="C124">
        <v>79</v>
      </c>
      <c r="D124" t="s">
        <v>40</v>
      </c>
      <c r="E124" t="s">
        <v>35</v>
      </c>
      <c r="F124">
        <v>5</v>
      </c>
      <c r="G124">
        <v>0</v>
      </c>
      <c r="H124" t="s">
        <v>36</v>
      </c>
      <c r="I124" t="s">
        <v>36</v>
      </c>
      <c r="J124" t="s">
        <v>36</v>
      </c>
      <c r="K124">
        <v>0.74199999999999999</v>
      </c>
    </row>
    <row r="125" spans="2:11" x14ac:dyDescent="0.2">
      <c r="B125">
        <v>3120</v>
      </c>
      <c r="C125">
        <v>77</v>
      </c>
      <c r="D125" t="s">
        <v>40</v>
      </c>
      <c r="E125" t="s">
        <v>35</v>
      </c>
      <c r="F125">
        <v>1</v>
      </c>
      <c r="G125">
        <v>1</v>
      </c>
      <c r="H125" t="s">
        <v>39</v>
      </c>
      <c r="I125" t="s">
        <v>39</v>
      </c>
      <c r="J125" t="s">
        <v>36</v>
      </c>
      <c r="K125">
        <v>0.35399999999999998</v>
      </c>
    </row>
  </sheetData>
  <autoFilter ref="B5:K1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559"/>
  <sheetViews>
    <sheetView showGridLines="0" zoomScaleNormal="100" workbookViewId="0">
      <pane ySplit="5" topLeftCell="A6" activePane="bottomLeft" state="frozen"/>
      <selection pane="bottomLeft" activeCell="C5" sqref="C5"/>
    </sheetView>
  </sheetViews>
  <sheetFormatPr defaultColWidth="8.7421875" defaultRowHeight="15" x14ac:dyDescent="0.2"/>
  <cols>
    <col min="2" max="2" width="13.046875" customWidth="1"/>
    <col min="3" max="3" width="9.953125" customWidth="1"/>
    <col min="4" max="4" width="11.97265625" customWidth="1"/>
    <col min="5" max="5" width="11.02734375" customWidth="1"/>
    <col min="6" max="6" width="9.953125" customWidth="1"/>
    <col min="7" max="7" width="6.9921875" customWidth="1"/>
    <col min="8" max="8" width="11.97265625" customWidth="1"/>
    <col min="9" max="9" width="9.953125" customWidth="1"/>
    <col min="10" max="10" width="13.98828125" customWidth="1"/>
    <col min="11" max="11" width="9.953125" customWidth="1"/>
    <col min="12" max="12" width="11.02734375" customWidth="1"/>
    <col min="13" max="13" width="13.98828125" customWidth="1"/>
    <col min="14" max="14" width="7.93359375" customWidth="1"/>
    <col min="15" max="15" width="13.046875" customWidth="1"/>
    <col min="16" max="16" width="52.05859375" customWidth="1"/>
    <col min="17" max="17" width="16.0078125" customWidth="1"/>
  </cols>
  <sheetData>
    <row r="2" spans="2:17" ht="30" customHeight="1" x14ac:dyDescent="0.25">
      <c r="B2" s="8" t="s">
        <v>41</v>
      </c>
    </row>
    <row r="3" spans="2:17" ht="15.75" customHeight="1" x14ac:dyDescent="0.2">
      <c r="B3" s="9" t="s">
        <v>42</v>
      </c>
    </row>
    <row r="5" spans="2:17" x14ac:dyDescent="0.2">
      <c r="B5" s="10" t="s">
        <v>24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 t="s">
        <v>49</v>
      </c>
      <c r="J5" s="10" t="s">
        <v>50</v>
      </c>
      <c r="K5" s="10" t="s">
        <v>51</v>
      </c>
      <c r="L5" s="10" t="s">
        <v>52</v>
      </c>
      <c r="M5" s="10" t="s">
        <v>53</v>
      </c>
      <c r="N5" s="10" t="s">
        <v>54</v>
      </c>
      <c r="O5" s="10" t="s">
        <v>55</v>
      </c>
      <c r="P5" s="10" t="s">
        <v>56</v>
      </c>
      <c r="Q5" s="11" t="s">
        <v>57</v>
      </c>
    </row>
    <row r="6" spans="2:17" x14ac:dyDescent="0.2">
      <c r="B6">
        <v>3001</v>
      </c>
      <c r="C6">
        <v>1</v>
      </c>
      <c r="D6" t="s">
        <v>58</v>
      </c>
      <c r="E6">
        <v>0.35</v>
      </c>
      <c r="F6">
        <v>200</v>
      </c>
      <c r="G6">
        <v>5</v>
      </c>
      <c r="H6">
        <v>2</v>
      </c>
      <c r="I6">
        <v>0</v>
      </c>
      <c r="J6">
        <v>60.8</v>
      </c>
      <c r="K6">
        <v>10.8</v>
      </c>
      <c r="L6">
        <v>0.45</v>
      </c>
      <c r="M6" t="s">
        <v>36</v>
      </c>
      <c r="N6">
        <v>300</v>
      </c>
      <c r="P6" t="s">
        <v>59</v>
      </c>
      <c r="Q6" t="str">
        <f>VLOOKUP(B6,'Player Register'!$B$6:$D$125,3,FALSE())</f>
        <v>25–44</v>
      </c>
    </row>
    <row r="7" spans="2:17" x14ac:dyDescent="0.2">
      <c r="B7">
        <v>3001</v>
      </c>
      <c r="C7">
        <v>2</v>
      </c>
      <c r="D7" t="s">
        <v>60</v>
      </c>
      <c r="E7">
        <v>0.31</v>
      </c>
      <c r="F7">
        <v>200</v>
      </c>
      <c r="G7">
        <v>4</v>
      </c>
      <c r="H7">
        <v>1</v>
      </c>
      <c r="I7">
        <v>0</v>
      </c>
      <c r="J7">
        <v>61.1</v>
      </c>
      <c r="K7">
        <v>10.8</v>
      </c>
      <c r="L7">
        <v>0.6</v>
      </c>
      <c r="M7" t="s">
        <v>36</v>
      </c>
      <c r="N7">
        <v>290</v>
      </c>
      <c r="P7" t="s">
        <v>61</v>
      </c>
      <c r="Q7" t="str">
        <f>VLOOKUP(B7,'Player Register'!$B$6:$D$125,3,FALSE())</f>
        <v>25–44</v>
      </c>
    </row>
    <row r="8" spans="2:17" x14ac:dyDescent="0.2">
      <c r="B8">
        <v>3001</v>
      </c>
      <c r="C8">
        <v>3</v>
      </c>
      <c r="D8" t="s">
        <v>62</v>
      </c>
      <c r="E8">
        <v>0.31</v>
      </c>
      <c r="F8">
        <v>200</v>
      </c>
      <c r="G8">
        <v>7</v>
      </c>
      <c r="H8">
        <v>2</v>
      </c>
      <c r="I8">
        <v>0</v>
      </c>
      <c r="J8">
        <v>62.4</v>
      </c>
      <c r="K8">
        <v>10.8</v>
      </c>
      <c r="L8">
        <v>0.6</v>
      </c>
      <c r="M8" t="s">
        <v>36</v>
      </c>
      <c r="N8">
        <v>320</v>
      </c>
      <c r="P8" t="s">
        <v>59</v>
      </c>
      <c r="Q8" t="str">
        <f>VLOOKUP(B8,'Player Register'!$B$6:$D$125,3,FALSE())</f>
        <v>25–44</v>
      </c>
    </row>
    <row r="9" spans="2:17" x14ac:dyDescent="0.2">
      <c r="B9">
        <v>3001</v>
      </c>
      <c r="C9">
        <v>4</v>
      </c>
      <c r="D9" t="s">
        <v>63</v>
      </c>
      <c r="E9">
        <v>0.31</v>
      </c>
      <c r="F9">
        <v>200</v>
      </c>
      <c r="G9">
        <v>7</v>
      </c>
      <c r="H9">
        <v>3</v>
      </c>
      <c r="I9">
        <v>0</v>
      </c>
      <c r="J9">
        <v>57.4</v>
      </c>
      <c r="K9">
        <v>10.8</v>
      </c>
      <c r="L9">
        <v>0.45</v>
      </c>
      <c r="M9" t="s">
        <v>36</v>
      </c>
      <c r="N9">
        <v>320</v>
      </c>
      <c r="P9" t="s">
        <v>64</v>
      </c>
      <c r="Q9" t="str">
        <f>VLOOKUP(B9,'Player Register'!$B$6:$D$125,3,FALSE())</f>
        <v>25–44</v>
      </c>
    </row>
    <row r="10" spans="2:17" x14ac:dyDescent="0.2">
      <c r="B10">
        <v>3001</v>
      </c>
      <c r="C10">
        <v>5</v>
      </c>
      <c r="D10" t="s">
        <v>65</v>
      </c>
      <c r="E10">
        <v>0.35</v>
      </c>
      <c r="F10">
        <v>200</v>
      </c>
      <c r="G10">
        <v>13</v>
      </c>
      <c r="H10">
        <v>2</v>
      </c>
      <c r="I10">
        <v>0</v>
      </c>
      <c r="J10">
        <v>42.6</v>
      </c>
      <c r="K10">
        <v>10.8</v>
      </c>
      <c r="L10">
        <v>0.45</v>
      </c>
      <c r="M10" t="s">
        <v>36</v>
      </c>
      <c r="N10">
        <v>380</v>
      </c>
      <c r="P10" t="s">
        <v>59</v>
      </c>
      <c r="Q10" t="str">
        <f>VLOOKUP(B10,'Player Register'!$B$6:$D$125,3,FALSE())</f>
        <v>25–44</v>
      </c>
    </row>
    <row r="11" spans="2:17" x14ac:dyDescent="0.2">
      <c r="B11">
        <v>3002</v>
      </c>
      <c r="C11">
        <v>1</v>
      </c>
      <c r="D11" t="s">
        <v>66</v>
      </c>
      <c r="E11">
        <v>0.31</v>
      </c>
      <c r="F11">
        <v>200</v>
      </c>
      <c r="G11">
        <v>11</v>
      </c>
      <c r="H11">
        <v>2</v>
      </c>
      <c r="I11">
        <v>0</v>
      </c>
      <c r="J11">
        <v>64.400000000000006</v>
      </c>
      <c r="K11">
        <v>10.8</v>
      </c>
      <c r="L11">
        <v>0.6</v>
      </c>
      <c r="M11" t="s">
        <v>36</v>
      </c>
      <c r="N11">
        <v>360</v>
      </c>
      <c r="P11" t="s">
        <v>59</v>
      </c>
      <c r="Q11" t="str">
        <f>VLOOKUP(B11,'Player Register'!$B$6:$D$125,3,FALSE())</f>
        <v>25–44</v>
      </c>
    </row>
    <row r="12" spans="2:17" x14ac:dyDescent="0.2">
      <c r="B12">
        <v>3002</v>
      </c>
      <c r="C12">
        <v>2</v>
      </c>
      <c r="D12" t="s">
        <v>67</v>
      </c>
      <c r="E12">
        <v>0.28999999999999998</v>
      </c>
      <c r="F12">
        <v>200</v>
      </c>
      <c r="G12">
        <v>10</v>
      </c>
      <c r="H12">
        <v>0</v>
      </c>
      <c r="I12">
        <v>0</v>
      </c>
      <c r="J12">
        <v>79.2</v>
      </c>
      <c r="K12">
        <v>12.6</v>
      </c>
      <c r="L12">
        <v>0.7</v>
      </c>
      <c r="M12" t="s">
        <v>36</v>
      </c>
      <c r="N12">
        <v>350</v>
      </c>
      <c r="P12" t="s">
        <v>68</v>
      </c>
      <c r="Q12" t="str">
        <f>VLOOKUP(B12,'Player Register'!$B$6:$D$125,3,FALSE())</f>
        <v>25–44</v>
      </c>
    </row>
    <row r="13" spans="2:17" x14ac:dyDescent="0.2">
      <c r="B13">
        <v>3002</v>
      </c>
      <c r="C13">
        <v>3</v>
      </c>
      <c r="D13" t="s">
        <v>69</v>
      </c>
      <c r="E13">
        <v>0.28999999999999998</v>
      </c>
      <c r="F13">
        <v>200</v>
      </c>
      <c r="G13">
        <v>7</v>
      </c>
      <c r="H13">
        <v>2</v>
      </c>
      <c r="I13">
        <v>0</v>
      </c>
      <c r="J13">
        <v>72.3</v>
      </c>
      <c r="K13">
        <v>12.6</v>
      </c>
      <c r="L13">
        <v>0.7</v>
      </c>
      <c r="M13" t="s">
        <v>36</v>
      </c>
      <c r="N13">
        <v>320</v>
      </c>
      <c r="P13" t="s">
        <v>61</v>
      </c>
      <c r="Q13" t="str">
        <f>VLOOKUP(B13,'Player Register'!$B$6:$D$125,3,FALSE())</f>
        <v>25–44</v>
      </c>
    </row>
    <row r="14" spans="2:17" x14ac:dyDescent="0.2">
      <c r="B14">
        <v>3002</v>
      </c>
      <c r="C14">
        <v>4</v>
      </c>
      <c r="D14" t="s">
        <v>58</v>
      </c>
      <c r="E14">
        <v>0.34</v>
      </c>
      <c r="F14">
        <v>200</v>
      </c>
      <c r="G14">
        <v>9</v>
      </c>
      <c r="H14">
        <v>2</v>
      </c>
      <c r="I14">
        <v>0</v>
      </c>
      <c r="J14">
        <v>51.3</v>
      </c>
      <c r="K14">
        <v>10.8</v>
      </c>
      <c r="L14">
        <v>0.55000000000000004</v>
      </c>
      <c r="M14" t="s">
        <v>36</v>
      </c>
      <c r="N14">
        <v>340</v>
      </c>
      <c r="P14" t="s">
        <v>59</v>
      </c>
      <c r="Q14" t="str">
        <f>VLOOKUP(B14,'Player Register'!$B$6:$D$125,3,FALSE())</f>
        <v>25–44</v>
      </c>
    </row>
    <row r="15" spans="2:17" x14ac:dyDescent="0.2">
      <c r="B15">
        <v>3002</v>
      </c>
      <c r="C15">
        <v>5</v>
      </c>
      <c r="D15" t="s">
        <v>62</v>
      </c>
      <c r="E15">
        <v>0.31</v>
      </c>
      <c r="F15">
        <v>200</v>
      </c>
      <c r="G15">
        <v>11</v>
      </c>
      <c r="H15">
        <v>4</v>
      </c>
      <c r="I15">
        <v>0</v>
      </c>
      <c r="J15">
        <v>61</v>
      </c>
      <c r="K15">
        <v>10.8</v>
      </c>
      <c r="L15">
        <v>0.45</v>
      </c>
      <c r="M15" t="s">
        <v>36</v>
      </c>
      <c r="N15">
        <v>360</v>
      </c>
      <c r="P15" t="s">
        <v>70</v>
      </c>
      <c r="Q15" t="str">
        <f>VLOOKUP(B15,'Player Register'!$B$6:$D$125,3,FALSE())</f>
        <v>25–44</v>
      </c>
    </row>
    <row r="16" spans="2:17" x14ac:dyDescent="0.2">
      <c r="B16">
        <v>3003</v>
      </c>
      <c r="C16">
        <v>1</v>
      </c>
      <c r="D16" t="s">
        <v>71</v>
      </c>
      <c r="E16">
        <v>0.31</v>
      </c>
      <c r="F16">
        <v>201</v>
      </c>
      <c r="G16">
        <v>14</v>
      </c>
      <c r="H16">
        <v>1</v>
      </c>
      <c r="I16">
        <v>0</v>
      </c>
      <c r="J16">
        <v>53.4</v>
      </c>
      <c r="K16">
        <v>12.6</v>
      </c>
      <c r="L16">
        <v>0.7</v>
      </c>
      <c r="M16" t="s">
        <v>36</v>
      </c>
      <c r="N16">
        <v>391</v>
      </c>
      <c r="P16" t="s">
        <v>61</v>
      </c>
      <c r="Q16" t="str">
        <f>VLOOKUP(B16,'Player Register'!$B$6:$D$125,3,FALSE())</f>
        <v>25–44</v>
      </c>
    </row>
    <row r="17" spans="2:17" x14ac:dyDescent="0.2">
      <c r="B17">
        <v>3003</v>
      </c>
      <c r="C17">
        <v>2</v>
      </c>
      <c r="D17" t="s">
        <v>72</v>
      </c>
      <c r="E17">
        <v>0.31</v>
      </c>
      <c r="F17">
        <v>200</v>
      </c>
      <c r="G17">
        <v>10</v>
      </c>
      <c r="H17">
        <v>2</v>
      </c>
      <c r="I17">
        <v>0</v>
      </c>
      <c r="J17">
        <v>59.1</v>
      </c>
      <c r="K17">
        <v>10.8</v>
      </c>
      <c r="L17">
        <v>0.6</v>
      </c>
      <c r="M17" t="s">
        <v>36</v>
      </c>
      <c r="N17">
        <v>350</v>
      </c>
      <c r="P17" t="s">
        <v>59</v>
      </c>
      <c r="Q17" t="str">
        <f>VLOOKUP(B17,'Player Register'!$B$6:$D$125,3,FALSE())</f>
        <v>25–44</v>
      </c>
    </row>
    <row r="18" spans="2:17" x14ac:dyDescent="0.2">
      <c r="B18">
        <v>3003</v>
      </c>
      <c r="C18">
        <v>3</v>
      </c>
      <c r="D18" t="s">
        <v>65</v>
      </c>
      <c r="E18">
        <v>0.28999999999999998</v>
      </c>
      <c r="F18">
        <v>200</v>
      </c>
      <c r="G18">
        <v>8</v>
      </c>
      <c r="H18">
        <v>1</v>
      </c>
      <c r="I18">
        <v>0</v>
      </c>
      <c r="J18">
        <v>73.400000000000006</v>
      </c>
      <c r="K18">
        <v>12.6</v>
      </c>
      <c r="L18">
        <v>0.7</v>
      </c>
      <c r="M18" t="s">
        <v>36</v>
      </c>
      <c r="N18">
        <v>330</v>
      </c>
      <c r="P18" t="s">
        <v>73</v>
      </c>
      <c r="Q18" t="str">
        <f>VLOOKUP(B18,'Player Register'!$B$6:$D$125,3,FALSE())</f>
        <v>25–44</v>
      </c>
    </row>
    <row r="19" spans="2:17" x14ac:dyDescent="0.2">
      <c r="B19">
        <v>3003</v>
      </c>
      <c r="C19">
        <v>4</v>
      </c>
      <c r="D19" t="s">
        <v>74</v>
      </c>
      <c r="E19">
        <v>0.31</v>
      </c>
      <c r="F19">
        <v>200</v>
      </c>
      <c r="G19">
        <v>11</v>
      </c>
      <c r="H19">
        <v>0</v>
      </c>
      <c r="I19">
        <v>0</v>
      </c>
      <c r="J19">
        <v>60.9</v>
      </c>
      <c r="K19">
        <v>10.8</v>
      </c>
      <c r="L19">
        <v>0.6</v>
      </c>
      <c r="M19" t="s">
        <v>36</v>
      </c>
      <c r="N19">
        <v>360</v>
      </c>
      <c r="P19" t="s">
        <v>73</v>
      </c>
      <c r="Q19" t="str">
        <f>VLOOKUP(B19,'Player Register'!$B$6:$D$125,3,FALSE())</f>
        <v>25–44</v>
      </c>
    </row>
    <row r="20" spans="2:17" x14ac:dyDescent="0.2">
      <c r="B20">
        <v>3003</v>
      </c>
      <c r="C20">
        <v>5</v>
      </c>
      <c r="D20" t="s">
        <v>75</v>
      </c>
      <c r="E20">
        <v>0.28999999999999998</v>
      </c>
      <c r="F20">
        <v>200</v>
      </c>
      <c r="G20">
        <v>6</v>
      </c>
      <c r="H20">
        <v>0</v>
      </c>
      <c r="I20">
        <v>0</v>
      </c>
      <c r="J20">
        <v>65.2</v>
      </c>
      <c r="K20">
        <v>12.6</v>
      </c>
      <c r="L20">
        <v>0.7</v>
      </c>
      <c r="M20" t="s">
        <v>36</v>
      </c>
      <c r="N20">
        <v>310</v>
      </c>
      <c r="P20" t="s">
        <v>68</v>
      </c>
      <c r="Q20" t="str">
        <f>VLOOKUP(B20,'Player Register'!$B$6:$D$125,3,FALSE())</f>
        <v>25–44</v>
      </c>
    </row>
    <row r="21" spans="2:17" x14ac:dyDescent="0.2">
      <c r="B21">
        <v>3004</v>
      </c>
      <c r="C21">
        <v>1</v>
      </c>
      <c r="D21" t="s">
        <v>76</v>
      </c>
      <c r="E21">
        <v>0.28999999999999998</v>
      </c>
      <c r="F21">
        <v>200</v>
      </c>
      <c r="G21">
        <v>12</v>
      </c>
      <c r="H21">
        <v>0</v>
      </c>
      <c r="I21">
        <v>0</v>
      </c>
      <c r="J21">
        <v>67.8</v>
      </c>
      <c r="K21">
        <v>12.6</v>
      </c>
      <c r="L21">
        <v>0.7</v>
      </c>
      <c r="M21" t="s">
        <v>36</v>
      </c>
      <c r="N21">
        <v>370</v>
      </c>
      <c r="P21" t="s">
        <v>68</v>
      </c>
      <c r="Q21" t="str">
        <f>VLOOKUP(B21,'Player Register'!$B$6:$D$125,3,FALSE())</f>
        <v>25–44</v>
      </c>
    </row>
    <row r="22" spans="2:17" x14ac:dyDescent="0.2">
      <c r="B22">
        <v>3004</v>
      </c>
      <c r="C22">
        <v>2</v>
      </c>
      <c r="D22" t="s">
        <v>77</v>
      </c>
      <c r="E22">
        <v>0.31</v>
      </c>
      <c r="F22">
        <v>200</v>
      </c>
      <c r="G22">
        <v>11</v>
      </c>
      <c r="H22">
        <v>1</v>
      </c>
      <c r="I22">
        <v>0</v>
      </c>
      <c r="J22">
        <v>58.1</v>
      </c>
      <c r="K22">
        <v>10.8</v>
      </c>
      <c r="L22">
        <v>0.6</v>
      </c>
      <c r="M22" t="s">
        <v>36</v>
      </c>
      <c r="N22">
        <v>360</v>
      </c>
      <c r="P22" t="s">
        <v>61</v>
      </c>
      <c r="Q22" t="str">
        <f>VLOOKUP(B22,'Player Register'!$B$6:$D$125,3,FALSE())</f>
        <v>25–44</v>
      </c>
    </row>
    <row r="23" spans="2:17" x14ac:dyDescent="0.2">
      <c r="B23">
        <v>3004</v>
      </c>
      <c r="C23">
        <v>3</v>
      </c>
      <c r="D23" t="s">
        <v>78</v>
      </c>
      <c r="E23">
        <v>0.31</v>
      </c>
      <c r="F23">
        <v>200</v>
      </c>
      <c r="G23">
        <v>11</v>
      </c>
      <c r="H23">
        <v>1</v>
      </c>
      <c r="I23">
        <v>0</v>
      </c>
      <c r="J23">
        <v>54.9</v>
      </c>
      <c r="K23">
        <v>10.8</v>
      </c>
      <c r="L23">
        <v>0.6</v>
      </c>
      <c r="M23" t="s">
        <v>36</v>
      </c>
      <c r="N23">
        <v>360</v>
      </c>
      <c r="P23" t="s">
        <v>61</v>
      </c>
      <c r="Q23" t="str">
        <f>VLOOKUP(B23,'Player Register'!$B$6:$D$125,3,FALSE())</f>
        <v>25–44</v>
      </c>
    </row>
    <row r="24" spans="2:17" x14ac:dyDescent="0.2">
      <c r="B24">
        <v>3004</v>
      </c>
      <c r="C24">
        <v>4</v>
      </c>
      <c r="D24" t="s">
        <v>79</v>
      </c>
      <c r="E24">
        <v>0.35</v>
      </c>
      <c r="F24">
        <v>200</v>
      </c>
      <c r="G24">
        <v>4</v>
      </c>
      <c r="H24">
        <v>3</v>
      </c>
      <c r="I24">
        <v>0</v>
      </c>
      <c r="J24">
        <v>41.5</v>
      </c>
      <c r="K24">
        <v>10.8</v>
      </c>
      <c r="L24">
        <v>0.45</v>
      </c>
      <c r="M24" t="s">
        <v>36</v>
      </c>
      <c r="N24">
        <v>290</v>
      </c>
      <c r="P24" t="s">
        <v>64</v>
      </c>
      <c r="Q24" t="str">
        <f>VLOOKUP(B24,'Player Register'!$B$6:$D$125,3,FALSE())</f>
        <v>25–44</v>
      </c>
    </row>
    <row r="25" spans="2:17" x14ac:dyDescent="0.2">
      <c r="B25">
        <v>3004</v>
      </c>
      <c r="C25">
        <v>5</v>
      </c>
      <c r="D25" t="s">
        <v>58</v>
      </c>
      <c r="E25">
        <v>0.31</v>
      </c>
      <c r="F25">
        <v>200</v>
      </c>
      <c r="G25">
        <v>5</v>
      </c>
      <c r="H25">
        <v>2</v>
      </c>
      <c r="I25">
        <v>0</v>
      </c>
      <c r="J25">
        <v>47.6</v>
      </c>
      <c r="K25">
        <v>10.8</v>
      </c>
      <c r="L25">
        <v>0.6</v>
      </c>
      <c r="M25" t="s">
        <v>36</v>
      </c>
      <c r="N25">
        <v>300</v>
      </c>
      <c r="P25" t="s">
        <v>59</v>
      </c>
      <c r="Q25" t="str">
        <f>VLOOKUP(B25,'Player Register'!$B$6:$D$125,3,FALSE())</f>
        <v>25–44</v>
      </c>
    </row>
    <row r="26" spans="2:17" x14ac:dyDescent="0.2">
      <c r="B26">
        <v>3005</v>
      </c>
      <c r="C26">
        <v>1</v>
      </c>
      <c r="D26" t="s">
        <v>80</v>
      </c>
      <c r="E26">
        <v>0.31</v>
      </c>
      <c r="F26">
        <v>200</v>
      </c>
      <c r="G26">
        <v>9</v>
      </c>
      <c r="H26">
        <v>3</v>
      </c>
      <c r="I26">
        <v>0</v>
      </c>
      <c r="J26">
        <v>68.099999999999994</v>
      </c>
      <c r="K26">
        <v>10.8</v>
      </c>
      <c r="L26">
        <v>0.45</v>
      </c>
      <c r="M26" t="s">
        <v>36</v>
      </c>
      <c r="N26">
        <v>340</v>
      </c>
      <c r="P26" t="s">
        <v>64</v>
      </c>
      <c r="Q26" t="str">
        <f>VLOOKUP(B26,'Player Register'!$B$6:$D$125,3,FALSE())</f>
        <v>25–44</v>
      </c>
    </row>
    <row r="27" spans="2:17" x14ac:dyDescent="0.2">
      <c r="B27">
        <v>3005</v>
      </c>
      <c r="C27">
        <v>2</v>
      </c>
      <c r="D27" t="s">
        <v>81</v>
      </c>
      <c r="E27">
        <v>0.28999999999999998</v>
      </c>
      <c r="F27">
        <v>200</v>
      </c>
      <c r="G27">
        <v>8</v>
      </c>
      <c r="H27">
        <v>4</v>
      </c>
      <c r="I27">
        <v>0</v>
      </c>
      <c r="J27">
        <v>63.6</v>
      </c>
      <c r="K27">
        <v>12.6</v>
      </c>
      <c r="L27">
        <v>0.7</v>
      </c>
      <c r="M27" t="s">
        <v>36</v>
      </c>
      <c r="N27">
        <v>330</v>
      </c>
      <c r="P27" t="s">
        <v>64</v>
      </c>
      <c r="Q27" t="str">
        <f>VLOOKUP(B27,'Player Register'!$B$6:$D$125,3,FALSE())</f>
        <v>25–44</v>
      </c>
    </row>
    <row r="28" spans="2:17" x14ac:dyDescent="0.2">
      <c r="B28">
        <v>3005</v>
      </c>
      <c r="C28">
        <v>3</v>
      </c>
      <c r="D28" t="s">
        <v>82</v>
      </c>
      <c r="E28">
        <v>0.28999999999999998</v>
      </c>
      <c r="F28">
        <v>200</v>
      </c>
      <c r="G28">
        <v>10</v>
      </c>
      <c r="H28">
        <v>1</v>
      </c>
      <c r="I28">
        <v>0</v>
      </c>
      <c r="J28">
        <v>61.6</v>
      </c>
      <c r="K28">
        <v>12.6</v>
      </c>
      <c r="L28">
        <v>0.7</v>
      </c>
      <c r="M28" t="s">
        <v>36</v>
      </c>
      <c r="N28">
        <v>350</v>
      </c>
      <c r="P28" t="s">
        <v>73</v>
      </c>
      <c r="Q28" t="str">
        <f>VLOOKUP(B28,'Player Register'!$B$6:$D$125,3,FALSE())</f>
        <v>25–44</v>
      </c>
    </row>
    <row r="29" spans="2:17" x14ac:dyDescent="0.2">
      <c r="B29">
        <v>3005</v>
      </c>
      <c r="C29">
        <v>4</v>
      </c>
      <c r="D29" t="s">
        <v>78</v>
      </c>
      <c r="E29">
        <v>0.28999999999999998</v>
      </c>
      <c r="F29">
        <v>200</v>
      </c>
      <c r="G29">
        <v>4</v>
      </c>
      <c r="H29">
        <v>2</v>
      </c>
      <c r="I29">
        <v>0</v>
      </c>
      <c r="J29">
        <v>66.5</v>
      </c>
      <c r="K29">
        <v>12.6</v>
      </c>
      <c r="L29">
        <v>0.7</v>
      </c>
      <c r="M29" t="s">
        <v>36</v>
      </c>
      <c r="N29">
        <v>290</v>
      </c>
      <c r="P29" t="s">
        <v>61</v>
      </c>
      <c r="Q29" t="str">
        <f>VLOOKUP(B29,'Player Register'!$B$6:$D$125,3,FALSE())</f>
        <v>25–44</v>
      </c>
    </row>
    <row r="30" spans="2:17" x14ac:dyDescent="0.2">
      <c r="B30">
        <v>3005</v>
      </c>
      <c r="C30">
        <v>5</v>
      </c>
      <c r="D30" t="s">
        <v>83</v>
      </c>
      <c r="E30">
        <v>0.31</v>
      </c>
      <c r="F30">
        <v>201</v>
      </c>
      <c r="G30">
        <v>4</v>
      </c>
      <c r="H30">
        <v>1</v>
      </c>
      <c r="I30">
        <v>0</v>
      </c>
      <c r="J30">
        <v>61.7</v>
      </c>
      <c r="K30">
        <v>12.6</v>
      </c>
      <c r="L30">
        <v>0.7</v>
      </c>
      <c r="M30" t="s">
        <v>36</v>
      </c>
      <c r="N30">
        <v>291</v>
      </c>
      <c r="P30" t="s">
        <v>61</v>
      </c>
      <c r="Q30" t="str">
        <f>VLOOKUP(B30,'Player Register'!$B$6:$D$125,3,FALSE())</f>
        <v>25–44</v>
      </c>
    </row>
    <row r="31" spans="2:17" x14ac:dyDescent="0.2">
      <c r="B31">
        <v>3006</v>
      </c>
      <c r="C31">
        <v>1</v>
      </c>
      <c r="D31" t="s">
        <v>67</v>
      </c>
      <c r="E31">
        <v>0.31</v>
      </c>
      <c r="F31">
        <v>200</v>
      </c>
      <c r="G31">
        <v>10</v>
      </c>
      <c r="H31">
        <v>2</v>
      </c>
      <c r="I31">
        <v>0</v>
      </c>
      <c r="J31">
        <v>52.5</v>
      </c>
      <c r="K31">
        <v>10.8</v>
      </c>
      <c r="L31">
        <v>0.6</v>
      </c>
      <c r="M31" t="s">
        <v>36</v>
      </c>
      <c r="N31">
        <v>350</v>
      </c>
      <c r="P31" t="s">
        <v>59</v>
      </c>
      <c r="Q31" t="str">
        <f>VLOOKUP(B31,'Player Register'!$B$6:$D$125,3,FALSE())</f>
        <v>25–44</v>
      </c>
    </row>
    <row r="32" spans="2:17" x14ac:dyDescent="0.2">
      <c r="B32">
        <v>3006</v>
      </c>
      <c r="C32">
        <v>2</v>
      </c>
      <c r="D32" t="s">
        <v>69</v>
      </c>
      <c r="E32">
        <v>0.31</v>
      </c>
      <c r="F32">
        <v>200</v>
      </c>
      <c r="G32">
        <v>7</v>
      </c>
      <c r="H32">
        <v>2</v>
      </c>
      <c r="I32">
        <v>0</v>
      </c>
      <c r="J32">
        <v>43.7</v>
      </c>
      <c r="K32">
        <v>10.8</v>
      </c>
      <c r="L32">
        <v>0.45</v>
      </c>
      <c r="M32" t="s">
        <v>36</v>
      </c>
      <c r="N32">
        <v>320</v>
      </c>
      <c r="P32" t="s">
        <v>59</v>
      </c>
      <c r="Q32" t="str">
        <f>VLOOKUP(B32,'Player Register'!$B$6:$D$125,3,FALSE())</f>
        <v>25–44</v>
      </c>
    </row>
    <row r="33" spans="2:17" x14ac:dyDescent="0.2">
      <c r="B33">
        <v>3006</v>
      </c>
      <c r="C33">
        <v>3</v>
      </c>
      <c r="D33" t="s">
        <v>60</v>
      </c>
      <c r="E33">
        <v>0.35</v>
      </c>
      <c r="F33">
        <v>200</v>
      </c>
      <c r="G33">
        <v>15</v>
      </c>
      <c r="H33">
        <v>2</v>
      </c>
      <c r="I33">
        <v>0</v>
      </c>
      <c r="J33">
        <v>38</v>
      </c>
      <c r="K33">
        <v>10.8</v>
      </c>
      <c r="L33">
        <v>0.45</v>
      </c>
      <c r="M33" t="s">
        <v>36</v>
      </c>
      <c r="N33">
        <v>400</v>
      </c>
      <c r="P33" t="s">
        <v>59</v>
      </c>
      <c r="Q33" t="str">
        <f>VLOOKUP(B33,'Player Register'!$B$6:$D$125,3,FALSE())</f>
        <v>25–44</v>
      </c>
    </row>
    <row r="34" spans="2:17" x14ac:dyDescent="0.2">
      <c r="B34">
        <v>3006</v>
      </c>
      <c r="C34">
        <v>4</v>
      </c>
      <c r="D34" t="s">
        <v>62</v>
      </c>
      <c r="E34">
        <v>0.28999999999999998</v>
      </c>
      <c r="F34">
        <v>200</v>
      </c>
      <c r="G34">
        <v>8</v>
      </c>
      <c r="H34">
        <v>3</v>
      </c>
      <c r="I34">
        <v>0</v>
      </c>
      <c r="J34">
        <v>69</v>
      </c>
      <c r="K34">
        <v>12.6</v>
      </c>
      <c r="L34">
        <v>0.7</v>
      </c>
      <c r="M34" t="s">
        <v>36</v>
      </c>
      <c r="N34">
        <v>330</v>
      </c>
      <c r="P34" t="s">
        <v>59</v>
      </c>
      <c r="Q34" t="str">
        <f>VLOOKUP(B34,'Player Register'!$B$6:$D$125,3,FALSE())</f>
        <v>25–44</v>
      </c>
    </row>
    <row r="35" spans="2:17" x14ac:dyDescent="0.2">
      <c r="B35">
        <v>3006</v>
      </c>
      <c r="C35">
        <v>5</v>
      </c>
      <c r="D35" t="s">
        <v>84</v>
      </c>
      <c r="E35">
        <v>0.31</v>
      </c>
      <c r="F35">
        <v>200</v>
      </c>
      <c r="G35">
        <v>13</v>
      </c>
      <c r="H35">
        <v>0</v>
      </c>
      <c r="I35">
        <v>0</v>
      </c>
      <c r="J35">
        <v>58.7</v>
      </c>
      <c r="K35">
        <v>10.8</v>
      </c>
      <c r="L35">
        <v>0.6</v>
      </c>
      <c r="M35" t="s">
        <v>36</v>
      </c>
      <c r="N35">
        <v>380</v>
      </c>
      <c r="P35" t="s">
        <v>73</v>
      </c>
      <c r="Q35" t="str">
        <f>VLOOKUP(B35,'Player Register'!$B$6:$D$125,3,FALSE())</f>
        <v>25–44</v>
      </c>
    </row>
    <row r="36" spans="2:17" x14ac:dyDescent="0.2">
      <c r="B36">
        <v>3007</v>
      </c>
      <c r="C36">
        <v>1</v>
      </c>
      <c r="D36" t="s">
        <v>76</v>
      </c>
      <c r="E36">
        <v>0.31</v>
      </c>
      <c r="F36">
        <v>201</v>
      </c>
      <c r="G36">
        <v>8</v>
      </c>
      <c r="H36">
        <v>1</v>
      </c>
      <c r="I36">
        <v>0</v>
      </c>
      <c r="J36">
        <v>65.599999999999994</v>
      </c>
      <c r="K36">
        <v>12.6</v>
      </c>
      <c r="L36">
        <v>0.7</v>
      </c>
      <c r="M36" t="s">
        <v>36</v>
      </c>
      <c r="N36">
        <v>331</v>
      </c>
      <c r="P36" t="s">
        <v>61</v>
      </c>
      <c r="Q36" t="str">
        <f>VLOOKUP(B36,'Player Register'!$B$6:$D$125,3,FALSE())</f>
        <v>25–44</v>
      </c>
    </row>
    <row r="37" spans="2:17" x14ac:dyDescent="0.2">
      <c r="B37">
        <v>3007</v>
      </c>
      <c r="C37">
        <v>2</v>
      </c>
      <c r="D37" t="s">
        <v>77</v>
      </c>
      <c r="E37">
        <v>0.31</v>
      </c>
      <c r="F37">
        <v>200</v>
      </c>
      <c r="G37">
        <v>7</v>
      </c>
      <c r="H37">
        <v>1</v>
      </c>
      <c r="I37">
        <v>0</v>
      </c>
      <c r="J37">
        <v>71</v>
      </c>
      <c r="K37">
        <v>10.8</v>
      </c>
      <c r="L37">
        <v>0.6</v>
      </c>
      <c r="M37" t="s">
        <v>36</v>
      </c>
      <c r="N37">
        <v>320</v>
      </c>
      <c r="P37" t="s">
        <v>61</v>
      </c>
      <c r="Q37" t="str">
        <f>VLOOKUP(B37,'Player Register'!$B$6:$D$125,3,FALSE())</f>
        <v>25–44</v>
      </c>
    </row>
    <row r="38" spans="2:17" x14ac:dyDescent="0.2">
      <c r="B38">
        <v>3007</v>
      </c>
      <c r="C38">
        <v>3</v>
      </c>
      <c r="D38" t="s">
        <v>83</v>
      </c>
      <c r="E38">
        <v>0.28999999999999998</v>
      </c>
      <c r="F38">
        <v>200</v>
      </c>
      <c r="G38">
        <v>6</v>
      </c>
      <c r="H38">
        <v>0</v>
      </c>
      <c r="I38">
        <v>0</v>
      </c>
      <c r="J38">
        <v>76.900000000000006</v>
      </c>
      <c r="K38">
        <v>12.6</v>
      </c>
      <c r="L38">
        <v>0.7</v>
      </c>
      <c r="M38" t="s">
        <v>36</v>
      </c>
      <c r="N38">
        <v>310</v>
      </c>
      <c r="P38" t="s">
        <v>68</v>
      </c>
      <c r="Q38" t="str">
        <f>VLOOKUP(B38,'Player Register'!$B$6:$D$125,3,FALSE())</f>
        <v>25–44</v>
      </c>
    </row>
    <row r="39" spans="2:17" x14ac:dyDescent="0.2">
      <c r="B39">
        <v>3007</v>
      </c>
      <c r="C39">
        <v>4</v>
      </c>
      <c r="D39" t="s">
        <v>69</v>
      </c>
      <c r="E39">
        <v>0.31</v>
      </c>
      <c r="F39">
        <v>201</v>
      </c>
      <c r="G39">
        <v>14</v>
      </c>
      <c r="H39">
        <v>1</v>
      </c>
      <c r="I39">
        <v>0</v>
      </c>
      <c r="J39">
        <v>61.2</v>
      </c>
      <c r="K39">
        <v>12.6</v>
      </c>
      <c r="L39">
        <v>0.7</v>
      </c>
      <c r="M39" t="s">
        <v>36</v>
      </c>
      <c r="N39">
        <v>391</v>
      </c>
      <c r="P39" t="s">
        <v>61</v>
      </c>
      <c r="Q39" t="str">
        <f>VLOOKUP(B39,'Player Register'!$B$6:$D$125,3,FALSE())</f>
        <v>25–44</v>
      </c>
    </row>
    <row r="40" spans="2:17" x14ac:dyDescent="0.2">
      <c r="B40">
        <v>3007</v>
      </c>
      <c r="C40">
        <v>5</v>
      </c>
      <c r="D40" t="s">
        <v>58</v>
      </c>
      <c r="E40">
        <v>0.28999999999999998</v>
      </c>
      <c r="F40">
        <v>200</v>
      </c>
      <c r="G40">
        <v>9</v>
      </c>
      <c r="H40">
        <v>0</v>
      </c>
      <c r="I40">
        <v>0</v>
      </c>
      <c r="J40">
        <v>80.3</v>
      </c>
      <c r="K40">
        <v>12.6</v>
      </c>
      <c r="L40">
        <v>0.7</v>
      </c>
      <c r="M40" t="s">
        <v>36</v>
      </c>
      <c r="N40">
        <v>340</v>
      </c>
      <c r="P40" t="s">
        <v>68</v>
      </c>
      <c r="Q40" t="str">
        <f>VLOOKUP(B40,'Player Register'!$B$6:$D$125,3,FALSE())</f>
        <v>25–44</v>
      </c>
    </row>
    <row r="41" spans="2:17" x14ac:dyDescent="0.2">
      <c r="B41">
        <v>3008</v>
      </c>
      <c r="C41">
        <v>1</v>
      </c>
      <c r="D41" t="s">
        <v>77</v>
      </c>
      <c r="E41">
        <v>0.28999999999999998</v>
      </c>
      <c r="F41">
        <v>200</v>
      </c>
      <c r="G41">
        <v>10</v>
      </c>
      <c r="H41">
        <v>1</v>
      </c>
      <c r="I41">
        <v>0</v>
      </c>
      <c r="J41">
        <v>72.8</v>
      </c>
      <c r="K41">
        <v>12.6</v>
      </c>
      <c r="L41">
        <v>0.7</v>
      </c>
      <c r="M41" t="s">
        <v>36</v>
      </c>
      <c r="N41">
        <v>350</v>
      </c>
      <c r="P41" t="s">
        <v>73</v>
      </c>
      <c r="Q41" t="str">
        <f>VLOOKUP(B41,'Player Register'!$B$6:$D$125,3,FALSE())</f>
        <v>25–44</v>
      </c>
    </row>
    <row r="42" spans="2:17" x14ac:dyDescent="0.2">
      <c r="B42">
        <v>3008</v>
      </c>
      <c r="C42">
        <v>2</v>
      </c>
      <c r="D42" t="s">
        <v>78</v>
      </c>
      <c r="E42">
        <v>0.31</v>
      </c>
      <c r="F42">
        <v>201</v>
      </c>
      <c r="G42">
        <v>12</v>
      </c>
      <c r="H42">
        <v>1</v>
      </c>
      <c r="I42">
        <v>0</v>
      </c>
      <c r="J42">
        <v>71</v>
      </c>
      <c r="K42">
        <v>12.6</v>
      </c>
      <c r="L42">
        <v>0.7</v>
      </c>
      <c r="M42" t="s">
        <v>36</v>
      </c>
      <c r="N42">
        <v>371</v>
      </c>
      <c r="P42" t="s">
        <v>61</v>
      </c>
      <c r="Q42" t="str">
        <f>VLOOKUP(B42,'Player Register'!$B$6:$D$125,3,FALSE())</f>
        <v>25–44</v>
      </c>
    </row>
    <row r="43" spans="2:17" x14ac:dyDescent="0.2">
      <c r="B43">
        <v>3008</v>
      </c>
      <c r="C43">
        <v>3</v>
      </c>
      <c r="D43" t="s">
        <v>83</v>
      </c>
      <c r="E43">
        <v>0.28999999999999998</v>
      </c>
      <c r="F43">
        <v>200</v>
      </c>
      <c r="G43">
        <v>14</v>
      </c>
      <c r="H43">
        <v>1</v>
      </c>
      <c r="I43">
        <v>0</v>
      </c>
      <c r="J43">
        <v>70</v>
      </c>
      <c r="K43">
        <v>12.6</v>
      </c>
      <c r="L43">
        <v>0.7</v>
      </c>
      <c r="M43" t="s">
        <v>36</v>
      </c>
      <c r="N43">
        <v>390</v>
      </c>
      <c r="P43" t="s">
        <v>73</v>
      </c>
      <c r="Q43" t="str">
        <f>VLOOKUP(B43,'Player Register'!$B$6:$D$125,3,FALSE())</f>
        <v>25–44</v>
      </c>
    </row>
    <row r="44" spans="2:17" x14ac:dyDescent="0.2">
      <c r="B44">
        <v>3008</v>
      </c>
      <c r="C44">
        <v>4</v>
      </c>
      <c r="D44" t="s">
        <v>79</v>
      </c>
      <c r="E44">
        <v>0.31</v>
      </c>
      <c r="F44">
        <v>200</v>
      </c>
      <c r="G44">
        <v>11</v>
      </c>
      <c r="H44">
        <v>1</v>
      </c>
      <c r="I44">
        <v>0</v>
      </c>
      <c r="J44">
        <v>55.1</v>
      </c>
      <c r="K44">
        <v>10.8</v>
      </c>
      <c r="L44">
        <v>0.6</v>
      </c>
      <c r="M44" t="s">
        <v>36</v>
      </c>
      <c r="N44">
        <v>360</v>
      </c>
      <c r="P44" t="s">
        <v>61</v>
      </c>
      <c r="Q44" t="str">
        <f>VLOOKUP(B44,'Player Register'!$B$6:$D$125,3,FALSE())</f>
        <v>25–44</v>
      </c>
    </row>
    <row r="45" spans="2:17" x14ac:dyDescent="0.2">
      <c r="B45">
        <v>3008</v>
      </c>
      <c r="C45">
        <v>5</v>
      </c>
      <c r="D45" t="s">
        <v>67</v>
      </c>
      <c r="E45">
        <v>0.31</v>
      </c>
      <c r="F45">
        <v>201</v>
      </c>
      <c r="G45">
        <v>8</v>
      </c>
      <c r="H45">
        <v>0</v>
      </c>
      <c r="I45">
        <v>0</v>
      </c>
      <c r="J45">
        <v>59.2</v>
      </c>
      <c r="K45">
        <v>12.6</v>
      </c>
      <c r="L45">
        <v>0.7</v>
      </c>
      <c r="M45" t="s">
        <v>36</v>
      </c>
      <c r="N45">
        <v>331</v>
      </c>
      <c r="P45" t="s">
        <v>73</v>
      </c>
      <c r="Q45" t="str">
        <f>VLOOKUP(B45,'Player Register'!$B$6:$D$125,3,FALSE())</f>
        <v>25–44</v>
      </c>
    </row>
    <row r="46" spans="2:17" x14ac:dyDescent="0.2">
      <c r="B46">
        <v>3009</v>
      </c>
      <c r="C46">
        <v>1</v>
      </c>
      <c r="D46" t="s">
        <v>78</v>
      </c>
      <c r="E46">
        <v>0.31</v>
      </c>
      <c r="F46">
        <v>200</v>
      </c>
      <c r="G46">
        <v>8</v>
      </c>
      <c r="H46">
        <v>1</v>
      </c>
      <c r="I46">
        <v>0</v>
      </c>
      <c r="J46">
        <v>60</v>
      </c>
      <c r="K46">
        <v>10.8</v>
      </c>
      <c r="L46">
        <v>0.6</v>
      </c>
      <c r="M46" t="s">
        <v>36</v>
      </c>
      <c r="N46">
        <v>330</v>
      </c>
      <c r="P46" t="s">
        <v>61</v>
      </c>
      <c r="Q46" t="str">
        <f>VLOOKUP(B46,'Player Register'!$B$6:$D$125,3,FALSE())</f>
        <v>25–44</v>
      </c>
    </row>
    <row r="47" spans="2:17" x14ac:dyDescent="0.2">
      <c r="B47">
        <v>3009</v>
      </c>
      <c r="C47">
        <v>2</v>
      </c>
      <c r="D47" t="s">
        <v>66</v>
      </c>
      <c r="E47">
        <v>0.28999999999999998</v>
      </c>
      <c r="F47">
        <v>200</v>
      </c>
      <c r="G47">
        <v>6</v>
      </c>
      <c r="H47">
        <v>2</v>
      </c>
      <c r="I47">
        <v>0</v>
      </c>
      <c r="J47">
        <v>66.7</v>
      </c>
      <c r="K47">
        <v>12.6</v>
      </c>
      <c r="L47">
        <v>0.7</v>
      </c>
      <c r="M47" t="s">
        <v>36</v>
      </c>
      <c r="N47">
        <v>310</v>
      </c>
      <c r="P47" t="s">
        <v>61</v>
      </c>
      <c r="Q47" t="str">
        <f>VLOOKUP(B47,'Player Register'!$B$6:$D$125,3,FALSE())</f>
        <v>25–44</v>
      </c>
    </row>
    <row r="48" spans="2:17" x14ac:dyDescent="0.2">
      <c r="B48">
        <v>3009</v>
      </c>
      <c r="C48">
        <v>3</v>
      </c>
      <c r="D48" t="s">
        <v>67</v>
      </c>
      <c r="E48">
        <v>0.31</v>
      </c>
      <c r="F48">
        <v>200</v>
      </c>
      <c r="G48">
        <v>11</v>
      </c>
      <c r="H48">
        <v>0</v>
      </c>
      <c r="I48">
        <v>0</v>
      </c>
      <c r="J48">
        <v>47.4</v>
      </c>
      <c r="K48">
        <v>10.8</v>
      </c>
      <c r="L48">
        <v>0.6</v>
      </c>
      <c r="M48" t="s">
        <v>36</v>
      </c>
      <c r="N48">
        <v>360</v>
      </c>
      <c r="P48" t="s">
        <v>73</v>
      </c>
      <c r="Q48" t="str">
        <f>VLOOKUP(B48,'Player Register'!$B$6:$D$125,3,FALSE())</f>
        <v>25–44</v>
      </c>
    </row>
    <row r="49" spans="2:17" x14ac:dyDescent="0.2">
      <c r="B49">
        <v>3009</v>
      </c>
      <c r="C49">
        <v>4</v>
      </c>
      <c r="D49" t="s">
        <v>58</v>
      </c>
      <c r="E49">
        <v>0.31</v>
      </c>
      <c r="F49">
        <v>200</v>
      </c>
      <c r="G49">
        <v>8</v>
      </c>
      <c r="H49">
        <v>1</v>
      </c>
      <c r="I49">
        <v>0</v>
      </c>
      <c r="J49">
        <v>55</v>
      </c>
      <c r="K49">
        <v>10.8</v>
      </c>
      <c r="L49">
        <v>0.6</v>
      </c>
      <c r="M49" t="s">
        <v>36</v>
      </c>
      <c r="N49">
        <v>330</v>
      </c>
      <c r="P49" t="s">
        <v>61</v>
      </c>
      <c r="Q49" t="str">
        <f>VLOOKUP(B49,'Player Register'!$B$6:$D$125,3,FALSE())</f>
        <v>25–44</v>
      </c>
    </row>
    <row r="50" spans="2:17" x14ac:dyDescent="0.2">
      <c r="B50">
        <v>3009</v>
      </c>
      <c r="C50">
        <v>5</v>
      </c>
      <c r="D50" t="s">
        <v>84</v>
      </c>
      <c r="E50">
        <v>0.31</v>
      </c>
      <c r="F50">
        <v>200</v>
      </c>
      <c r="G50">
        <v>9</v>
      </c>
      <c r="H50">
        <v>2</v>
      </c>
      <c r="I50">
        <v>0</v>
      </c>
      <c r="J50">
        <v>48.3</v>
      </c>
      <c r="K50">
        <v>10.8</v>
      </c>
      <c r="L50">
        <v>0.6</v>
      </c>
      <c r="M50" t="s">
        <v>36</v>
      </c>
      <c r="N50">
        <v>340</v>
      </c>
      <c r="P50" t="s">
        <v>59</v>
      </c>
      <c r="Q50" t="str">
        <f>VLOOKUP(B50,'Player Register'!$B$6:$D$125,3,FALSE())</f>
        <v>25–44</v>
      </c>
    </row>
    <row r="51" spans="2:17" x14ac:dyDescent="0.2">
      <c r="B51">
        <v>3010</v>
      </c>
      <c r="C51">
        <v>1</v>
      </c>
      <c r="D51" t="s">
        <v>62</v>
      </c>
      <c r="E51">
        <v>0.31</v>
      </c>
      <c r="F51">
        <v>200</v>
      </c>
      <c r="G51">
        <v>10</v>
      </c>
      <c r="H51">
        <v>1</v>
      </c>
      <c r="I51">
        <v>0</v>
      </c>
      <c r="J51">
        <v>43</v>
      </c>
      <c r="K51">
        <v>10.8</v>
      </c>
      <c r="L51">
        <v>0.6</v>
      </c>
      <c r="M51" t="s">
        <v>36</v>
      </c>
      <c r="N51">
        <v>350</v>
      </c>
      <c r="P51" t="s">
        <v>61</v>
      </c>
      <c r="Q51" t="str">
        <f>VLOOKUP(B51,'Player Register'!$B$6:$D$125,3,FALSE())</f>
        <v>25–44</v>
      </c>
    </row>
    <row r="52" spans="2:17" x14ac:dyDescent="0.2">
      <c r="B52">
        <v>3010</v>
      </c>
      <c r="C52">
        <v>2</v>
      </c>
      <c r="D52" t="s">
        <v>63</v>
      </c>
      <c r="E52">
        <v>0.31</v>
      </c>
      <c r="F52">
        <v>201</v>
      </c>
      <c r="G52">
        <v>4</v>
      </c>
      <c r="H52">
        <v>1</v>
      </c>
      <c r="I52">
        <v>0</v>
      </c>
      <c r="J52">
        <v>61.9</v>
      </c>
      <c r="K52">
        <v>12.6</v>
      </c>
      <c r="L52">
        <v>0.7</v>
      </c>
      <c r="M52" t="s">
        <v>36</v>
      </c>
      <c r="N52">
        <v>291</v>
      </c>
      <c r="P52" t="s">
        <v>61</v>
      </c>
      <c r="Q52" t="str">
        <f>VLOOKUP(B52,'Player Register'!$B$6:$D$125,3,FALSE())</f>
        <v>25–44</v>
      </c>
    </row>
    <row r="53" spans="2:17" x14ac:dyDescent="0.2">
      <c r="B53">
        <v>3010</v>
      </c>
      <c r="C53">
        <v>3</v>
      </c>
      <c r="D53" t="s">
        <v>72</v>
      </c>
      <c r="E53">
        <v>0.31</v>
      </c>
      <c r="F53">
        <v>200</v>
      </c>
      <c r="G53">
        <v>10</v>
      </c>
      <c r="H53">
        <v>1</v>
      </c>
      <c r="I53">
        <v>0</v>
      </c>
      <c r="J53">
        <v>42.4</v>
      </c>
      <c r="K53">
        <v>10.8</v>
      </c>
      <c r="L53">
        <v>0.6</v>
      </c>
      <c r="M53" t="s">
        <v>36</v>
      </c>
      <c r="N53">
        <v>350</v>
      </c>
      <c r="P53" t="s">
        <v>61</v>
      </c>
      <c r="Q53" t="str">
        <f>VLOOKUP(B53,'Player Register'!$B$6:$D$125,3,FALSE())</f>
        <v>25–44</v>
      </c>
    </row>
    <row r="54" spans="2:17" x14ac:dyDescent="0.2">
      <c r="B54">
        <v>3010</v>
      </c>
      <c r="C54">
        <v>4</v>
      </c>
      <c r="D54" t="s">
        <v>65</v>
      </c>
      <c r="E54">
        <v>0.28999999999999998</v>
      </c>
      <c r="F54">
        <v>200</v>
      </c>
      <c r="G54">
        <v>7</v>
      </c>
      <c r="H54">
        <v>0</v>
      </c>
      <c r="I54">
        <v>0</v>
      </c>
      <c r="J54">
        <v>75.3</v>
      </c>
      <c r="K54">
        <v>12.6</v>
      </c>
      <c r="L54">
        <v>0.7</v>
      </c>
      <c r="M54" t="s">
        <v>36</v>
      </c>
      <c r="N54">
        <v>320</v>
      </c>
      <c r="P54" t="s">
        <v>68</v>
      </c>
      <c r="Q54" t="str">
        <f>VLOOKUP(B54,'Player Register'!$B$6:$D$125,3,FALSE())</f>
        <v>25–44</v>
      </c>
    </row>
    <row r="55" spans="2:17" x14ac:dyDescent="0.2">
      <c r="B55">
        <v>3010</v>
      </c>
      <c r="C55">
        <v>5</v>
      </c>
      <c r="D55" t="s">
        <v>74</v>
      </c>
      <c r="E55">
        <v>0.31</v>
      </c>
      <c r="F55">
        <v>201</v>
      </c>
      <c r="G55">
        <v>14</v>
      </c>
      <c r="H55">
        <v>1</v>
      </c>
      <c r="I55">
        <v>0</v>
      </c>
      <c r="J55">
        <v>69.400000000000006</v>
      </c>
      <c r="K55">
        <v>12.6</v>
      </c>
      <c r="L55">
        <v>0.7</v>
      </c>
      <c r="M55" t="s">
        <v>36</v>
      </c>
      <c r="N55">
        <v>391</v>
      </c>
      <c r="P55" t="s">
        <v>61</v>
      </c>
      <c r="Q55" t="str">
        <f>VLOOKUP(B55,'Player Register'!$B$6:$D$125,3,FALSE())</f>
        <v>25–44</v>
      </c>
    </row>
    <row r="56" spans="2:17" x14ac:dyDescent="0.2">
      <c r="B56">
        <v>3011</v>
      </c>
      <c r="C56">
        <v>1</v>
      </c>
      <c r="D56" t="s">
        <v>66</v>
      </c>
      <c r="E56">
        <v>0.31</v>
      </c>
      <c r="F56">
        <v>200</v>
      </c>
      <c r="G56">
        <v>9</v>
      </c>
      <c r="H56">
        <v>2</v>
      </c>
      <c r="I56">
        <v>0</v>
      </c>
      <c r="J56">
        <v>42.1</v>
      </c>
      <c r="K56">
        <v>10.8</v>
      </c>
      <c r="L56">
        <v>0.6</v>
      </c>
      <c r="M56" t="s">
        <v>36</v>
      </c>
      <c r="N56">
        <v>340</v>
      </c>
      <c r="P56" t="s">
        <v>59</v>
      </c>
      <c r="Q56" t="str">
        <f>VLOOKUP(B56,'Player Register'!$B$6:$D$125,3,FALSE())</f>
        <v>25–44</v>
      </c>
    </row>
    <row r="57" spans="2:17" x14ac:dyDescent="0.2">
      <c r="B57">
        <v>3011</v>
      </c>
      <c r="C57">
        <v>2</v>
      </c>
      <c r="D57" t="s">
        <v>83</v>
      </c>
      <c r="E57">
        <v>0.31</v>
      </c>
      <c r="F57">
        <v>200</v>
      </c>
      <c r="G57">
        <v>6</v>
      </c>
      <c r="H57">
        <v>3</v>
      </c>
      <c r="I57">
        <v>0</v>
      </c>
      <c r="J57">
        <v>54.6</v>
      </c>
      <c r="K57">
        <v>10.8</v>
      </c>
      <c r="L57">
        <v>0.6</v>
      </c>
      <c r="M57" t="s">
        <v>36</v>
      </c>
      <c r="N57">
        <v>310</v>
      </c>
      <c r="P57" t="s">
        <v>64</v>
      </c>
      <c r="Q57" t="str">
        <f>VLOOKUP(B57,'Player Register'!$B$6:$D$125,3,FALSE())</f>
        <v>25–44</v>
      </c>
    </row>
    <row r="58" spans="2:17" x14ac:dyDescent="0.2">
      <c r="B58">
        <v>3011</v>
      </c>
      <c r="C58">
        <v>3</v>
      </c>
      <c r="D58" t="s">
        <v>79</v>
      </c>
      <c r="E58">
        <v>0.31</v>
      </c>
      <c r="F58">
        <v>200</v>
      </c>
      <c r="G58">
        <v>15</v>
      </c>
      <c r="H58">
        <v>2</v>
      </c>
      <c r="I58">
        <v>0</v>
      </c>
      <c r="J58">
        <v>53.9</v>
      </c>
      <c r="K58">
        <v>10.8</v>
      </c>
      <c r="L58">
        <v>0.6</v>
      </c>
      <c r="M58" t="s">
        <v>36</v>
      </c>
      <c r="N58">
        <v>400</v>
      </c>
      <c r="P58" t="s">
        <v>59</v>
      </c>
      <c r="Q58" t="str">
        <f>VLOOKUP(B58,'Player Register'!$B$6:$D$125,3,FALSE())</f>
        <v>25–44</v>
      </c>
    </row>
    <row r="59" spans="2:17" x14ac:dyDescent="0.2">
      <c r="B59">
        <v>3011</v>
      </c>
      <c r="C59">
        <v>4</v>
      </c>
      <c r="D59" t="s">
        <v>69</v>
      </c>
      <c r="E59">
        <v>0.31</v>
      </c>
      <c r="F59">
        <v>201</v>
      </c>
      <c r="G59">
        <v>6</v>
      </c>
      <c r="H59">
        <v>1</v>
      </c>
      <c r="I59">
        <v>0</v>
      </c>
      <c r="J59">
        <v>48.8</v>
      </c>
      <c r="K59">
        <v>12.6</v>
      </c>
      <c r="L59">
        <v>0.7</v>
      </c>
      <c r="M59" t="s">
        <v>36</v>
      </c>
      <c r="N59">
        <v>311</v>
      </c>
      <c r="P59" t="s">
        <v>61</v>
      </c>
      <c r="Q59" t="str">
        <f>VLOOKUP(B59,'Player Register'!$B$6:$D$125,3,FALSE())</f>
        <v>25–44</v>
      </c>
    </row>
    <row r="60" spans="2:17" x14ac:dyDescent="0.2">
      <c r="B60">
        <v>3011</v>
      </c>
      <c r="C60">
        <v>5</v>
      </c>
      <c r="D60" t="s">
        <v>60</v>
      </c>
      <c r="E60">
        <v>0.35</v>
      </c>
      <c r="F60">
        <v>200</v>
      </c>
      <c r="G60">
        <v>7</v>
      </c>
      <c r="H60">
        <v>4</v>
      </c>
      <c r="I60">
        <v>0</v>
      </c>
      <c r="J60">
        <v>57</v>
      </c>
      <c r="K60">
        <v>10.8</v>
      </c>
      <c r="L60">
        <v>0.45</v>
      </c>
      <c r="M60" t="s">
        <v>36</v>
      </c>
      <c r="N60">
        <v>320</v>
      </c>
      <c r="P60" t="s">
        <v>70</v>
      </c>
      <c r="Q60" t="str">
        <f>VLOOKUP(B60,'Player Register'!$B$6:$D$125,3,FALSE())</f>
        <v>25–44</v>
      </c>
    </row>
    <row r="61" spans="2:17" x14ac:dyDescent="0.2">
      <c r="B61">
        <v>3012</v>
      </c>
      <c r="C61">
        <v>1</v>
      </c>
      <c r="D61" t="s">
        <v>79</v>
      </c>
      <c r="E61">
        <v>0.31</v>
      </c>
      <c r="F61">
        <v>200</v>
      </c>
      <c r="G61">
        <v>15</v>
      </c>
      <c r="H61">
        <v>3</v>
      </c>
      <c r="I61">
        <v>0</v>
      </c>
      <c r="J61">
        <v>54.1</v>
      </c>
      <c r="K61">
        <v>10.8</v>
      </c>
      <c r="L61">
        <v>0.6</v>
      </c>
      <c r="M61" t="s">
        <v>36</v>
      </c>
      <c r="N61">
        <v>400</v>
      </c>
      <c r="P61" t="s">
        <v>64</v>
      </c>
      <c r="Q61" t="str">
        <f>VLOOKUP(B61,'Player Register'!$B$6:$D$125,3,FALSE())</f>
        <v>25–44</v>
      </c>
    </row>
    <row r="62" spans="2:17" x14ac:dyDescent="0.2">
      <c r="B62">
        <v>3012</v>
      </c>
      <c r="C62">
        <v>2</v>
      </c>
      <c r="D62" t="s">
        <v>67</v>
      </c>
      <c r="E62">
        <v>0.35</v>
      </c>
      <c r="F62">
        <v>200</v>
      </c>
      <c r="G62">
        <v>9</v>
      </c>
      <c r="H62">
        <v>2</v>
      </c>
      <c r="I62">
        <v>0</v>
      </c>
      <c r="J62">
        <v>44.3</v>
      </c>
      <c r="K62">
        <v>10.8</v>
      </c>
      <c r="L62">
        <v>0.45</v>
      </c>
      <c r="M62" t="s">
        <v>36</v>
      </c>
      <c r="N62">
        <v>340</v>
      </c>
      <c r="P62" t="s">
        <v>59</v>
      </c>
      <c r="Q62" t="str">
        <f>VLOOKUP(B62,'Player Register'!$B$6:$D$125,3,FALSE())</f>
        <v>25–44</v>
      </c>
    </row>
    <row r="63" spans="2:17" x14ac:dyDescent="0.2">
      <c r="B63">
        <v>3012</v>
      </c>
      <c r="C63">
        <v>3</v>
      </c>
      <c r="D63" t="s">
        <v>60</v>
      </c>
      <c r="E63">
        <v>0.28999999999999998</v>
      </c>
      <c r="F63">
        <v>200</v>
      </c>
      <c r="G63">
        <v>5</v>
      </c>
      <c r="H63">
        <v>0</v>
      </c>
      <c r="I63">
        <v>0</v>
      </c>
      <c r="J63">
        <v>65.099999999999994</v>
      </c>
      <c r="K63">
        <v>12.6</v>
      </c>
      <c r="L63">
        <v>0.7</v>
      </c>
      <c r="M63" t="s">
        <v>36</v>
      </c>
      <c r="N63">
        <v>300</v>
      </c>
      <c r="P63" t="s">
        <v>68</v>
      </c>
      <c r="Q63" t="str">
        <f>VLOOKUP(B63,'Player Register'!$B$6:$D$125,3,FALSE())</f>
        <v>25–44</v>
      </c>
    </row>
    <row r="64" spans="2:17" x14ac:dyDescent="0.2">
      <c r="B64">
        <v>3012</v>
      </c>
      <c r="C64">
        <v>4</v>
      </c>
      <c r="D64" t="s">
        <v>71</v>
      </c>
      <c r="E64">
        <v>0.28999999999999998</v>
      </c>
      <c r="F64">
        <v>200</v>
      </c>
      <c r="G64">
        <v>9</v>
      </c>
      <c r="H64">
        <v>1</v>
      </c>
      <c r="I64">
        <v>0</v>
      </c>
      <c r="J64">
        <v>68.5</v>
      </c>
      <c r="K64">
        <v>12.6</v>
      </c>
      <c r="L64">
        <v>0.7</v>
      </c>
      <c r="M64" t="s">
        <v>36</v>
      </c>
      <c r="N64">
        <v>340</v>
      </c>
      <c r="P64" t="s">
        <v>73</v>
      </c>
      <c r="Q64" t="str">
        <f>VLOOKUP(B64,'Player Register'!$B$6:$D$125,3,FALSE())</f>
        <v>25–44</v>
      </c>
    </row>
    <row r="65" spans="2:17" x14ac:dyDescent="0.2">
      <c r="B65">
        <v>3012</v>
      </c>
      <c r="C65">
        <v>5</v>
      </c>
      <c r="D65" t="s">
        <v>85</v>
      </c>
      <c r="E65">
        <v>0.31</v>
      </c>
      <c r="F65">
        <v>200</v>
      </c>
      <c r="G65">
        <v>7</v>
      </c>
      <c r="H65">
        <v>1</v>
      </c>
      <c r="I65">
        <v>0</v>
      </c>
      <c r="J65">
        <v>69.8</v>
      </c>
      <c r="K65">
        <v>10.8</v>
      </c>
      <c r="L65">
        <v>0.6</v>
      </c>
      <c r="M65" t="s">
        <v>36</v>
      </c>
      <c r="N65">
        <v>320</v>
      </c>
      <c r="P65" t="s">
        <v>61</v>
      </c>
      <c r="Q65" t="str">
        <f>VLOOKUP(B65,'Player Register'!$B$6:$D$125,3,FALSE())</f>
        <v>25–44</v>
      </c>
    </row>
    <row r="66" spans="2:17" x14ac:dyDescent="0.2">
      <c r="B66">
        <v>3013</v>
      </c>
      <c r="C66">
        <v>1</v>
      </c>
      <c r="D66" t="s">
        <v>71</v>
      </c>
      <c r="E66">
        <v>0.31</v>
      </c>
      <c r="F66">
        <v>200</v>
      </c>
      <c r="G66">
        <v>6</v>
      </c>
      <c r="H66">
        <v>2</v>
      </c>
      <c r="I66">
        <v>0</v>
      </c>
      <c r="J66">
        <v>69.3</v>
      </c>
      <c r="K66">
        <v>10.8</v>
      </c>
      <c r="L66">
        <v>0.6</v>
      </c>
      <c r="M66" t="s">
        <v>36</v>
      </c>
      <c r="N66">
        <v>310</v>
      </c>
      <c r="P66" t="s">
        <v>59</v>
      </c>
      <c r="Q66" t="str">
        <f>VLOOKUP(B66,'Player Register'!$B$6:$D$125,3,FALSE())</f>
        <v>25–44</v>
      </c>
    </row>
    <row r="67" spans="2:17" x14ac:dyDescent="0.2">
      <c r="B67">
        <v>3013</v>
      </c>
      <c r="C67">
        <v>2</v>
      </c>
      <c r="D67" t="s">
        <v>85</v>
      </c>
      <c r="E67">
        <v>0.28000000000000003</v>
      </c>
      <c r="F67">
        <v>200</v>
      </c>
      <c r="G67">
        <v>3</v>
      </c>
      <c r="H67">
        <v>1</v>
      </c>
      <c r="I67">
        <v>0</v>
      </c>
      <c r="J67">
        <v>74.3</v>
      </c>
      <c r="K67">
        <v>12.6</v>
      </c>
      <c r="L67">
        <v>0.7</v>
      </c>
      <c r="M67" t="s">
        <v>36</v>
      </c>
      <c r="N67">
        <v>280</v>
      </c>
      <c r="P67" t="s">
        <v>73</v>
      </c>
      <c r="Q67" t="str">
        <f>VLOOKUP(B67,'Player Register'!$B$6:$D$125,3,FALSE())</f>
        <v>25–44</v>
      </c>
    </row>
    <row r="68" spans="2:17" x14ac:dyDescent="0.2">
      <c r="B68">
        <v>3013</v>
      </c>
      <c r="C68">
        <v>3</v>
      </c>
      <c r="D68" t="s">
        <v>86</v>
      </c>
      <c r="E68">
        <v>0.31</v>
      </c>
      <c r="F68">
        <v>200</v>
      </c>
      <c r="G68">
        <v>7</v>
      </c>
      <c r="H68">
        <v>1</v>
      </c>
      <c r="I68">
        <v>0</v>
      </c>
      <c r="J68">
        <v>43.9</v>
      </c>
      <c r="K68">
        <v>10.8</v>
      </c>
      <c r="L68">
        <v>0.6</v>
      </c>
      <c r="M68" t="s">
        <v>36</v>
      </c>
      <c r="N68">
        <v>320</v>
      </c>
      <c r="P68" t="s">
        <v>61</v>
      </c>
      <c r="Q68" t="str">
        <f>VLOOKUP(B68,'Player Register'!$B$6:$D$125,3,FALSE())</f>
        <v>25–44</v>
      </c>
    </row>
    <row r="69" spans="2:17" x14ac:dyDescent="0.2">
      <c r="B69">
        <v>3013</v>
      </c>
      <c r="C69">
        <v>4</v>
      </c>
      <c r="D69" t="s">
        <v>74</v>
      </c>
      <c r="E69">
        <v>0.31</v>
      </c>
      <c r="F69">
        <v>200</v>
      </c>
      <c r="G69">
        <v>11</v>
      </c>
      <c r="H69">
        <v>3</v>
      </c>
      <c r="I69">
        <v>0</v>
      </c>
      <c r="J69">
        <v>44.1</v>
      </c>
      <c r="K69">
        <v>10.8</v>
      </c>
      <c r="L69">
        <v>0.45</v>
      </c>
      <c r="M69" t="s">
        <v>36</v>
      </c>
      <c r="N69">
        <v>360</v>
      </c>
      <c r="P69" t="s">
        <v>64</v>
      </c>
      <c r="Q69" t="str">
        <f>VLOOKUP(B69,'Player Register'!$B$6:$D$125,3,FALSE())</f>
        <v>25–44</v>
      </c>
    </row>
    <row r="70" spans="2:17" x14ac:dyDescent="0.2">
      <c r="B70">
        <v>3013</v>
      </c>
      <c r="C70">
        <v>5</v>
      </c>
      <c r="D70" t="s">
        <v>87</v>
      </c>
      <c r="E70">
        <v>0.31</v>
      </c>
      <c r="F70">
        <v>200</v>
      </c>
      <c r="G70">
        <v>9</v>
      </c>
      <c r="H70">
        <v>1</v>
      </c>
      <c r="I70">
        <v>0</v>
      </c>
      <c r="J70">
        <v>71.099999999999994</v>
      </c>
      <c r="K70">
        <v>10.8</v>
      </c>
      <c r="L70">
        <v>0.6</v>
      </c>
      <c r="M70" t="s">
        <v>36</v>
      </c>
      <c r="N70">
        <v>340</v>
      </c>
      <c r="P70" t="s">
        <v>61</v>
      </c>
      <c r="Q70" t="str">
        <f>VLOOKUP(B70,'Player Register'!$B$6:$D$125,3,FALSE())</f>
        <v>25–44</v>
      </c>
    </row>
    <row r="71" spans="2:17" x14ac:dyDescent="0.2">
      <c r="B71">
        <v>3014</v>
      </c>
      <c r="C71">
        <v>1</v>
      </c>
      <c r="D71" t="s">
        <v>88</v>
      </c>
      <c r="E71">
        <v>0.31</v>
      </c>
      <c r="F71">
        <v>200</v>
      </c>
      <c r="G71">
        <v>9</v>
      </c>
      <c r="H71">
        <v>2</v>
      </c>
      <c r="I71">
        <v>0</v>
      </c>
      <c r="J71">
        <v>35.799999999999997</v>
      </c>
      <c r="K71">
        <v>10.8</v>
      </c>
      <c r="L71">
        <v>0.6</v>
      </c>
      <c r="M71" t="s">
        <v>36</v>
      </c>
      <c r="N71">
        <v>340</v>
      </c>
      <c r="P71" t="s">
        <v>59</v>
      </c>
      <c r="Q71" t="str">
        <f>VLOOKUP(B71,'Player Register'!$B$6:$D$125,3,FALSE())</f>
        <v>25–44</v>
      </c>
    </row>
    <row r="72" spans="2:17" x14ac:dyDescent="0.2">
      <c r="B72">
        <v>3014</v>
      </c>
      <c r="C72">
        <v>2</v>
      </c>
      <c r="D72" t="s">
        <v>81</v>
      </c>
      <c r="E72">
        <v>0.31</v>
      </c>
      <c r="F72">
        <v>200</v>
      </c>
      <c r="G72">
        <v>6</v>
      </c>
      <c r="H72">
        <v>2</v>
      </c>
      <c r="I72">
        <v>0</v>
      </c>
      <c r="J72">
        <v>34.700000000000003</v>
      </c>
      <c r="K72">
        <v>10.8</v>
      </c>
      <c r="L72">
        <v>0.6</v>
      </c>
      <c r="M72" t="s">
        <v>36</v>
      </c>
      <c r="N72">
        <v>310</v>
      </c>
      <c r="P72" t="s">
        <v>59</v>
      </c>
      <c r="Q72" t="str">
        <f>VLOOKUP(B72,'Player Register'!$B$6:$D$125,3,FALSE())</f>
        <v>25–44</v>
      </c>
    </row>
    <row r="73" spans="2:17" x14ac:dyDescent="0.2">
      <c r="B73">
        <v>3014</v>
      </c>
      <c r="C73">
        <v>3</v>
      </c>
      <c r="D73" t="s">
        <v>89</v>
      </c>
      <c r="E73">
        <v>0.28999999999999998</v>
      </c>
      <c r="F73">
        <v>200</v>
      </c>
      <c r="G73">
        <v>8</v>
      </c>
      <c r="H73">
        <v>3</v>
      </c>
      <c r="I73">
        <v>0</v>
      </c>
      <c r="J73">
        <v>60.8</v>
      </c>
      <c r="K73">
        <v>12.6</v>
      </c>
      <c r="L73">
        <v>0.7</v>
      </c>
      <c r="M73" t="s">
        <v>36</v>
      </c>
      <c r="N73">
        <v>330</v>
      </c>
      <c r="P73" t="s">
        <v>59</v>
      </c>
      <c r="Q73" t="str">
        <f>VLOOKUP(B73,'Player Register'!$B$6:$D$125,3,FALSE())</f>
        <v>25–44</v>
      </c>
    </row>
    <row r="74" spans="2:17" x14ac:dyDescent="0.2">
      <c r="B74">
        <v>3014</v>
      </c>
      <c r="C74">
        <v>4</v>
      </c>
      <c r="D74" t="s">
        <v>76</v>
      </c>
      <c r="E74">
        <v>0.3</v>
      </c>
      <c r="F74">
        <v>200</v>
      </c>
      <c r="G74">
        <v>3</v>
      </c>
      <c r="H74">
        <v>4</v>
      </c>
      <c r="I74">
        <v>0</v>
      </c>
      <c r="J74">
        <v>60</v>
      </c>
      <c r="K74">
        <v>12.6</v>
      </c>
      <c r="L74">
        <v>0.55000000000000004</v>
      </c>
      <c r="M74" t="s">
        <v>36</v>
      </c>
      <c r="N74">
        <v>280</v>
      </c>
      <c r="P74" t="s">
        <v>70</v>
      </c>
      <c r="Q74" t="str">
        <f>VLOOKUP(B74,'Player Register'!$B$6:$D$125,3,FALSE())</f>
        <v>25–44</v>
      </c>
    </row>
    <row r="75" spans="2:17" x14ac:dyDescent="0.2">
      <c r="B75">
        <v>3014</v>
      </c>
      <c r="C75">
        <v>5</v>
      </c>
      <c r="D75" t="s">
        <v>77</v>
      </c>
      <c r="E75">
        <v>0.31</v>
      </c>
      <c r="F75">
        <v>200</v>
      </c>
      <c r="G75">
        <v>9</v>
      </c>
      <c r="H75">
        <v>2</v>
      </c>
      <c r="I75">
        <v>0</v>
      </c>
      <c r="J75">
        <v>58.6</v>
      </c>
      <c r="K75">
        <v>10.8</v>
      </c>
      <c r="L75">
        <v>0.45</v>
      </c>
      <c r="M75" t="s">
        <v>36</v>
      </c>
      <c r="N75">
        <v>340</v>
      </c>
      <c r="P75" t="s">
        <v>59</v>
      </c>
      <c r="Q75" t="str">
        <f>VLOOKUP(B75,'Player Register'!$B$6:$D$125,3,FALSE())</f>
        <v>25–44</v>
      </c>
    </row>
    <row r="76" spans="2:17" x14ac:dyDescent="0.2">
      <c r="B76">
        <v>3015</v>
      </c>
      <c r="C76">
        <v>1</v>
      </c>
      <c r="D76" t="s">
        <v>79</v>
      </c>
      <c r="E76">
        <v>0.28999999999999998</v>
      </c>
      <c r="F76">
        <v>200</v>
      </c>
      <c r="G76">
        <v>7</v>
      </c>
      <c r="H76">
        <v>0</v>
      </c>
      <c r="I76">
        <v>0</v>
      </c>
      <c r="J76">
        <v>72.7</v>
      </c>
      <c r="K76">
        <v>12.6</v>
      </c>
      <c r="L76">
        <v>0.7</v>
      </c>
      <c r="M76" t="s">
        <v>36</v>
      </c>
      <c r="N76">
        <v>320</v>
      </c>
      <c r="P76" t="s">
        <v>68</v>
      </c>
      <c r="Q76" t="str">
        <f>VLOOKUP(B76,'Player Register'!$B$6:$D$125,3,FALSE())</f>
        <v>25–44</v>
      </c>
    </row>
    <row r="77" spans="2:17" x14ac:dyDescent="0.2">
      <c r="B77">
        <v>3015</v>
      </c>
      <c r="C77">
        <v>2</v>
      </c>
      <c r="D77" t="s">
        <v>58</v>
      </c>
      <c r="E77">
        <v>0.27</v>
      </c>
      <c r="F77">
        <v>201</v>
      </c>
      <c r="G77">
        <v>7</v>
      </c>
      <c r="H77">
        <v>0</v>
      </c>
      <c r="I77">
        <v>0</v>
      </c>
      <c r="J77">
        <v>78.5</v>
      </c>
      <c r="K77">
        <v>14.4</v>
      </c>
      <c r="L77">
        <v>0.8</v>
      </c>
      <c r="M77" t="s">
        <v>36</v>
      </c>
      <c r="N77">
        <v>321</v>
      </c>
      <c r="P77" t="s">
        <v>68</v>
      </c>
      <c r="Q77" t="str">
        <f>VLOOKUP(B77,'Player Register'!$B$6:$D$125,3,FALSE())</f>
        <v>25–44</v>
      </c>
    </row>
    <row r="78" spans="2:17" x14ac:dyDescent="0.2">
      <c r="B78">
        <v>3015</v>
      </c>
      <c r="C78">
        <v>3</v>
      </c>
      <c r="D78" t="s">
        <v>84</v>
      </c>
      <c r="E78">
        <v>0.28999999999999998</v>
      </c>
      <c r="F78">
        <v>200</v>
      </c>
      <c r="G78">
        <v>5</v>
      </c>
      <c r="H78">
        <v>0</v>
      </c>
      <c r="I78">
        <v>0</v>
      </c>
      <c r="J78">
        <v>78</v>
      </c>
      <c r="K78">
        <v>12.6</v>
      </c>
      <c r="L78">
        <v>0.7</v>
      </c>
      <c r="M78" t="s">
        <v>36</v>
      </c>
      <c r="N78">
        <v>300</v>
      </c>
      <c r="P78" t="s">
        <v>68</v>
      </c>
      <c r="Q78" t="str">
        <f>VLOOKUP(B78,'Player Register'!$B$6:$D$125,3,FALSE())</f>
        <v>25–44</v>
      </c>
    </row>
    <row r="79" spans="2:17" x14ac:dyDescent="0.2">
      <c r="B79">
        <v>3015</v>
      </c>
      <c r="C79">
        <v>4</v>
      </c>
      <c r="D79" t="s">
        <v>63</v>
      </c>
      <c r="E79">
        <v>0.31</v>
      </c>
      <c r="F79">
        <v>200</v>
      </c>
      <c r="G79">
        <v>10</v>
      </c>
      <c r="H79">
        <v>1</v>
      </c>
      <c r="I79">
        <v>0</v>
      </c>
      <c r="J79">
        <v>65.2</v>
      </c>
      <c r="K79">
        <v>10.8</v>
      </c>
      <c r="L79">
        <v>0.6</v>
      </c>
      <c r="M79" t="s">
        <v>36</v>
      </c>
      <c r="N79">
        <v>350</v>
      </c>
      <c r="P79" t="s">
        <v>61</v>
      </c>
      <c r="Q79" t="str">
        <f>VLOOKUP(B79,'Player Register'!$B$6:$D$125,3,FALSE())</f>
        <v>25–44</v>
      </c>
    </row>
    <row r="80" spans="2:17" x14ac:dyDescent="0.2">
      <c r="B80">
        <v>3015</v>
      </c>
      <c r="C80">
        <v>5</v>
      </c>
      <c r="D80" t="s">
        <v>72</v>
      </c>
      <c r="E80">
        <v>0.28999999999999998</v>
      </c>
      <c r="F80">
        <v>200</v>
      </c>
      <c r="G80">
        <v>12</v>
      </c>
      <c r="H80">
        <v>1</v>
      </c>
      <c r="I80">
        <v>0</v>
      </c>
      <c r="J80">
        <v>76.2</v>
      </c>
      <c r="K80">
        <v>12.6</v>
      </c>
      <c r="L80">
        <v>0.7</v>
      </c>
      <c r="M80" t="s">
        <v>36</v>
      </c>
      <c r="N80">
        <v>370</v>
      </c>
      <c r="P80" t="s">
        <v>73</v>
      </c>
      <c r="Q80" t="str">
        <f>VLOOKUP(B80,'Player Register'!$B$6:$D$125,3,FALSE())</f>
        <v>25–44</v>
      </c>
    </row>
    <row r="81" spans="2:17" x14ac:dyDescent="0.2">
      <c r="B81">
        <v>3016</v>
      </c>
      <c r="C81">
        <v>1</v>
      </c>
      <c r="D81" t="s">
        <v>63</v>
      </c>
      <c r="E81">
        <v>0.31</v>
      </c>
      <c r="F81">
        <v>200</v>
      </c>
      <c r="G81">
        <v>8</v>
      </c>
      <c r="H81">
        <v>0</v>
      </c>
      <c r="I81">
        <v>0</v>
      </c>
      <c r="J81">
        <v>66.099999999999994</v>
      </c>
      <c r="K81">
        <v>10.8</v>
      </c>
      <c r="L81">
        <v>0.6</v>
      </c>
      <c r="M81" t="s">
        <v>36</v>
      </c>
      <c r="N81">
        <v>330</v>
      </c>
      <c r="P81" t="s">
        <v>73</v>
      </c>
      <c r="Q81" t="str">
        <f>VLOOKUP(B81,'Player Register'!$B$6:$D$125,3,FALSE())</f>
        <v>25–44</v>
      </c>
    </row>
    <row r="82" spans="2:17" x14ac:dyDescent="0.2">
      <c r="B82">
        <v>3016</v>
      </c>
      <c r="C82">
        <v>2</v>
      </c>
      <c r="D82" t="s">
        <v>65</v>
      </c>
      <c r="E82">
        <v>0.28999999999999998</v>
      </c>
      <c r="F82">
        <v>200</v>
      </c>
      <c r="G82">
        <v>8</v>
      </c>
      <c r="H82">
        <v>0</v>
      </c>
      <c r="I82">
        <v>0</v>
      </c>
      <c r="J82">
        <v>82</v>
      </c>
      <c r="K82">
        <v>12.6</v>
      </c>
      <c r="L82">
        <v>0.7</v>
      </c>
      <c r="M82" t="s">
        <v>36</v>
      </c>
      <c r="N82">
        <v>330</v>
      </c>
      <c r="P82" t="s">
        <v>68</v>
      </c>
      <c r="Q82" t="str">
        <f>VLOOKUP(B82,'Player Register'!$B$6:$D$125,3,FALSE())</f>
        <v>25–44</v>
      </c>
    </row>
    <row r="83" spans="2:17" x14ac:dyDescent="0.2">
      <c r="B83">
        <v>3016</v>
      </c>
      <c r="C83">
        <v>3</v>
      </c>
      <c r="D83" t="s">
        <v>74</v>
      </c>
      <c r="E83">
        <v>0.31</v>
      </c>
      <c r="F83">
        <v>200</v>
      </c>
      <c r="G83">
        <v>16</v>
      </c>
      <c r="H83">
        <v>0</v>
      </c>
      <c r="I83">
        <v>0</v>
      </c>
      <c r="J83">
        <v>45.8</v>
      </c>
      <c r="K83">
        <v>10.8</v>
      </c>
      <c r="L83">
        <v>0.6</v>
      </c>
      <c r="M83" t="s">
        <v>36</v>
      </c>
      <c r="N83">
        <v>410</v>
      </c>
      <c r="P83" t="s">
        <v>73</v>
      </c>
      <c r="Q83" t="str">
        <f>VLOOKUP(B83,'Player Register'!$B$6:$D$125,3,FALSE())</f>
        <v>25–44</v>
      </c>
    </row>
    <row r="84" spans="2:17" x14ac:dyDescent="0.2">
      <c r="B84">
        <v>3016</v>
      </c>
      <c r="C84">
        <v>4</v>
      </c>
      <c r="D84" t="s">
        <v>87</v>
      </c>
      <c r="E84">
        <v>0.28999999999999998</v>
      </c>
      <c r="F84">
        <v>200</v>
      </c>
      <c r="G84">
        <v>9</v>
      </c>
      <c r="H84">
        <v>1</v>
      </c>
      <c r="I84">
        <v>0</v>
      </c>
      <c r="J84">
        <v>74.7</v>
      </c>
      <c r="K84">
        <v>12.6</v>
      </c>
      <c r="L84">
        <v>0.7</v>
      </c>
      <c r="M84" t="s">
        <v>36</v>
      </c>
      <c r="N84">
        <v>340</v>
      </c>
      <c r="P84" t="s">
        <v>73</v>
      </c>
      <c r="Q84" t="str">
        <f>VLOOKUP(B84,'Player Register'!$B$6:$D$125,3,FALSE())</f>
        <v>25–44</v>
      </c>
    </row>
    <row r="85" spans="2:17" x14ac:dyDescent="0.2">
      <c r="B85">
        <v>3016</v>
      </c>
      <c r="C85">
        <v>5</v>
      </c>
      <c r="D85" t="s">
        <v>90</v>
      </c>
      <c r="E85">
        <v>0.28999999999999998</v>
      </c>
      <c r="F85">
        <v>200</v>
      </c>
      <c r="G85">
        <v>7</v>
      </c>
      <c r="H85">
        <v>1</v>
      </c>
      <c r="I85">
        <v>0</v>
      </c>
      <c r="J85">
        <v>76.099999999999994</v>
      </c>
      <c r="K85">
        <v>12.6</v>
      </c>
      <c r="L85">
        <v>0.7</v>
      </c>
      <c r="M85" t="s">
        <v>36</v>
      </c>
      <c r="N85">
        <v>320</v>
      </c>
      <c r="P85" t="s">
        <v>73</v>
      </c>
      <c r="Q85" t="str">
        <f>VLOOKUP(B85,'Player Register'!$B$6:$D$125,3,FALSE())</f>
        <v>25–44</v>
      </c>
    </row>
    <row r="86" spans="2:17" x14ac:dyDescent="0.2">
      <c r="B86">
        <v>3017</v>
      </c>
      <c r="C86">
        <v>1</v>
      </c>
      <c r="D86" t="s">
        <v>84</v>
      </c>
      <c r="E86">
        <v>0.31</v>
      </c>
      <c r="F86">
        <v>201</v>
      </c>
      <c r="G86">
        <v>7</v>
      </c>
      <c r="H86">
        <v>1</v>
      </c>
      <c r="I86">
        <v>0</v>
      </c>
      <c r="J86">
        <v>51.3</v>
      </c>
      <c r="K86">
        <v>12.6</v>
      </c>
      <c r="L86">
        <v>0.7</v>
      </c>
      <c r="M86" t="s">
        <v>36</v>
      </c>
      <c r="N86">
        <v>321</v>
      </c>
      <c r="P86" t="s">
        <v>61</v>
      </c>
      <c r="Q86" t="str">
        <f>VLOOKUP(B86,'Player Register'!$B$6:$D$125,3,FALSE())</f>
        <v>25–44</v>
      </c>
    </row>
    <row r="87" spans="2:17" x14ac:dyDescent="0.2">
      <c r="B87">
        <v>3017</v>
      </c>
      <c r="C87">
        <v>2</v>
      </c>
      <c r="D87" t="s">
        <v>63</v>
      </c>
      <c r="E87">
        <v>0.28999999999999998</v>
      </c>
      <c r="F87">
        <v>200</v>
      </c>
      <c r="G87">
        <v>10</v>
      </c>
      <c r="H87">
        <v>1</v>
      </c>
      <c r="I87">
        <v>0</v>
      </c>
      <c r="J87">
        <v>69.400000000000006</v>
      </c>
      <c r="K87">
        <v>12.6</v>
      </c>
      <c r="L87">
        <v>0.7</v>
      </c>
      <c r="M87" t="s">
        <v>36</v>
      </c>
      <c r="N87">
        <v>350</v>
      </c>
      <c r="P87" t="s">
        <v>73</v>
      </c>
      <c r="Q87" t="str">
        <f>VLOOKUP(B87,'Player Register'!$B$6:$D$125,3,FALSE())</f>
        <v>25–44</v>
      </c>
    </row>
    <row r="88" spans="2:17" x14ac:dyDescent="0.2">
      <c r="B88">
        <v>3017</v>
      </c>
      <c r="C88">
        <v>3</v>
      </c>
      <c r="D88" t="s">
        <v>65</v>
      </c>
      <c r="E88">
        <v>0.31</v>
      </c>
      <c r="F88">
        <v>201</v>
      </c>
      <c r="G88">
        <v>5</v>
      </c>
      <c r="H88">
        <v>0</v>
      </c>
      <c r="I88">
        <v>0</v>
      </c>
      <c r="J88">
        <v>52</v>
      </c>
      <c r="K88">
        <v>12.6</v>
      </c>
      <c r="L88">
        <v>0.7</v>
      </c>
      <c r="M88" t="s">
        <v>36</v>
      </c>
      <c r="N88">
        <v>301</v>
      </c>
      <c r="P88" t="s">
        <v>73</v>
      </c>
      <c r="Q88" t="str">
        <f>VLOOKUP(B88,'Player Register'!$B$6:$D$125,3,FALSE())</f>
        <v>25–44</v>
      </c>
    </row>
    <row r="89" spans="2:17" x14ac:dyDescent="0.2">
      <c r="B89">
        <v>3017</v>
      </c>
      <c r="C89">
        <v>4</v>
      </c>
      <c r="D89" t="s">
        <v>74</v>
      </c>
      <c r="E89">
        <v>0.28999999999999998</v>
      </c>
      <c r="F89">
        <v>200</v>
      </c>
      <c r="G89">
        <v>11</v>
      </c>
      <c r="H89">
        <v>1</v>
      </c>
      <c r="I89">
        <v>0</v>
      </c>
      <c r="J89">
        <v>75.400000000000006</v>
      </c>
      <c r="K89">
        <v>12.6</v>
      </c>
      <c r="L89">
        <v>0.7</v>
      </c>
      <c r="M89" t="s">
        <v>36</v>
      </c>
      <c r="N89">
        <v>360</v>
      </c>
      <c r="P89" t="s">
        <v>73</v>
      </c>
      <c r="Q89" t="str">
        <f>VLOOKUP(B89,'Player Register'!$B$6:$D$125,3,FALSE())</f>
        <v>25–44</v>
      </c>
    </row>
    <row r="90" spans="2:17" x14ac:dyDescent="0.2">
      <c r="B90">
        <v>3017</v>
      </c>
      <c r="C90">
        <v>5</v>
      </c>
      <c r="D90" t="s">
        <v>75</v>
      </c>
      <c r="E90">
        <v>0.28999999999999998</v>
      </c>
      <c r="F90">
        <v>200</v>
      </c>
      <c r="G90">
        <v>5</v>
      </c>
      <c r="H90">
        <v>2</v>
      </c>
      <c r="I90">
        <v>0</v>
      </c>
      <c r="J90">
        <v>65</v>
      </c>
      <c r="K90">
        <v>12.6</v>
      </c>
      <c r="L90">
        <v>0.7</v>
      </c>
      <c r="M90" t="s">
        <v>36</v>
      </c>
      <c r="N90">
        <v>300</v>
      </c>
      <c r="P90" t="s">
        <v>61</v>
      </c>
      <c r="Q90" t="str">
        <f>VLOOKUP(B90,'Player Register'!$B$6:$D$125,3,FALSE())</f>
        <v>25–44</v>
      </c>
    </row>
    <row r="91" spans="2:17" x14ac:dyDescent="0.2">
      <c r="B91">
        <v>3018</v>
      </c>
      <c r="C91">
        <v>1</v>
      </c>
      <c r="D91" t="s">
        <v>71</v>
      </c>
      <c r="E91">
        <v>0.31</v>
      </c>
      <c r="F91">
        <v>200</v>
      </c>
      <c r="G91">
        <v>9</v>
      </c>
      <c r="H91">
        <v>1</v>
      </c>
      <c r="I91">
        <v>0</v>
      </c>
      <c r="J91">
        <v>64</v>
      </c>
      <c r="K91">
        <v>10.8</v>
      </c>
      <c r="L91">
        <v>0.6</v>
      </c>
      <c r="M91" t="s">
        <v>36</v>
      </c>
      <c r="N91">
        <v>340</v>
      </c>
      <c r="P91" t="s">
        <v>61</v>
      </c>
      <c r="Q91" t="str">
        <f>VLOOKUP(B91,'Player Register'!$B$6:$D$125,3,FALSE())</f>
        <v>25–44</v>
      </c>
    </row>
    <row r="92" spans="2:17" x14ac:dyDescent="0.2">
      <c r="B92">
        <v>3018</v>
      </c>
      <c r="C92">
        <v>2</v>
      </c>
      <c r="D92" t="s">
        <v>85</v>
      </c>
      <c r="E92">
        <v>0.28999999999999998</v>
      </c>
      <c r="F92">
        <v>200</v>
      </c>
      <c r="G92">
        <v>11</v>
      </c>
      <c r="H92">
        <v>1</v>
      </c>
      <c r="I92">
        <v>0</v>
      </c>
      <c r="J92">
        <v>61.9</v>
      </c>
      <c r="K92">
        <v>12.6</v>
      </c>
      <c r="L92">
        <v>0.7</v>
      </c>
      <c r="M92" t="s">
        <v>36</v>
      </c>
      <c r="N92">
        <v>360</v>
      </c>
      <c r="P92" t="s">
        <v>73</v>
      </c>
      <c r="Q92" t="str">
        <f>VLOOKUP(B92,'Player Register'!$B$6:$D$125,3,FALSE())</f>
        <v>25–44</v>
      </c>
    </row>
    <row r="93" spans="2:17" x14ac:dyDescent="0.2">
      <c r="B93">
        <v>3018</v>
      </c>
      <c r="C93">
        <v>3</v>
      </c>
      <c r="D93" t="s">
        <v>91</v>
      </c>
      <c r="E93">
        <v>0.28999999999999998</v>
      </c>
      <c r="F93">
        <v>200</v>
      </c>
      <c r="G93">
        <v>9</v>
      </c>
      <c r="H93">
        <v>1</v>
      </c>
      <c r="I93">
        <v>0</v>
      </c>
      <c r="J93">
        <v>64.599999999999994</v>
      </c>
      <c r="K93">
        <v>12.6</v>
      </c>
      <c r="L93">
        <v>0.7</v>
      </c>
      <c r="M93" t="s">
        <v>36</v>
      </c>
      <c r="N93">
        <v>340</v>
      </c>
      <c r="P93" t="s">
        <v>73</v>
      </c>
      <c r="Q93" t="str">
        <f>VLOOKUP(B93,'Player Register'!$B$6:$D$125,3,FALSE())</f>
        <v>25–44</v>
      </c>
    </row>
    <row r="94" spans="2:17" x14ac:dyDescent="0.2">
      <c r="B94">
        <v>3018</v>
      </c>
      <c r="C94">
        <v>4</v>
      </c>
      <c r="D94" t="s">
        <v>86</v>
      </c>
      <c r="E94">
        <v>0.31</v>
      </c>
      <c r="F94">
        <v>201</v>
      </c>
      <c r="G94">
        <v>6</v>
      </c>
      <c r="H94">
        <v>1</v>
      </c>
      <c r="I94">
        <v>0</v>
      </c>
      <c r="J94">
        <v>75.8</v>
      </c>
      <c r="K94">
        <v>12.6</v>
      </c>
      <c r="L94">
        <v>0.7</v>
      </c>
      <c r="M94" t="s">
        <v>36</v>
      </c>
      <c r="N94">
        <v>311</v>
      </c>
      <c r="P94" t="s">
        <v>61</v>
      </c>
      <c r="Q94" t="str">
        <f>VLOOKUP(B94,'Player Register'!$B$6:$D$125,3,FALSE())</f>
        <v>25–44</v>
      </c>
    </row>
    <row r="95" spans="2:17" x14ac:dyDescent="0.2">
      <c r="B95">
        <v>3018</v>
      </c>
      <c r="C95">
        <v>5</v>
      </c>
      <c r="D95" t="s">
        <v>74</v>
      </c>
      <c r="E95">
        <v>0.28999999999999998</v>
      </c>
      <c r="F95">
        <v>200</v>
      </c>
      <c r="G95">
        <v>6</v>
      </c>
      <c r="H95">
        <v>2</v>
      </c>
      <c r="I95">
        <v>0</v>
      </c>
      <c r="J95">
        <v>74.2</v>
      </c>
      <c r="K95">
        <v>12.6</v>
      </c>
      <c r="L95">
        <v>0.7</v>
      </c>
      <c r="M95" t="s">
        <v>36</v>
      </c>
      <c r="N95">
        <v>310</v>
      </c>
      <c r="P95" t="s">
        <v>61</v>
      </c>
      <c r="Q95" t="str">
        <f>VLOOKUP(B95,'Player Register'!$B$6:$D$125,3,FALSE())</f>
        <v>25–44</v>
      </c>
    </row>
    <row r="96" spans="2:17" x14ac:dyDescent="0.2">
      <c r="B96">
        <v>3019</v>
      </c>
      <c r="C96">
        <v>1</v>
      </c>
      <c r="D96" t="s">
        <v>58</v>
      </c>
      <c r="E96">
        <v>0.31</v>
      </c>
      <c r="F96">
        <v>200</v>
      </c>
      <c r="G96">
        <v>9</v>
      </c>
      <c r="H96">
        <v>2</v>
      </c>
      <c r="I96">
        <v>0</v>
      </c>
      <c r="J96">
        <v>53.1</v>
      </c>
      <c r="K96">
        <v>10.8</v>
      </c>
      <c r="L96">
        <v>0.6</v>
      </c>
      <c r="M96" t="s">
        <v>36</v>
      </c>
      <c r="N96">
        <v>340</v>
      </c>
      <c r="P96" t="s">
        <v>59</v>
      </c>
      <c r="Q96" t="str">
        <f>VLOOKUP(B96,'Player Register'!$B$6:$D$125,3,FALSE())</f>
        <v>25–44</v>
      </c>
    </row>
    <row r="97" spans="2:17" x14ac:dyDescent="0.2">
      <c r="B97">
        <v>3019</v>
      </c>
      <c r="C97">
        <v>2</v>
      </c>
      <c r="D97" t="s">
        <v>62</v>
      </c>
      <c r="E97">
        <v>0.28999999999999998</v>
      </c>
      <c r="F97">
        <v>200</v>
      </c>
      <c r="G97">
        <v>8</v>
      </c>
      <c r="H97">
        <v>1</v>
      </c>
      <c r="I97">
        <v>0</v>
      </c>
      <c r="J97">
        <v>80.7</v>
      </c>
      <c r="K97">
        <v>12.6</v>
      </c>
      <c r="L97">
        <v>0.7</v>
      </c>
      <c r="M97" t="s">
        <v>36</v>
      </c>
      <c r="N97">
        <v>330</v>
      </c>
      <c r="P97" t="s">
        <v>73</v>
      </c>
      <c r="Q97" t="str">
        <f>VLOOKUP(B97,'Player Register'!$B$6:$D$125,3,FALSE())</f>
        <v>25–44</v>
      </c>
    </row>
    <row r="98" spans="2:17" x14ac:dyDescent="0.2">
      <c r="B98">
        <v>3019</v>
      </c>
      <c r="C98">
        <v>3</v>
      </c>
      <c r="D98" t="s">
        <v>63</v>
      </c>
      <c r="E98">
        <v>0.28999999999999998</v>
      </c>
      <c r="F98">
        <v>200</v>
      </c>
      <c r="G98">
        <v>8</v>
      </c>
      <c r="H98">
        <v>0</v>
      </c>
      <c r="I98">
        <v>0</v>
      </c>
      <c r="J98">
        <v>76.099999999999994</v>
      </c>
      <c r="K98">
        <v>12.6</v>
      </c>
      <c r="L98">
        <v>0.7</v>
      </c>
      <c r="M98" t="s">
        <v>36</v>
      </c>
      <c r="N98">
        <v>330</v>
      </c>
      <c r="P98" t="s">
        <v>68</v>
      </c>
      <c r="Q98" t="str">
        <f>VLOOKUP(B98,'Player Register'!$B$6:$D$125,3,FALSE())</f>
        <v>25–44</v>
      </c>
    </row>
    <row r="99" spans="2:17" x14ac:dyDescent="0.2">
      <c r="B99">
        <v>3019</v>
      </c>
      <c r="C99">
        <v>4</v>
      </c>
      <c r="D99" t="s">
        <v>85</v>
      </c>
      <c r="E99">
        <v>0.31</v>
      </c>
      <c r="F99">
        <v>200</v>
      </c>
      <c r="G99">
        <v>3</v>
      </c>
      <c r="H99">
        <v>1</v>
      </c>
      <c r="I99">
        <v>0</v>
      </c>
      <c r="J99">
        <v>74.400000000000006</v>
      </c>
      <c r="K99">
        <v>10.8</v>
      </c>
      <c r="L99">
        <v>0.6</v>
      </c>
      <c r="M99" t="s">
        <v>36</v>
      </c>
      <c r="N99">
        <v>280</v>
      </c>
      <c r="P99" t="s">
        <v>61</v>
      </c>
      <c r="Q99" t="str">
        <f>VLOOKUP(B99,'Player Register'!$B$6:$D$125,3,FALSE())</f>
        <v>25–44</v>
      </c>
    </row>
    <row r="100" spans="2:17" x14ac:dyDescent="0.2">
      <c r="B100">
        <v>3019</v>
      </c>
      <c r="C100">
        <v>5</v>
      </c>
      <c r="D100" t="s">
        <v>65</v>
      </c>
      <c r="E100">
        <v>0.31</v>
      </c>
      <c r="F100">
        <v>200</v>
      </c>
      <c r="G100">
        <v>5</v>
      </c>
      <c r="H100">
        <v>1</v>
      </c>
      <c r="I100">
        <v>0</v>
      </c>
      <c r="J100">
        <v>73.3</v>
      </c>
      <c r="K100">
        <v>10.8</v>
      </c>
      <c r="L100">
        <v>0.6</v>
      </c>
      <c r="M100" t="s">
        <v>36</v>
      </c>
      <c r="N100">
        <v>300</v>
      </c>
      <c r="P100" t="s">
        <v>61</v>
      </c>
      <c r="Q100" t="str">
        <f>VLOOKUP(B100,'Player Register'!$B$6:$D$125,3,FALSE())</f>
        <v>25–44</v>
      </c>
    </row>
    <row r="101" spans="2:17" x14ac:dyDescent="0.2">
      <c r="B101">
        <v>3020</v>
      </c>
      <c r="C101">
        <v>1</v>
      </c>
      <c r="D101" t="s">
        <v>78</v>
      </c>
      <c r="E101">
        <v>0.28999999999999998</v>
      </c>
      <c r="F101">
        <v>200</v>
      </c>
      <c r="G101">
        <v>7</v>
      </c>
      <c r="H101">
        <v>1</v>
      </c>
      <c r="I101">
        <v>0</v>
      </c>
      <c r="J101">
        <v>69.3</v>
      </c>
      <c r="K101">
        <v>12.6</v>
      </c>
      <c r="L101">
        <v>0.7</v>
      </c>
      <c r="M101" t="s">
        <v>36</v>
      </c>
      <c r="N101">
        <v>320</v>
      </c>
      <c r="P101" t="s">
        <v>73</v>
      </c>
      <c r="Q101" t="str">
        <f>VLOOKUP(B101,'Player Register'!$B$6:$D$125,3,FALSE())</f>
        <v>25–44</v>
      </c>
    </row>
    <row r="102" spans="2:17" x14ac:dyDescent="0.2">
      <c r="B102">
        <v>3020</v>
      </c>
      <c r="C102">
        <v>2</v>
      </c>
      <c r="D102" t="s">
        <v>83</v>
      </c>
      <c r="E102">
        <v>0.34</v>
      </c>
      <c r="F102">
        <v>200</v>
      </c>
      <c r="G102">
        <v>6</v>
      </c>
      <c r="H102">
        <v>2</v>
      </c>
      <c r="I102">
        <v>0</v>
      </c>
      <c r="J102">
        <v>69.7</v>
      </c>
      <c r="K102">
        <v>10.8</v>
      </c>
      <c r="L102">
        <v>0.55000000000000004</v>
      </c>
      <c r="M102" t="s">
        <v>36</v>
      </c>
      <c r="N102">
        <v>310</v>
      </c>
      <c r="P102" t="s">
        <v>59</v>
      </c>
      <c r="Q102" t="str">
        <f>VLOOKUP(B102,'Player Register'!$B$6:$D$125,3,FALSE())</f>
        <v>25–44</v>
      </c>
    </row>
    <row r="103" spans="2:17" x14ac:dyDescent="0.2">
      <c r="B103">
        <v>3020</v>
      </c>
      <c r="C103">
        <v>3</v>
      </c>
      <c r="D103" t="s">
        <v>79</v>
      </c>
      <c r="E103">
        <v>0.28000000000000003</v>
      </c>
      <c r="F103">
        <v>200</v>
      </c>
      <c r="G103">
        <v>7</v>
      </c>
      <c r="H103">
        <v>1</v>
      </c>
      <c r="I103">
        <v>0</v>
      </c>
      <c r="J103">
        <v>74.400000000000006</v>
      </c>
      <c r="K103">
        <v>12.6</v>
      </c>
      <c r="L103">
        <v>0.7</v>
      </c>
      <c r="M103" t="s">
        <v>36</v>
      </c>
      <c r="N103">
        <v>320</v>
      </c>
      <c r="P103" t="s">
        <v>73</v>
      </c>
      <c r="Q103" t="str">
        <f>VLOOKUP(B103,'Player Register'!$B$6:$D$125,3,FALSE())</f>
        <v>25–44</v>
      </c>
    </row>
    <row r="104" spans="2:17" x14ac:dyDescent="0.2">
      <c r="B104">
        <v>3020</v>
      </c>
      <c r="C104">
        <v>4</v>
      </c>
      <c r="D104" t="s">
        <v>69</v>
      </c>
      <c r="E104">
        <v>0.31</v>
      </c>
      <c r="F104">
        <v>201</v>
      </c>
      <c r="G104">
        <v>14</v>
      </c>
      <c r="H104">
        <v>1</v>
      </c>
      <c r="I104">
        <v>0</v>
      </c>
      <c r="J104">
        <v>72.7</v>
      </c>
      <c r="K104">
        <v>12.6</v>
      </c>
      <c r="L104">
        <v>0.7</v>
      </c>
      <c r="M104" t="s">
        <v>36</v>
      </c>
      <c r="N104">
        <v>391</v>
      </c>
      <c r="P104" t="s">
        <v>61</v>
      </c>
      <c r="Q104" t="str">
        <f>VLOOKUP(B104,'Player Register'!$B$6:$D$125,3,FALSE())</f>
        <v>25–44</v>
      </c>
    </row>
    <row r="105" spans="2:17" x14ac:dyDescent="0.2">
      <c r="B105">
        <v>3020</v>
      </c>
      <c r="C105">
        <v>5</v>
      </c>
      <c r="D105" t="s">
        <v>62</v>
      </c>
      <c r="E105">
        <v>0.31</v>
      </c>
      <c r="F105">
        <v>201</v>
      </c>
      <c r="G105">
        <v>12</v>
      </c>
      <c r="H105">
        <v>1</v>
      </c>
      <c r="I105">
        <v>0</v>
      </c>
      <c r="J105">
        <v>62.1</v>
      </c>
      <c r="K105">
        <v>12.6</v>
      </c>
      <c r="L105">
        <v>0.7</v>
      </c>
      <c r="M105" t="s">
        <v>36</v>
      </c>
      <c r="N105">
        <v>371</v>
      </c>
      <c r="P105" t="s">
        <v>61</v>
      </c>
      <c r="Q105" t="str">
        <f>VLOOKUP(B105,'Player Register'!$B$6:$D$125,3,FALSE())</f>
        <v>25–44</v>
      </c>
    </row>
    <row r="106" spans="2:17" x14ac:dyDescent="0.2">
      <c r="B106">
        <v>3021</v>
      </c>
      <c r="C106">
        <v>1</v>
      </c>
      <c r="D106" t="s">
        <v>58</v>
      </c>
      <c r="E106">
        <v>0.35</v>
      </c>
      <c r="F106">
        <v>200</v>
      </c>
      <c r="G106">
        <v>7</v>
      </c>
      <c r="H106">
        <v>3</v>
      </c>
      <c r="I106">
        <v>0</v>
      </c>
      <c r="J106">
        <v>56.1</v>
      </c>
      <c r="K106">
        <v>10.8</v>
      </c>
      <c r="L106">
        <v>0.45</v>
      </c>
      <c r="M106" t="s">
        <v>36</v>
      </c>
      <c r="N106">
        <v>320</v>
      </c>
      <c r="P106" t="s">
        <v>64</v>
      </c>
      <c r="Q106" t="str">
        <f>VLOOKUP(B106,'Player Register'!$B$6:$D$125,3,FALSE())</f>
        <v>25–44</v>
      </c>
    </row>
    <row r="107" spans="2:17" x14ac:dyDescent="0.2">
      <c r="B107">
        <v>3021</v>
      </c>
      <c r="C107">
        <v>2</v>
      </c>
      <c r="D107" t="s">
        <v>84</v>
      </c>
      <c r="E107">
        <v>0.31</v>
      </c>
      <c r="F107">
        <v>200</v>
      </c>
      <c r="G107">
        <v>9</v>
      </c>
      <c r="H107">
        <v>1</v>
      </c>
      <c r="I107">
        <v>0</v>
      </c>
      <c r="J107">
        <v>60</v>
      </c>
      <c r="K107">
        <v>10.8</v>
      </c>
      <c r="L107">
        <v>0.6</v>
      </c>
      <c r="M107" t="s">
        <v>36</v>
      </c>
      <c r="N107">
        <v>340</v>
      </c>
      <c r="P107" t="s">
        <v>61</v>
      </c>
      <c r="Q107" t="str">
        <f>VLOOKUP(B107,'Player Register'!$B$6:$D$125,3,FALSE())</f>
        <v>25–44</v>
      </c>
    </row>
    <row r="108" spans="2:17" x14ac:dyDescent="0.2">
      <c r="B108">
        <v>3021</v>
      </c>
      <c r="C108">
        <v>3</v>
      </c>
      <c r="D108" t="s">
        <v>72</v>
      </c>
      <c r="E108">
        <v>0.28999999999999998</v>
      </c>
      <c r="F108">
        <v>200</v>
      </c>
      <c r="G108">
        <v>8</v>
      </c>
      <c r="H108">
        <v>1</v>
      </c>
      <c r="I108">
        <v>0</v>
      </c>
      <c r="J108">
        <v>64.7</v>
      </c>
      <c r="K108">
        <v>12.6</v>
      </c>
      <c r="L108">
        <v>0.7</v>
      </c>
      <c r="M108" t="s">
        <v>36</v>
      </c>
      <c r="N108">
        <v>330</v>
      </c>
      <c r="P108" t="s">
        <v>73</v>
      </c>
      <c r="Q108" t="str">
        <f>VLOOKUP(B108,'Player Register'!$B$6:$D$125,3,FALSE())</f>
        <v>25–44</v>
      </c>
    </row>
    <row r="109" spans="2:17" x14ac:dyDescent="0.2">
      <c r="B109">
        <v>3021</v>
      </c>
      <c r="C109">
        <v>4</v>
      </c>
      <c r="D109" t="s">
        <v>85</v>
      </c>
      <c r="E109">
        <v>0.31</v>
      </c>
      <c r="F109">
        <v>200</v>
      </c>
      <c r="G109">
        <v>9</v>
      </c>
      <c r="H109">
        <v>1</v>
      </c>
      <c r="I109">
        <v>0</v>
      </c>
      <c r="J109">
        <v>52.8</v>
      </c>
      <c r="K109">
        <v>10.8</v>
      </c>
      <c r="L109">
        <v>0.6</v>
      </c>
      <c r="M109" t="s">
        <v>36</v>
      </c>
      <c r="N109">
        <v>340</v>
      </c>
      <c r="P109" t="s">
        <v>61</v>
      </c>
      <c r="Q109" t="str">
        <f>VLOOKUP(B109,'Player Register'!$B$6:$D$125,3,FALSE())</f>
        <v>25–44</v>
      </c>
    </row>
    <row r="110" spans="2:17" x14ac:dyDescent="0.2">
      <c r="B110">
        <v>3021</v>
      </c>
      <c r="C110">
        <v>5</v>
      </c>
      <c r="D110" t="s">
        <v>91</v>
      </c>
      <c r="E110">
        <v>0.31</v>
      </c>
      <c r="F110">
        <v>200</v>
      </c>
      <c r="G110">
        <v>9</v>
      </c>
      <c r="H110">
        <v>1</v>
      </c>
      <c r="I110">
        <v>0</v>
      </c>
      <c r="J110">
        <v>70.400000000000006</v>
      </c>
      <c r="K110">
        <v>10.8</v>
      </c>
      <c r="L110">
        <v>0.6</v>
      </c>
      <c r="M110" t="s">
        <v>36</v>
      </c>
      <c r="N110">
        <v>340</v>
      </c>
      <c r="P110" t="s">
        <v>61</v>
      </c>
      <c r="Q110" t="str">
        <f>VLOOKUP(B110,'Player Register'!$B$6:$D$125,3,FALSE())</f>
        <v>25–44</v>
      </c>
    </row>
    <row r="111" spans="2:17" x14ac:dyDescent="0.2">
      <c r="B111">
        <v>3022</v>
      </c>
      <c r="C111">
        <v>1</v>
      </c>
      <c r="D111" t="s">
        <v>77</v>
      </c>
      <c r="E111">
        <v>0.31</v>
      </c>
      <c r="F111">
        <v>200</v>
      </c>
      <c r="G111">
        <v>1</v>
      </c>
      <c r="H111">
        <v>4</v>
      </c>
      <c r="I111">
        <v>0</v>
      </c>
      <c r="J111">
        <v>56.3</v>
      </c>
      <c r="K111">
        <v>10.8</v>
      </c>
      <c r="L111">
        <v>0.45</v>
      </c>
      <c r="M111" t="s">
        <v>36</v>
      </c>
      <c r="N111">
        <v>260</v>
      </c>
      <c r="P111" t="s">
        <v>70</v>
      </c>
      <c r="Q111" t="str">
        <f>VLOOKUP(B111,'Player Register'!$B$6:$D$125,3,FALSE())</f>
        <v>25–44</v>
      </c>
    </row>
    <row r="112" spans="2:17" x14ac:dyDescent="0.2">
      <c r="B112">
        <v>3022</v>
      </c>
      <c r="C112">
        <v>2</v>
      </c>
      <c r="D112" t="s">
        <v>66</v>
      </c>
      <c r="E112">
        <v>0.31</v>
      </c>
      <c r="F112">
        <v>200</v>
      </c>
      <c r="G112">
        <v>9</v>
      </c>
      <c r="H112">
        <v>2</v>
      </c>
      <c r="I112">
        <v>0</v>
      </c>
      <c r="J112">
        <v>38.9</v>
      </c>
      <c r="K112">
        <v>10.8</v>
      </c>
      <c r="L112">
        <v>0.6</v>
      </c>
      <c r="M112" t="s">
        <v>36</v>
      </c>
      <c r="N112">
        <v>340</v>
      </c>
      <c r="P112" t="s">
        <v>59</v>
      </c>
      <c r="Q112" t="str">
        <f>VLOOKUP(B112,'Player Register'!$B$6:$D$125,3,FALSE())</f>
        <v>25–44</v>
      </c>
    </row>
    <row r="113" spans="2:17" x14ac:dyDescent="0.2">
      <c r="B113">
        <v>3022</v>
      </c>
      <c r="C113">
        <v>3</v>
      </c>
      <c r="D113" t="s">
        <v>67</v>
      </c>
      <c r="E113">
        <v>0.35</v>
      </c>
      <c r="F113">
        <v>200</v>
      </c>
      <c r="G113">
        <v>7</v>
      </c>
      <c r="H113">
        <v>4</v>
      </c>
      <c r="I113">
        <v>0</v>
      </c>
      <c r="J113">
        <v>45</v>
      </c>
      <c r="K113">
        <v>10.8</v>
      </c>
      <c r="L113">
        <v>0.45</v>
      </c>
      <c r="M113" t="s">
        <v>36</v>
      </c>
      <c r="N113">
        <v>320</v>
      </c>
      <c r="P113" t="s">
        <v>70</v>
      </c>
      <c r="Q113" t="str">
        <f>VLOOKUP(B113,'Player Register'!$B$6:$D$125,3,FALSE())</f>
        <v>25–44</v>
      </c>
    </row>
    <row r="114" spans="2:17" x14ac:dyDescent="0.2">
      <c r="B114">
        <v>3022</v>
      </c>
      <c r="C114">
        <v>4</v>
      </c>
      <c r="D114" t="s">
        <v>60</v>
      </c>
      <c r="E114">
        <v>0.31</v>
      </c>
      <c r="F114">
        <v>200</v>
      </c>
      <c r="G114">
        <v>4</v>
      </c>
      <c r="H114">
        <v>1</v>
      </c>
      <c r="I114">
        <v>0</v>
      </c>
      <c r="J114">
        <v>36.200000000000003</v>
      </c>
      <c r="K114">
        <v>10.8</v>
      </c>
      <c r="L114">
        <v>0.6</v>
      </c>
      <c r="M114" t="s">
        <v>36</v>
      </c>
      <c r="N114">
        <v>290</v>
      </c>
      <c r="P114" t="s">
        <v>61</v>
      </c>
      <c r="Q114" t="str">
        <f>VLOOKUP(B114,'Player Register'!$B$6:$D$125,3,FALSE())</f>
        <v>25–44</v>
      </c>
    </row>
    <row r="115" spans="2:17" x14ac:dyDescent="0.2">
      <c r="B115">
        <v>3022</v>
      </c>
      <c r="C115">
        <v>5</v>
      </c>
      <c r="D115" t="s">
        <v>62</v>
      </c>
      <c r="E115">
        <v>0.31</v>
      </c>
      <c r="F115">
        <v>200</v>
      </c>
      <c r="G115">
        <v>7</v>
      </c>
      <c r="H115">
        <v>3</v>
      </c>
      <c r="I115">
        <v>0</v>
      </c>
      <c r="J115">
        <v>52.6</v>
      </c>
      <c r="K115">
        <v>10.8</v>
      </c>
      <c r="L115">
        <v>0.45</v>
      </c>
      <c r="M115" t="s">
        <v>36</v>
      </c>
      <c r="N115">
        <v>320</v>
      </c>
      <c r="P115" t="s">
        <v>64</v>
      </c>
      <c r="Q115" t="str">
        <f>VLOOKUP(B115,'Player Register'!$B$6:$D$125,3,FALSE())</f>
        <v>25–44</v>
      </c>
    </row>
    <row r="116" spans="2:17" x14ac:dyDescent="0.2">
      <c r="B116">
        <v>3023</v>
      </c>
      <c r="C116">
        <v>1</v>
      </c>
      <c r="D116" t="s">
        <v>60</v>
      </c>
      <c r="E116">
        <v>0.31</v>
      </c>
      <c r="F116">
        <v>200</v>
      </c>
      <c r="G116">
        <v>8</v>
      </c>
      <c r="H116">
        <v>1</v>
      </c>
      <c r="I116">
        <v>0</v>
      </c>
      <c r="J116">
        <v>60.3</v>
      </c>
      <c r="K116">
        <v>10.8</v>
      </c>
      <c r="L116">
        <v>0.6</v>
      </c>
      <c r="M116" t="s">
        <v>36</v>
      </c>
      <c r="N116">
        <v>330</v>
      </c>
      <c r="P116" t="s">
        <v>61</v>
      </c>
      <c r="Q116" t="str">
        <f>VLOOKUP(B116,'Player Register'!$B$6:$D$125,3,FALSE())</f>
        <v>25–44</v>
      </c>
    </row>
    <row r="117" spans="2:17" x14ac:dyDescent="0.2">
      <c r="B117">
        <v>3023</v>
      </c>
      <c r="C117">
        <v>2</v>
      </c>
      <c r="D117" t="s">
        <v>71</v>
      </c>
      <c r="E117">
        <v>0.28999999999999998</v>
      </c>
      <c r="F117">
        <v>200</v>
      </c>
      <c r="G117">
        <v>13</v>
      </c>
      <c r="H117">
        <v>0</v>
      </c>
      <c r="I117">
        <v>0</v>
      </c>
      <c r="J117">
        <v>75.3</v>
      </c>
      <c r="K117">
        <v>12.6</v>
      </c>
      <c r="L117">
        <v>0.7</v>
      </c>
      <c r="M117" t="s">
        <v>36</v>
      </c>
      <c r="N117">
        <v>380</v>
      </c>
      <c r="P117" t="s">
        <v>68</v>
      </c>
      <c r="Q117" t="str">
        <f>VLOOKUP(B117,'Player Register'!$B$6:$D$125,3,FALSE())</f>
        <v>25–44</v>
      </c>
    </row>
    <row r="118" spans="2:17" x14ac:dyDescent="0.2">
      <c r="B118">
        <v>3023</v>
      </c>
      <c r="C118">
        <v>3</v>
      </c>
      <c r="D118" t="s">
        <v>72</v>
      </c>
      <c r="E118">
        <v>0.28999999999999998</v>
      </c>
      <c r="F118">
        <v>200</v>
      </c>
      <c r="G118">
        <v>7</v>
      </c>
      <c r="H118">
        <v>1</v>
      </c>
      <c r="I118">
        <v>0</v>
      </c>
      <c r="J118">
        <v>69.8</v>
      </c>
      <c r="K118">
        <v>12.6</v>
      </c>
      <c r="L118">
        <v>0.7</v>
      </c>
      <c r="M118" t="s">
        <v>36</v>
      </c>
      <c r="N118">
        <v>320</v>
      </c>
      <c r="P118" t="s">
        <v>73</v>
      </c>
      <c r="Q118" t="str">
        <f>VLOOKUP(B118,'Player Register'!$B$6:$D$125,3,FALSE())</f>
        <v>25–44</v>
      </c>
    </row>
    <row r="119" spans="2:17" x14ac:dyDescent="0.2">
      <c r="B119">
        <v>3023</v>
      </c>
      <c r="C119">
        <v>4</v>
      </c>
      <c r="D119" t="s">
        <v>65</v>
      </c>
      <c r="E119">
        <v>0.31</v>
      </c>
      <c r="F119">
        <v>200</v>
      </c>
      <c r="G119">
        <v>6</v>
      </c>
      <c r="H119">
        <v>0</v>
      </c>
      <c r="I119">
        <v>0</v>
      </c>
      <c r="J119">
        <v>81.900000000000006</v>
      </c>
      <c r="K119">
        <v>10.8</v>
      </c>
      <c r="L119">
        <v>0.6</v>
      </c>
      <c r="M119" t="s">
        <v>36</v>
      </c>
      <c r="N119">
        <v>310</v>
      </c>
      <c r="P119" t="s">
        <v>73</v>
      </c>
      <c r="Q119" t="str">
        <f>VLOOKUP(B119,'Player Register'!$B$6:$D$125,3,FALSE())</f>
        <v>25–44</v>
      </c>
    </row>
    <row r="120" spans="2:17" x14ac:dyDescent="0.2">
      <c r="B120">
        <v>3023</v>
      </c>
      <c r="C120">
        <v>5</v>
      </c>
      <c r="D120" t="s">
        <v>74</v>
      </c>
      <c r="E120">
        <v>0.31</v>
      </c>
      <c r="F120">
        <v>201</v>
      </c>
      <c r="G120">
        <v>6</v>
      </c>
      <c r="H120">
        <v>0</v>
      </c>
      <c r="I120">
        <v>0</v>
      </c>
      <c r="J120">
        <v>52.3</v>
      </c>
      <c r="K120">
        <v>12.6</v>
      </c>
      <c r="L120">
        <v>0.7</v>
      </c>
      <c r="M120" t="s">
        <v>36</v>
      </c>
      <c r="N120">
        <v>311</v>
      </c>
      <c r="P120" t="s">
        <v>73</v>
      </c>
      <c r="Q120" t="str">
        <f>VLOOKUP(B120,'Player Register'!$B$6:$D$125,3,FALSE())</f>
        <v>25–44</v>
      </c>
    </row>
    <row r="121" spans="2:17" x14ac:dyDescent="0.2">
      <c r="B121">
        <v>3024</v>
      </c>
      <c r="C121">
        <v>1</v>
      </c>
      <c r="D121" t="s">
        <v>63</v>
      </c>
      <c r="E121">
        <v>0.28999999999999998</v>
      </c>
      <c r="F121">
        <v>200</v>
      </c>
      <c r="G121">
        <v>10</v>
      </c>
      <c r="H121">
        <v>1</v>
      </c>
      <c r="I121">
        <v>0</v>
      </c>
      <c r="J121">
        <v>73.599999999999994</v>
      </c>
      <c r="K121">
        <v>12.6</v>
      </c>
      <c r="L121">
        <v>0.7</v>
      </c>
      <c r="M121" t="s">
        <v>36</v>
      </c>
      <c r="N121">
        <v>350</v>
      </c>
      <c r="P121" t="s">
        <v>73</v>
      </c>
      <c r="Q121" t="str">
        <f>VLOOKUP(B121,'Player Register'!$B$6:$D$125,3,FALSE())</f>
        <v>25–44</v>
      </c>
    </row>
    <row r="122" spans="2:17" x14ac:dyDescent="0.2">
      <c r="B122">
        <v>3024</v>
      </c>
      <c r="C122">
        <v>2</v>
      </c>
      <c r="D122" t="s">
        <v>65</v>
      </c>
      <c r="E122">
        <v>0.28999999999999998</v>
      </c>
      <c r="F122">
        <v>200</v>
      </c>
      <c r="G122">
        <v>17</v>
      </c>
      <c r="H122">
        <v>2</v>
      </c>
      <c r="I122">
        <v>0</v>
      </c>
      <c r="J122">
        <v>71</v>
      </c>
      <c r="K122">
        <v>12.6</v>
      </c>
      <c r="L122">
        <v>0.7</v>
      </c>
      <c r="M122" t="s">
        <v>36</v>
      </c>
      <c r="N122">
        <v>420</v>
      </c>
      <c r="P122" t="s">
        <v>61</v>
      </c>
      <c r="Q122" t="str">
        <f>VLOOKUP(B122,'Player Register'!$B$6:$D$125,3,FALSE())</f>
        <v>25–44</v>
      </c>
    </row>
    <row r="123" spans="2:17" x14ac:dyDescent="0.2">
      <c r="B123">
        <v>3024</v>
      </c>
      <c r="C123">
        <v>3</v>
      </c>
      <c r="D123" t="s">
        <v>74</v>
      </c>
      <c r="E123">
        <v>0.31</v>
      </c>
      <c r="F123">
        <v>201</v>
      </c>
      <c r="G123">
        <v>14</v>
      </c>
      <c r="H123">
        <v>0</v>
      </c>
      <c r="I123">
        <v>0</v>
      </c>
      <c r="J123">
        <v>65</v>
      </c>
      <c r="K123">
        <v>12.6</v>
      </c>
      <c r="L123">
        <v>0.7</v>
      </c>
      <c r="M123" t="s">
        <v>36</v>
      </c>
      <c r="N123">
        <v>391</v>
      </c>
      <c r="P123" t="s">
        <v>73</v>
      </c>
      <c r="Q123" t="str">
        <f>VLOOKUP(B123,'Player Register'!$B$6:$D$125,3,FALSE())</f>
        <v>25–44</v>
      </c>
    </row>
    <row r="124" spans="2:17" x14ac:dyDescent="0.2">
      <c r="B124">
        <v>3024</v>
      </c>
      <c r="C124">
        <v>4</v>
      </c>
      <c r="D124" t="s">
        <v>90</v>
      </c>
      <c r="E124">
        <v>0.28999999999999998</v>
      </c>
      <c r="F124">
        <v>200</v>
      </c>
      <c r="G124">
        <v>9</v>
      </c>
      <c r="H124">
        <v>1</v>
      </c>
      <c r="I124">
        <v>0</v>
      </c>
      <c r="J124">
        <v>70.8</v>
      </c>
      <c r="K124">
        <v>12.6</v>
      </c>
      <c r="L124">
        <v>0.7</v>
      </c>
      <c r="M124" t="s">
        <v>36</v>
      </c>
      <c r="N124">
        <v>340</v>
      </c>
      <c r="P124" t="s">
        <v>73</v>
      </c>
      <c r="Q124" t="str">
        <f>VLOOKUP(B124,'Player Register'!$B$6:$D$125,3,FALSE())</f>
        <v>25–44</v>
      </c>
    </row>
    <row r="125" spans="2:17" x14ac:dyDescent="0.2">
      <c r="B125">
        <v>3024</v>
      </c>
      <c r="C125">
        <v>5</v>
      </c>
      <c r="D125" t="s">
        <v>92</v>
      </c>
      <c r="E125">
        <v>0.28999999999999998</v>
      </c>
      <c r="F125">
        <v>200</v>
      </c>
      <c r="G125">
        <v>8</v>
      </c>
      <c r="H125">
        <v>1</v>
      </c>
      <c r="I125">
        <v>0</v>
      </c>
      <c r="J125">
        <v>79.8</v>
      </c>
      <c r="K125">
        <v>12.6</v>
      </c>
      <c r="L125">
        <v>0.7</v>
      </c>
      <c r="M125" t="s">
        <v>36</v>
      </c>
      <c r="N125">
        <v>330</v>
      </c>
      <c r="P125" t="s">
        <v>73</v>
      </c>
      <c r="Q125" t="str">
        <f>VLOOKUP(B125,'Player Register'!$B$6:$D$125,3,FALSE())</f>
        <v>25–44</v>
      </c>
    </row>
    <row r="126" spans="2:17" x14ac:dyDescent="0.2">
      <c r="B126">
        <v>3025</v>
      </c>
      <c r="C126">
        <v>1</v>
      </c>
      <c r="D126" t="s">
        <v>83</v>
      </c>
      <c r="E126">
        <v>0.31</v>
      </c>
      <c r="F126">
        <v>200</v>
      </c>
      <c r="G126">
        <v>6</v>
      </c>
      <c r="H126">
        <v>2</v>
      </c>
      <c r="I126">
        <v>0</v>
      </c>
      <c r="J126">
        <v>51.5</v>
      </c>
      <c r="K126">
        <v>10.8</v>
      </c>
      <c r="L126">
        <v>0.6</v>
      </c>
      <c r="M126" t="s">
        <v>36</v>
      </c>
      <c r="N126">
        <v>310</v>
      </c>
      <c r="P126" t="s">
        <v>59</v>
      </c>
      <c r="Q126" t="str">
        <f>VLOOKUP(B126,'Player Register'!$B$6:$D$125,3,FALSE())</f>
        <v>25–44</v>
      </c>
    </row>
    <row r="127" spans="2:17" x14ac:dyDescent="0.2">
      <c r="B127">
        <v>3025</v>
      </c>
      <c r="C127">
        <v>2</v>
      </c>
      <c r="D127" t="s">
        <v>79</v>
      </c>
      <c r="E127">
        <v>0.31</v>
      </c>
      <c r="F127">
        <v>200</v>
      </c>
      <c r="G127">
        <v>12</v>
      </c>
      <c r="H127">
        <v>1</v>
      </c>
      <c r="I127">
        <v>0</v>
      </c>
      <c r="J127">
        <v>72.599999999999994</v>
      </c>
      <c r="K127">
        <v>10.8</v>
      </c>
      <c r="L127">
        <v>0.6</v>
      </c>
      <c r="M127" t="s">
        <v>36</v>
      </c>
      <c r="N127">
        <v>370</v>
      </c>
      <c r="P127" t="s">
        <v>61</v>
      </c>
      <c r="Q127" t="str">
        <f>VLOOKUP(B127,'Player Register'!$B$6:$D$125,3,FALSE())</f>
        <v>25–44</v>
      </c>
    </row>
    <row r="128" spans="2:17" x14ac:dyDescent="0.2">
      <c r="B128">
        <v>3025</v>
      </c>
      <c r="C128">
        <v>3</v>
      </c>
      <c r="D128" t="s">
        <v>69</v>
      </c>
      <c r="E128">
        <v>0.31</v>
      </c>
      <c r="F128">
        <v>201</v>
      </c>
      <c r="G128">
        <v>10</v>
      </c>
      <c r="H128">
        <v>1</v>
      </c>
      <c r="I128">
        <v>0</v>
      </c>
      <c r="J128">
        <v>67.3</v>
      </c>
      <c r="K128">
        <v>12.6</v>
      </c>
      <c r="L128">
        <v>0.7</v>
      </c>
      <c r="M128" t="s">
        <v>36</v>
      </c>
      <c r="N128">
        <v>351</v>
      </c>
      <c r="P128" t="s">
        <v>61</v>
      </c>
      <c r="Q128" t="str">
        <f>VLOOKUP(B128,'Player Register'!$B$6:$D$125,3,FALSE())</f>
        <v>25–44</v>
      </c>
    </row>
    <row r="129" spans="2:17" x14ac:dyDescent="0.2">
      <c r="B129">
        <v>3025</v>
      </c>
      <c r="C129">
        <v>4</v>
      </c>
      <c r="D129" t="s">
        <v>58</v>
      </c>
      <c r="E129">
        <v>0.31</v>
      </c>
      <c r="F129">
        <v>201</v>
      </c>
      <c r="G129">
        <v>10</v>
      </c>
      <c r="H129">
        <v>1</v>
      </c>
      <c r="I129">
        <v>0</v>
      </c>
      <c r="J129">
        <v>49.3</v>
      </c>
      <c r="K129">
        <v>12.6</v>
      </c>
      <c r="L129">
        <v>0.7</v>
      </c>
      <c r="M129" t="s">
        <v>36</v>
      </c>
      <c r="N129">
        <v>351</v>
      </c>
      <c r="P129" t="s">
        <v>61</v>
      </c>
      <c r="Q129" t="str">
        <f>VLOOKUP(B129,'Player Register'!$B$6:$D$125,3,FALSE())</f>
        <v>25–44</v>
      </c>
    </row>
    <row r="130" spans="2:17" x14ac:dyDescent="0.2">
      <c r="B130">
        <v>3025</v>
      </c>
      <c r="C130">
        <v>5</v>
      </c>
      <c r="D130" t="s">
        <v>62</v>
      </c>
      <c r="E130">
        <v>0.31</v>
      </c>
      <c r="F130">
        <v>201</v>
      </c>
      <c r="G130">
        <v>15</v>
      </c>
      <c r="H130">
        <v>0</v>
      </c>
      <c r="I130">
        <v>0</v>
      </c>
      <c r="J130">
        <v>56.8</v>
      </c>
      <c r="K130">
        <v>12.6</v>
      </c>
      <c r="L130">
        <v>0.7</v>
      </c>
      <c r="M130" t="s">
        <v>36</v>
      </c>
      <c r="N130">
        <v>401</v>
      </c>
      <c r="P130" t="s">
        <v>73</v>
      </c>
      <c r="Q130" t="str">
        <f>VLOOKUP(B130,'Player Register'!$B$6:$D$125,3,FALSE())</f>
        <v>25–44</v>
      </c>
    </row>
    <row r="131" spans="2:17" x14ac:dyDescent="0.2">
      <c r="B131">
        <v>3026</v>
      </c>
      <c r="C131">
        <v>1</v>
      </c>
      <c r="D131" t="s">
        <v>69</v>
      </c>
      <c r="E131">
        <v>0.28999999999999998</v>
      </c>
      <c r="F131">
        <v>200</v>
      </c>
      <c r="G131">
        <v>10</v>
      </c>
      <c r="H131">
        <v>0</v>
      </c>
      <c r="I131">
        <v>0</v>
      </c>
      <c r="J131">
        <v>75.2</v>
      </c>
      <c r="K131">
        <v>12.6</v>
      </c>
      <c r="L131">
        <v>0.7</v>
      </c>
      <c r="M131" t="s">
        <v>36</v>
      </c>
      <c r="N131">
        <v>350</v>
      </c>
      <c r="P131" t="s">
        <v>68</v>
      </c>
      <c r="Q131" t="str">
        <f>VLOOKUP(B131,'Player Register'!$B$6:$D$125,3,FALSE())</f>
        <v>25–44</v>
      </c>
    </row>
    <row r="132" spans="2:17" x14ac:dyDescent="0.2">
      <c r="B132">
        <v>3026</v>
      </c>
      <c r="C132">
        <v>2</v>
      </c>
      <c r="D132" t="s">
        <v>62</v>
      </c>
      <c r="E132">
        <v>0.31</v>
      </c>
      <c r="F132">
        <v>201</v>
      </c>
      <c r="G132">
        <v>5</v>
      </c>
      <c r="H132">
        <v>1</v>
      </c>
      <c r="I132">
        <v>0</v>
      </c>
      <c r="J132">
        <v>46.4</v>
      </c>
      <c r="K132">
        <v>12.6</v>
      </c>
      <c r="L132">
        <v>0.7</v>
      </c>
      <c r="M132" t="s">
        <v>36</v>
      </c>
      <c r="N132">
        <v>301</v>
      </c>
      <c r="P132" t="s">
        <v>61</v>
      </c>
      <c r="Q132" t="str">
        <f>VLOOKUP(B132,'Player Register'!$B$6:$D$125,3,FALSE())</f>
        <v>25–44</v>
      </c>
    </row>
    <row r="133" spans="2:17" x14ac:dyDescent="0.2">
      <c r="B133">
        <v>3026</v>
      </c>
      <c r="C133">
        <v>3</v>
      </c>
      <c r="D133" t="s">
        <v>71</v>
      </c>
      <c r="E133">
        <v>0.31</v>
      </c>
      <c r="F133">
        <v>200</v>
      </c>
      <c r="G133">
        <v>7</v>
      </c>
      <c r="H133">
        <v>3</v>
      </c>
      <c r="I133">
        <v>0</v>
      </c>
      <c r="J133">
        <v>56.5</v>
      </c>
      <c r="K133">
        <v>10.8</v>
      </c>
      <c r="L133">
        <v>0.6</v>
      </c>
      <c r="M133" t="s">
        <v>36</v>
      </c>
      <c r="N133">
        <v>320</v>
      </c>
      <c r="P133" t="s">
        <v>64</v>
      </c>
      <c r="Q133" t="str">
        <f>VLOOKUP(B133,'Player Register'!$B$6:$D$125,3,FALSE())</f>
        <v>25–44</v>
      </c>
    </row>
    <row r="134" spans="2:17" x14ac:dyDescent="0.2">
      <c r="B134">
        <v>3026</v>
      </c>
      <c r="C134">
        <v>4</v>
      </c>
      <c r="D134" t="s">
        <v>85</v>
      </c>
      <c r="E134">
        <v>0.31</v>
      </c>
      <c r="F134">
        <v>201</v>
      </c>
      <c r="G134">
        <v>14</v>
      </c>
      <c r="H134">
        <v>0</v>
      </c>
      <c r="I134">
        <v>0</v>
      </c>
      <c r="J134">
        <v>80.900000000000006</v>
      </c>
      <c r="K134">
        <v>12.6</v>
      </c>
      <c r="L134">
        <v>0.7</v>
      </c>
      <c r="M134" t="s">
        <v>36</v>
      </c>
      <c r="N134">
        <v>391</v>
      </c>
      <c r="P134" t="s">
        <v>73</v>
      </c>
      <c r="Q134" t="str">
        <f>VLOOKUP(B134,'Player Register'!$B$6:$D$125,3,FALSE())</f>
        <v>25–44</v>
      </c>
    </row>
    <row r="135" spans="2:17" x14ac:dyDescent="0.2">
      <c r="B135">
        <v>3026</v>
      </c>
      <c r="C135">
        <v>5</v>
      </c>
      <c r="D135" t="s">
        <v>86</v>
      </c>
      <c r="E135">
        <v>0.31</v>
      </c>
      <c r="F135">
        <v>201</v>
      </c>
      <c r="G135">
        <v>10</v>
      </c>
      <c r="H135">
        <v>1</v>
      </c>
      <c r="I135">
        <v>0</v>
      </c>
      <c r="J135">
        <v>71.7</v>
      </c>
      <c r="K135">
        <v>12.6</v>
      </c>
      <c r="L135">
        <v>0.7</v>
      </c>
      <c r="M135" t="s">
        <v>36</v>
      </c>
      <c r="N135">
        <v>351</v>
      </c>
      <c r="P135" t="s">
        <v>61</v>
      </c>
      <c r="Q135" t="str">
        <f>VLOOKUP(B135,'Player Register'!$B$6:$D$125,3,FALSE())</f>
        <v>25–44</v>
      </c>
    </row>
    <row r="136" spans="2:17" x14ac:dyDescent="0.2">
      <c r="B136">
        <v>3027</v>
      </c>
      <c r="C136">
        <v>1</v>
      </c>
      <c r="D136" t="s">
        <v>80</v>
      </c>
      <c r="E136">
        <v>0.31</v>
      </c>
      <c r="F136">
        <v>200</v>
      </c>
      <c r="G136">
        <v>6</v>
      </c>
      <c r="H136">
        <v>3</v>
      </c>
      <c r="I136">
        <v>0</v>
      </c>
      <c r="J136">
        <v>43.8</v>
      </c>
      <c r="K136">
        <v>10.8</v>
      </c>
      <c r="L136">
        <v>0.45</v>
      </c>
      <c r="M136" t="s">
        <v>36</v>
      </c>
      <c r="N136">
        <v>310</v>
      </c>
      <c r="P136" t="s">
        <v>64</v>
      </c>
      <c r="Q136" t="str">
        <f>VLOOKUP(B136,'Player Register'!$B$6:$D$125,3,FALSE())</f>
        <v>25–44</v>
      </c>
    </row>
    <row r="137" spans="2:17" x14ac:dyDescent="0.2">
      <c r="B137">
        <v>3027</v>
      </c>
      <c r="C137">
        <v>2</v>
      </c>
      <c r="D137" t="s">
        <v>81</v>
      </c>
      <c r="E137">
        <v>0.35</v>
      </c>
      <c r="F137">
        <v>200</v>
      </c>
      <c r="G137">
        <v>5</v>
      </c>
      <c r="H137">
        <v>3</v>
      </c>
      <c r="I137">
        <v>0</v>
      </c>
      <c r="J137">
        <v>56.8</v>
      </c>
      <c r="K137">
        <v>10.8</v>
      </c>
      <c r="L137">
        <v>0.45</v>
      </c>
      <c r="M137" t="s">
        <v>36</v>
      </c>
      <c r="N137">
        <v>300</v>
      </c>
      <c r="P137" t="s">
        <v>64</v>
      </c>
      <c r="Q137" t="str">
        <f>VLOOKUP(B137,'Player Register'!$B$6:$D$125,3,FALSE())</f>
        <v>25–44</v>
      </c>
    </row>
    <row r="138" spans="2:17" x14ac:dyDescent="0.2">
      <c r="B138">
        <v>3027</v>
      </c>
      <c r="C138">
        <v>3</v>
      </c>
      <c r="D138" t="s">
        <v>89</v>
      </c>
      <c r="E138">
        <v>0.28999999999999998</v>
      </c>
      <c r="F138">
        <v>200</v>
      </c>
      <c r="G138">
        <v>12</v>
      </c>
      <c r="H138">
        <v>0</v>
      </c>
      <c r="I138">
        <v>0</v>
      </c>
      <c r="J138">
        <v>70.400000000000006</v>
      </c>
      <c r="K138">
        <v>12.6</v>
      </c>
      <c r="L138">
        <v>0.7</v>
      </c>
      <c r="M138" t="s">
        <v>36</v>
      </c>
      <c r="N138">
        <v>370</v>
      </c>
      <c r="P138" t="s">
        <v>68</v>
      </c>
      <c r="Q138" t="str">
        <f>VLOOKUP(B138,'Player Register'!$B$6:$D$125,3,FALSE())</f>
        <v>25–44</v>
      </c>
    </row>
    <row r="139" spans="2:17" x14ac:dyDescent="0.2">
      <c r="B139">
        <v>3027</v>
      </c>
      <c r="C139">
        <v>4</v>
      </c>
      <c r="D139" t="s">
        <v>82</v>
      </c>
      <c r="E139">
        <v>0.31</v>
      </c>
      <c r="F139">
        <v>200</v>
      </c>
      <c r="G139">
        <v>6</v>
      </c>
      <c r="H139">
        <v>2</v>
      </c>
      <c r="I139">
        <v>0</v>
      </c>
      <c r="J139">
        <v>48.3</v>
      </c>
      <c r="K139">
        <v>10.8</v>
      </c>
      <c r="L139">
        <v>0.6</v>
      </c>
      <c r="M139" t="s">
        <v>36</v>
      </c>
      <c r="N139">
        <v>310</v>
      </c>
      <c r="P139" t="s">
        <v>59</v>
      </c>
      <c r="Q139" t="str">
        <f>VLOOKUP(B139,'Player Register'!$B$6:$D$125,3,FALSE())</f>
        <v>25–44</v>
      </c>
    </row>
    <row r="140" spans="2:17" x14ac:dyDescent="0.2">
      <c r="B140">
        <v>3027</v>
      </c>
      <c r="C140">
        <v>5</v>
      </c>
      <c r="D140" t="s">
        <v>78</v>
      </c>
      <c r="E140">
        <v>0.31</v>
      </c>
      <c r="F140">
        <v>200</v>
      </c>
      <c r="G140">
        <v>6</v>
      </c>
      <c r="H140">
        <v>2</v>
      </c>
      <c r="I140">
        <v>0</v>
      </c>
      <c r="J140">
        <v>56.2</v>
      </c>
      <c r="K140">
        <v>10.8</v>
      </c>
      <c r="L140">
        <v>0.6</v>
      </c>
      <c r="M140" t="s">
        <v>36</v>
      </c>
      <c r="N140">
        <v>310</v>
      </c>
      <c r="P140" t="s">
        <v>59</v>
      </c>
      <c r="Q140" t="str">
        <f>VLOOKUP(B140,'Player Register'!$B$6:$D$125,3,FALSE())</f>
        <v>25–44</v>
      </c>
    </row>
    <row r="141" spans="2:17" x14ac:dyDescent="0.2">
      <c r="B141">
        <v>3028</v>
      </c>
      <c r="C141">
        <v>1</v>
      </c>
      <c r="D141" t="s">
        <v>69</v>
      </c>
      <c r="E141">
        <v>0.31</v>
      </c>
      <c r="F141">
        <v>200</v>
      </c>
      <c r="G141">
        <v>10</v>
      </c>
      <c r="H141">
        <v>2</v>
      </c>
      <c r="I141">
        <v>0</v>
      </c>
      <c r="J141">
        <v>39.1</v>
      </c>
      <c r="K141">
        <v>10.8</v>
      </c>
      <c r="L141">
        <v>0.6</v>
      </c>
      <c r="M141" t="s">
        <v>36</v>
      </c>
      <c r="N141">
        <v>350</v>
      </c>
      <c r="P141" t="s">
        <v>59</v>
      </c>
      <c r="Q141" t="str">
        <f>VLOOKUP(B141,'Player Register'!$B$6:$D$125,3,FALSE())</f>
        <v>25–44</v>
      </c>
    </row>
    <row r="142" spans="2:17" x14ac:dyDescent="0.2">
      <c r="B142">
        <v>3028</v>
      </c>
      <c r="C142">
        <v>2</v>
      </c>
      <c r="D142" t="s">
        <v>60</v>
      </c>
      <c r="E142">
        <v>0.34</v>
      </c>
      <c r="F142">
        <v>200</v>
      </c>
      <c r="G142">
        <v>7</v>
      </c>
      <c r="H142">
        <v>2</v>
      </c>
      <c r="I142">
        <v>0</v>
      </c>
      <c r="J142">
        <v>49.3</v>
      </c>
      <c r="K142">
        <v>10.8</v>
      </c>
      <c r="L142">
        <v>0.55000000000000004</v>
      </c>
      <c r="M142" t="s">
        <v>36</v>
      </c>
      <c r="N142">
        <v>320</v>
      </c>
      <c r="P142" t="s">
        <v>59</v>
      </c>
      <c r="Q142" t="str">
        <f>VLOOKUP(B142,'Player Register'!$B$6:$D$125,3,FALSE())</f>
        <v>25–44</v>
      </c>
    </row>
    <row r="143" spans="2:17" x14ac:dyDescent="0.2">
      <c r="B143">
        <v>3028</v>
      </c>
      <c r="C143">
        <v>3</v>
      </c>
      <c r="D143" t="s">
        <v>71</v>
      </c>
      <c r="E143">
        <v>0.28999999999999998</v>
      </c>
      <c r="F143">
        <v>200</v>
      </c>
      <c r="G143">
        <v>12</v>
      </c>
      <c r="H143">
        <v>0</v>
      </c>
      <c r="I143">
        <v>0</v>
      </c>
      <c r="J143">
        <v>72.2</v>
      </c>
      <c r="K143">
        <v>12.6</v>
      </c>
      <c r="L143">
        <v>0.7</v>
      </c>
      <c r="M143" t="s">
        <v>36</v>
      </c>
      <c r="N143">
        <v>370</v>
      </c>
      <c r="P143" t="s">
        <v>68</v>
      </c>
      <c r="Q143" t="str">
        <f>VLOOKUP(B143,'Player Register'!$B$6:$D$125,3,FALSE())</f>
        <v>25–44</v>
      </c>
    </row>
    <row r="144" spans="2:17" x14ac:dyDescent="0.2">
      <c r="B144">
        <v>3028</v>
      </c>
      <c r="C144">
        <v>4</v>
      </c>
      <c r="D144" t="s">
        <v>72</v>
      </c>
      <c r="E144">
        <v>0.31</v>
      </c>
      <c r="F144">
        <v>200</v>
      </c>
      <c r="G144">
        <v>10</v>
      </c>
      <c r="H144">
        <v>2</v>
      </c>
      <c r="I144">
        <v>0</v>
      </c>
      <c r="J144">
        <v>44</v>
      </c>
      <c r="K144">
        <v>10.8</v>
      </c>
      <c r="L144">
        <v>0.6</v>
      </c>
      <c r="M144" t="s">
        <v>36</v>
      </c>
      <c r="N144">
        <v>350</v>
      </c>
      <c r="P144" t="s">
        <v>59</v>
      </c>
      <c r="Q144" t="str">
        <f>VLOOKUP(B144,'Player Register'!$B$6:$D$125,3,FALSE())</f>
        <v>25–44</v>
      </c>
    </row>
    <row r="145" spans="2:17" x14ac:dyDescent="0.2">
      <c r="B145">
        <v>3028</v>
      </c>
      <c r="C145">
        <v>5</v>
      </c>
      <c r="D145" t="s">
        <v>65</v>
      </c>
      <c r="E145">
        <v>0.31</v>
      </c>
      <c r="F145">
        <v>200</v>
      </c>
      <c r="G145">
        <v>9</v>
      </c>
      <c r="H145">
        <v>2</v>
      </c>
      <c r="I145">
        <v>0</v>
      </c>
      <c r="J145">
        <v>76</v>
      </c>
      <c r="K145">
        <v>10.8</v>
      </c>
      <c r="L145">
        <v>0.6</v>
      </c>
      <c r="M145" t="s">
        <v>36</v>
      </c>
      <c r="N145">
        <v>340</v>
      </c>
      <c r="P145" t="s">
        <v>59</v>
      </c>
      <c r="Q145" t="str">
        <f>VLOOKUP(B145,'Player Register'!$B$6:$D$125,3,FALSE())</f>
        <v>25–44</v>
      </c>
    </row>
    <row r="146" spans="2:17" x14ac:dyDescent="0.2">
      <c r="B146">
        <v>3029</v>
      </c>
      <c r="C146">
        <v>1</v>
      </c>
      <c r="D146" t="s">
        <v>67</v>
      </c>
      <c r="E146">
        <v>0.27</v>
      </c>
      <c r="F146">
        <v>201</v>
      </c>
      <c r="G146">
        <v>11</v>
      </c>
      <c r="H146">
        <v>0</v>
      </c>
      <c r="I146">
        <v>0</v>
      </c>
      <c r="J146">
        <v>77.8</v>
      </c>
      <c r="K146">
        <v>14.4</v>
      </c>
      <c r="L146">
        <v>0.8</v>
      </c>
      <c r="M146" t="s">
        <v>36</v>
      </c>
      <c r="N146">
        <v>361</v>
      </c>
      <c r="P146" t="s">
        <v>68</v>
      </c>
      <c r="Q146" t="str">
        <f>VLOOKUP(B146,'Player Register'!$B$6:$D$125,3,FALSE())</f>
        <v>25–44</v>
      </c>
    </row>
    <row r="147" spans="2:17" x14ac:dyDescent="0.2">
      <c r="B147">
        <v>3029</v>
      </c>
      <c r="C147">
        <v>2</v>
      </c>
      <c r="D147" t="s">
        <v>58</v>
      </c>
      <c r="E147">
        <v>0.31</v>
      </c>
      <c r="F147">
        <v>200</v>
      </c>
      <c r="G147">
        <v>7</v>
      </c>
      <c r="H147">
        <v>1</v>
      </c>
      <c r="I147">
        <v>0</v>
      </c>
      <c r="J147">
        <v>69.099999999999994</v>
      </c>
      <c r="K147">
        <v>10.8</v>
      </c>
      <c r="L147">
        <v>0.6</v>
      </c>
      <c r="M147" t="s">
        <v>36</v>
      </c>
      <c r="N147">
        <v>320</v>
      </c>
      <c r="P147" t="s">
        <v>61</v>
      </c>
      <c r="Q147" t="str">
        <f>VLOOKUP(B147,'Player Register'!$B$6:$D$125,3,FALSE())</f>
        <v>25–44</v>
      </c>
    </row>
    <row r="148" spans="2:17" x14ac:dyDescent="0.2">
      <c r="B148">
        <v>3029</v>
      </c>
      <c r="C148">
        <v>3</v>
      </c>
      <c r="D148" t="s">
        <v>84</v>
      </c>
      <c r="E148">
        <v>0.28999999999999998</v>
      </c>
      <c r="F148">
        <v>200</v>
      </c>
      <c r="G148">
        <v>15</v>
      </c>
      <c r="H148">
        <v>1</v>
      </c>
      <c r="I148">
        <v>0</v>
      </c>
      <c r="J148">
        <v>64.3</v>
      </c>
      <c r="K148">
        <v>12.6</v>
      </c>
      <c r="L148">
        <v>0.7</v>
      </c>
      <c r="M148" t="s">
        <v>36</v>
      </c>
      <c r="N148">
        <v>400</v>
      </c>
      <c r="P148" t="s">
        <v>73</v>
      </c>
      <c r="Q148" t="str">
        <f>VLOOKUP(B148,'Player Register'!$B$6:$D$125,3,FALSE())</f>
        <v>25–44</v>
      </c>
    </row>
    <row r="149" spans="2:17" x14ac:dyDescent="0.2">
      <c r="B149">
        <v>3029</v>
      </c>
      <c r="C149">
        <v>4</v>
      </c>
      <c r="D149" t="s">
        <v>72</v>
      </c>
      <c r="E149">
        <v>0.31</v>
      </c>
      <c r="F149">
        <v>200</v>
      </c>
      <c r="G149">
        <v>7</v>
      </c>
      <c r="H149">
        <v>1</v>
      </c>
      <c r="I149">
        <v>0</v>
      </c>
      <c r="J149">
        <v>50.1</v>
      </c>
      <c r="K149">
        <v>10.8</v>
      </c>
      <c r="L149">
        <v>0.6</v>
      </c>
      <c r="M149" t="s">
        <v>36</v>
      </c>
      <c r="N149">
        <v>320</v>
      </c>
      <c r="P149" t="s">
        <v>61</v>
      </c>
      <c r="Q149" t="str">
        <f>VLOOKUP(B149,'Player Register'!$B$6:$D$125,3,FALSE())</f>
        <v>25–44</v>
      </c>
    </row>
    <row r="150" spans="2:17" x14ac:dyDescent="0.2">
      <c r="B150">
        <v>3029</v>
      </c>
      <c r="C150">
        <v>5</v>
      </c>
      <c r="D150" t="s">
        <v>91</v>
      </c>
      <c r="E150">
        <v>0.31</v>
      </c>
      <c r="F150">
        <v>200</v>
      </c>
      <c r="G150">
        <v>10</v>
      </c>
      <c r="H150">
        <v>0</v>
      </c>
      <c r="I150">
        <v>0</v>
      </c>
      <c r="J150">
        <v>45.6</v>
      </c>
      <c r="K150">
        <v>10.8</v>
      </c>
      <c r="L150">
        <v>0.6</v>
      </c>
      <c r="M150" t="s">
        <v>36</v>
      </c>
      <c r="N150">
        <v>350</v>
      </c>
      <c r="P150" t="s">
        <v>73</v>
      </c>
      <c r="Q150" t="str">
        <f>VLOOKUP(B150,'Player Register'!$B$6:$D$125,3,FALSE())</f>
        <v>25–44</v>
      </c>
    </row>
    <row r="151" spans="2:17" x14ac:dyDescent="0.2">
      <c r="B151">
        <v>3030</v>
      </c>
      <c r="C151">
        <v>1</v>
      </c>
      <c r="D151" t="s">
        <v>83</v>
      </c>
      <c r="E151">
        <v>0.28999999999999998</v>
      </c>
      <c r="F151">
        <v>200</v>
      </c>
      <c r="G151">
        <v>6</v>
      </c>
      <c r="H151">
        <v>0</v>
      </c>
      <c r="I151">
        <v>0</v>
      </c>
      <c r="J151">
        <v>75</v>
      </c>
      <c r="K151">
        <v>12.6</v>
      </c>
      <c r="L151">
        <v>0.7</v>
      </c>
      <c r="M151" t="s">
        <v>36</v>
      </c>
      <c r="N151">
        <v>310</v>
      </c>
      <c r="P151" t="s">
        <v>68</v>
      </c>
      <c r="Q151" t="str">
        <f>VLOOKUP(B151,'Player Register'!$B$6:$D$125,3,FALSE())</f>
        <v>25–44</v>
      </c>
    </row>
    <row r="152" spans="2:17" x14ac:dyDescent="0.2">
      <c r="B152">
        <v>3030</v>
      </c>
      <c r="C152">
        <v>2</v>
      </c>
      <c r="D152" t="s">
        <v>79</v>
      </c>
      <c r="E152">
        <v>0.31</v>
      </c>
      <c r="F152">
        <v>200</v>
      </c>
      <c r="G152">
        <v>7</v>
      </c>
      <c r="H152">
        <v>3</v>
      </c>
      <c r="I152">
        <v>0</v>
      </c>
      <c r="J152">
        <v>49</v>
      </c>
      <c r="K152">
        <v>10.8</v>
      </c>
      <c r="L152">
        <v>0.45</v>
      </c>
      <c r="M152" t="s">
        <v>36</v>
      </c>
      <c r="N152">
        <v>320</v>
      </c>
      <c r="P152" t="s">
        <v>64</v>
      </c>
      <c r="Q152" t="str">
        <f>VLOOKUP(B152,'Player Register'!$B$6:$D$125,3,FALSE())</f>
        <v>25–44</v>
      </c>
    </row>
    <row r="153" spans="2:17" x14ac:dyDescent="0.2">
      <c r="B153">
        <v>3030</v>
      </c>
      <c r="C153">
        <v>3</v>
      </c>
      <c r="D153" t="s">
        <v>67</v>
      </c>
      <c r="E153">
        <v>0.28999999999999998</v>
      </c>
      <c r="F153">
        <v>200</v>
      </c>
      <c r="G153">
        <v>18</v>
      </c>
      <c r="H153">
        <v>1</v>
      </c>
      <c r="I153">
        <v>0</v>
      </c>
      <c r="J153">
        <v>71.5</v>
      </c>
      <c r="K153">
        <v>12.6</v>
      </c>
      <c r="L153">
        <v>0.7</v>
      </c>
      <c r="M153" t="s">
        <v>36</v>
      </c>
      <c r="N153">
        <v>430</v>
      </c>
      <c r="P153" t="s">
        <v>73</v>
      </c>
      <c r="Q153" t="str">
        <f>VLOOKUP(B153,'Player Register'!$B$6:$D$125,3,FALSE())</f>
        <v>25–44</v>
      </c>
    </row>
    <row r="154" spans="2:17" x14ac:dyDescent="0.2">
      <c r="B154">
        <v>3030</v>
      </c>
      <c r="C154">
        <v>4</v>
      </c>
      <c r="D154" t="s">
        <v>69</v>
      </c>
      <c r="E154">
        <v>0.35</v>
      </c>
      <c r="F154">
        <v>200</v>
      </c>
      <c r="G154">
        <v>5</v>
      </c>
      <c r="H154">
        <v>2</v>
      </c>
      <c r="I154">
        <v>0</v>
      </c>
      <c r="J154">
        <v>48.9</v>
      </c>
      <c r="K154">
        <v>10.8</v>
      </c>
      <c r="L154">
        <v>0.45</v>
      </c>
      <c r="M154" t="s">
        <v>36</v>
      </c>
      <c r="N154">
        <v>300</v>
      </c>
      <c r="P154" t="s">
        <v>59</v>
      </c>
      <c r="Q154" t="str">
        <f>VLOOKUP(B154,'Player Register'!$B$6:$D$125,3,FALSE())</f>
        <v>25–44</v>
      </c>
    </row>
    <row r="155" spans="2:17" x14ac:dyDescent="0.2">
      <c r="B155">
        <v>3030</v>
      </c>
      <c r="C155">
        <v>5</v>
      </c>
      <c r="D155" t="s">
        <v>58</v>
      </c>
      <c r="E155">
        <v>0.31</v>
      </c>
      <c r="F155">
        <v>200</v>
      </c>
      <c r="G155">
        <v>12</v>
      </c>
      <c r="H155">
        <v>1</v>
      </c>
      <c r="I155">
        <v>0</v>
      </c>
      <c r="J155">
        <v>66.599999999999994</v>
      </c>
      <c r="K155">
        <v>10.8</v>
      </c>
      <c r="L155">
        <v>0.6</v>
      </c>
      <c r="M155" t="s">
        <v>36</v>
      </c>
      <c r="N155">
        <v>370</v>
      </c>
      <c r="P155" t="s">
        <v>61</v>
      </c>
      <c r="Q155" t="str">
        <f>VLOOKUP(B155,'Player Register'!$B$6:$D$125,3,FALSE())</f>
        <v>25–44</v>
      </c>
    </row>
    <row r="156" spans="2:17" x14ac:dyDescent="0.2">
      <c r="B156">
        <v>3031</v>
      </c>
      <c r="C156">
        <v>1</v>
      </c>
      <c r="D156" t="s">
        <v>81</v>
      </c>
      <c r="E156">
        <v>0.28999999999999998</v>
      </c>
      <c r="F156">
        <v>200</v>
      </c>
      <c r="G156">
        <v>7</v>
      </c>
      <c r="H156">
        <v>1</v>
      </c>
      <c r="I156">
        <v>0</v>
      </c>
      <c r="J156">
        <v>67.599999999999994</v>
      </c>
      <c r="K156">
        <v>12.6</v>
      </c>
      <c r="L156">
        <v>0.7</v>
      </c>
      <c r="M156" t="s">
        <v>36</v>
      </c>
      <c r="N156">
        <v>320</v>
      </c>
      <c r="P156" t="s">
        <v>73</v>
      </c>
      <c r="Q156" t="str">
        <f>VLOOKUP(B156,'Player Register'!$B$6:$D$125,3,FALSE())</f>
        <v>25–44</v>
      </c>
    </row>
    <row r="157" spans="2:17" x14ac:dyDescent="0.2">
      <c r="B157">
        <v>3031</v>
      </c>
      <c r="C157">
        <v>2</v>
      </c>
      <c r="D157" t="s">
        <v>76</v>
      </c>
      <c r="E157">
        <v>0.31</v>
      </c>
      <c r="F157">
        <v>200</v>
      </c>
      <c r="G157">
        <v>6</v>
      </c>
      <c r="H157">
        <v>1</v>
      </c>
      <c r="I157">
        <v>0</v>
      </c>
      <c r="J157">
        <v>67.900000000000006</v>
      </c>
      <c r="K157">
        <v>10.8</v>
      </c>
      <c r="L157">
        <v>0.6</v>
      </c>
      <c r="M157" t="s">
        <v>36</v>
      </c>
      <c r="N157">
        <v>310</v>
      </c>
      <c r="P157" t="s">
        <v>61</v>
      </c>
      <c r="Q157" t="str">
        <f>VLOOKUP(B157,'Player Register'!$B$6:$D$125,3,FALSE())</f>
        <v>25–44</v>
      </c>
    </row>
    <row r="158" spans="2:17" x14ac:dyDescent="0.2">
      <c r="B158">
        <v>3031</v>
      </c>
      <c r="C158">
        <v>3</v>
      </c>
      <c r="D158" t="s">
        <v>77</v>
      </c>
      <c r="E158">
        <v>0.31</v>
      </c>
      <c r="F158">
        <v>201</v>
      </c>
      <c r="G158">
        <v>7</v>
      </c>
      <c r="H158">
        <v>0</v>
      </c>
      <c r="I158">
        <v>0</v>
      </c>
      <c r="J158">
        <v>58.6</v>
      </c>
      <c r="K158">
        <v>12.6</v>
      </c>
      <c r="L158">
        <v>0.7</v>
      </c>
      <c r="M158" t="s">
        <v>36</v>
      </c>
      <c r="N158">
        <v>321</v>
      </c>
      <c r="P158" t="s">
        <v>73</v>
      </c>
      <c r="Q158" t="str">
        <f>VLOOKUP(B158,'Player Register'!$B$6:$D$125,3,FALSE())</f>
        <v>25–44</v>
      </c>
    </row>
    <row r="159" spans="2:17" x14ac:dyDescent="0.2">
      <c r="B159">
        <v>3031</v>
      </c>
      <c r="C159">
        <v>4</v>
      </c>
      <c r="D159" t="s">
        <v>66</v>
      </c>
      <c r="E159">
        <v>0.28999999999999998</v>
      </c>
      <c r="F159">
        <v>200</v>
      </c>
      <c r="G159">
        <v>9</v>
      </c>
      <c r="H159">
        <v>1</v>
      </c>
      <c r="I159">
        <v>0</v>
      </c>
      <c r="J159">
        <v>69.900000000000006</v>
      </c>
      <c r="K159">
        <v>12.6</v>
      </c>
      <c r="L159">
        <v>0.7</v>
      </c>
      <c r="M159" t="s">
        <v>36</v>
      </c>
      <c r="N159">
        <v>340</v>
      </c>
      <c r="P159" t="s">
        <v>73</v>
      </c>
      <c r="Q159" t="str">
        <f>VLOOKUP(B159,'Player Register'!$B$6:$D$125,3,FALSE())</f>
        <v>25–44</v>
      </c>
    </row>
    <row r="160" spans="2:17" x14ac:dyDescent="0.2">
      <c r="B160">
        <v>3031</v>
      </c>
      <c r="C160">
        <v>5</v>
      </c>
      <c r="D160" t="s">
        <v>67</v>
      </c>
      <c r="E160">
        <v>0.35</v>
      </c>
      <c r="F160">
        <v>200</v>
      </c>
      <c r="G160">
        <v>6</v>
      </c>
      <c r="H160">
        <v>2</v>
      </c>
      <c r="I160">
        <v>0</v>
      </c>
      <c r="J160">
        <v>43.5</v>
      </c>
      <c r="K160">
        <v>10.8</v>
      </c>
      <c r="L160">
        <v>0.45</v>
      </c>
      <c r="M160" t="s">
        <v>36</v>
      </c>
      <c r="N160">
        <v>310</v>
      </c>
      <c r="P160" t="s">
        <v>59</v>
      </c>
      <c r="Q160" t="str">
        <f>VLOOKUP(B160,'Player Register'!$B$6:$D$125,3,FALSE())</f>
        <v>25–44</v>
      </c>
    </row>
    <row r="161" spans="2:17" x14ac:dyDescent="0.2">
      <c r="B161">
        <v>3032</v>
      </c>
      <c r="C161">
        <v>1</v>
      </c>
      <c r="D161" t="s">
        <v>63</v>
      </c>
      <c r="E161">
        <v>0.31</v>
      </c>
      <c r="F161">
        <v>200</v>
      </c>
      <c r="G161">
        <v>9</v>
      </c>
      <c r="H161">
        <v>3</v>
      </c>
      <c r="I161">
        <v>0</v>
      </c>
      <c r="J161">
        <v>48.4</v>
      </c>
      <c r="K161">
        <v>10.8</v>
      </c>
      <c r="L161">
        <v>0.6</v>
      </c>
      <c r="M161" t="s">
        <v>36</v>
      </c>
      <c r="N161">
        <v>340</v>
      </c>
      <c r="P161" t="s">
        <v>64</v>
      </c>
      <c r="Q161" t="str">
        <f>VLOOKUP(B161,'Player Register'!$B$6:$D$125,3,FALSE())</f>
        <v>25–44</v>
      </c>
    </row>
    <row r="162" spans="2:17" x14ac:dyDescent="0.2">
      <c r="B162">
        <v>3032</v>
      </c>
      <c r="C162">
        <v>2</v>
      </c>
      <c r="D162" t="s">
        <v>65</v>
      </c>
      <c r="E162">
        <v>0.31</v>
      </c>
      <c r="F162">
        <v>200</v>
      </c>
      <c r="G162">
        <v>5</v>
      </c>
      <c r="H162">
        <v>1</v>
      </c>
      <c r="I162">
        <v>0</v>
      </c>
      <c r="J162">
        <v>53.8</v>
      </c>
      <c r="K162">
        <v>10.8</v>
      </c>
      <c r="L162">
        <v>0.6</v>
      </c>
      <c r="M162" t="s">
        <v>36</v>
      </c>
      <c r="N162">
        <v>300</v>
      </c>
      <c r="P162" t="s">
        <v>61</v>
      </c>
      <c r="Q162" t="str">
        <f>VLOOKUP(B162,'Player Register'!$B$6:$D$125,3,FALSE())</f>
        <v>25–44</v>
      </c>
    </row>
    <row r="163" spans="2:17" x14ac:dyDescent="0.2">
      <c r="B163">
        <v>3032</v>
      </c>
      <c r="C163">
        <v>3</v>
      </c>
      <c r="D163" t="s">
        <v>86</v>
      </c>
      <c r="E163">
        <v>0.31</v>
      </c>
      <c r="F163">
        <v>200</v>
      </c>
      <c r="G163">
        <v>6</v>
      </c>
      <c r="H163">
        <v>2</v>
      </c>
      <c r="I163">
        <v>0</v>
      </c>
      <c r="J163">
        <v>46.6</v>
      </c>
      <c r="K163">
        <v>10.8</v>
      </c>
      <c r="L163">
        <v>0.6</v>
      </c>
      <c r="M163" t="s">
        <v>36</v>
      </c>
      <c r="N163">
        <v>310</v>
      </c>
      <c r="P163" t="s">
        <v>59</v>
      </c>
      <c r="Q163" t="str">
        <f>VLOOKUP(B163,'Player Register'!$B$6:$D$125,3,FALSE())</f>
        <v>25–44</v>
      </c>
    </row>
    <row r="164" spans="2:17" x14ac:dyDescent="0.2">
      <c r="B164">
        <v>3032</v>
      </c>
      <c r="C164">
        <v>4</v>
      </c>
      <c r="D164" t="s">
        <v>87</v>
      </c>
      <c r="E164">
        <v>0.31</v>
      </c>
      <c r="F164">
        <v>200</v>
      </c>
      <c r="G164">
        <v>7</v>
      </c>
      <c r="H164">
        <v>3</v>
      </c>
      <c r="I164">
        <v>0</v>
      </c>
      <c r="J164">
        <v>67.099999999999994</v>
      </c>
      <c r="K164">
        <v>10.8</v>
      </c>
      <c r="L164">
        <v>0.6</v>
      </c>
      <c r="M164" t="s">
        <v>36</v>
      </c>
      <c r="N164">
        <v>320</v>
      </c>
      <c r="P164" t="s">
        <v>64</v>
      </c>
      <c r="Q164" t="str">
        <f>VLOOKUP(B164,'Player Register'!$B$6:$D$125,3,FALSE())</f>
        <v>25–44</v>
      </c>
    </row>
    <row r="165" spans="2:17" x14ac:dyDescent="0.2">
      <c r="B165">
        <v>3032</v>
      </c>
      <c r="C165">
        <v>5</v>
      </c>
      <c r="D165" t="s">
        <v>93</v>
      </c>
      <c r="E165">
        <v>0.28999999999999998</v>
      </c>
      <c r="F165">
        <v>200</v>
      </c>
      <c r="G165">
        <v>9</v>
      </c>
      <c r="H165">
        <v>0</v>
      </c>
      <c r="I165">
        <v>0</v>
      </c>
      <c r="J165">
        <v>70.5</v>
      </c>
      <c r="K165">
        <v>12.6</v>
      </c>
      <c r="L165">
        <v>0.7</v>
      </c>
      <c r="M165" t="s">
        <v>36</v>
      </c>
      <c r="N165">
        <v>340</v>
      </c>
      <c r="P165" t="s">
        <v>68</v>
      </c>
      <c r="Q165" t="str">
        <f>VLOOKUP(B165,'Player Register'!$B$6:$D$125,3,FALSE())</f>
        <v>25–44</v>
      </c>
    </row>
    <row r="166" spans="2:17" x14ac:dyDescent="0.2">
      <c r="B166">
        <v>3033</v>
      </c>
      <c r="C166">
        <v>1</v>
      </c>
      <c r="D166" t="s">
        <v>80</v>
      </c>
      <c r="E166">
        <v>0.28999999999999998</v>
      </c>
      <c r="F166">
        <v>200</v>
      </c>
      <c r="G166">
        <v>13</v>
      </c>
      <c r="H166">
        <v>0</v>
      </c>
      <c r="I166">
        <v>0</v>
      </c>
      <c r="J166">
        <v>61.2</v>
      </c>
      <c r="K166">
        <v>12.6</v>
      </c>
      <c r="L166">
        <v>0.7</v>
      </c>
      <c r="M166" t="s">
        <v>36</v>
      </c>
      <c r="N166">
        <v>380</v>
      </c>
      <c r="P166" t="s">
        <v>68</v>
      </c>
      <c r="Q166" t="str">
        <f>VLOOKUP(B166,'Player Register'!$B$6:$D$125,3,FALSE())</f>
        <v>25–44</v>
      </c>
    </row>
    <row r="167" spans="2:17" x14ac:dyDescent="0.2">
      <c r="B167">
        <v>3033</v>
      </c>
      <c r="C167">
        <v>2</v>
      </c>
      <c r="D167" t="s">
        <v>88</v>
      </c>
      <c r="E167">
        <v>0.28999999999999998</v>
      </c>
      <c r="F167">
        <v>200</v>
      </c>
      <c r="G167">
        <v>12</v>
      </c>
      <c r="H167">
        <v>1</v>
      </c>
      <c r="I167">
        <v>0</v>
      </c>
      <c r="J167">
        <v>76</v>
      </c>
      <c r="K167">
        <v>12.6</v>
      </c>
      <c r="L167">
        <v>0.7</v>
      </c>
      <c r="M167" t="s">
        <v>36</v>
      </c>
      <c r="N167">
        <v>370</v>
      </c>
      <c r="P167" t="s">
        <v>73</v>
      </c>
      <c r="Q167" t="str">
        <f>VLOOKUP(B167,'Player Register'!$B$6:$D$125,3,FALSE())</f>
        <v>25–44</v>
      </c>
    </row>
    <row r="168" spans="2:17" x14ac:dyDescent="0.2">
      <c r="B168">
        <v>3033</v>
      </c>
      <c r="C168">
        <v>3</v>
      </c>
      <c r="D168" t="s">
        <v>82</v>
      </c>
      <c r="E168">
        <v>0.31</v>
      </c>
      <c r="F168">
        <v>200</v>
      </c>
      <c r="G168">
        <v>7</v>
      </c>
      <c r="H168">
        <v>2</v>
      </c>
      <c r="I168">
        <v>0</v>
      </c>
      <c r="J168">
        <v>50.4</v>
      </c>
      <c r="K168">
        <v>10.8</v>
      </c>
      <c r="L168">
        <v>0.6</v>
      </c>
      <c r="M168" t="s">
        <v>36</v>
      </c>
      <c r="N168">
        <v>320</v>
      </c>
      <c r="P168" t="s">
        <v>59</v>
      </c>
      <c r="Q168" t="str">
        <f>VLOOKUP(B168,'Player Register'!$B$6:$D$125,3,FALSE())</f>
        <v>25–44</v>
      </c>
    </row>
    <row r="169" spans="2:17" x14ac:dyDescent="0.2">
      <c r="B169">
        <v>3033</v>
      </c>
      <c r="C169">
        <v>4</v>
      </c>
      <c r="D169" t="s">
        <v>76</v>
      </c>
      <c r="E169">
        <v>0.28999999999999998</v>
      </c>
      <c r="F169">
        <v>200</v>
      </c>
      <c r="G169">
        <v>7</v>
      </c>
      <c r="H169">
        <v>3</v>
      </c>
      <c r="I169">
        <v>0</v>
      </c>
      <c r="J169">
        <v>68.2</v>
      </c>
      <c r="K169">
        <v>12.6</v>
      </c>
      <c r="L169">
        <v>0.7</v>
      </c>
      <c r="M169" t="s">
        <v>36</v>
      </c>
      <c r="N169">
        <v>320</v>
      </c>
      <c r="P169" t="s">
        <v>59</v>
      </c>
      <c r="Q169" t="str">
        <f>VLOOKUP(B169,'Player Register'!$B$6:$D$125,3,FALSE())</f>
        <v>25–44</v>
      </c>
    </row>
    <row r="170" spans="2:17" x14ac:dyDescent="0.2">
      <c r="B170">
        <v>3033</v>
      </c>
      <c r="C170">
        <v>5</v>
      </c>
      <c r="D170" t="s">
        <v>77</v>
      </c>
      <c r="E170">
        <v>0.31</v>
      </c>
      <c r="F170">
        <v>200</v>
      </c>
      <c r="G170">
        <v>5</v>
      </c>
      <c r="H170">
        <v>0</v>
      </c>
      <c r="I170">
        <v>0</v>
      </c>
      <c r="J170">
        <v>79.7</v>
      </c>
      <c r="K170">
        <v>10.8</v>
      </c>
      <c r="L170">
        <v>0.6</v>
      </c>
      <c r="M170" t="s">
        <v>36</v>
      </c>
      <c r="N170">
        <v>300</v>
      </c>
      <c r="P170" t="s">
        <v>73</v>
      </c>
      <c r="Q170" t="str">
        <f>VLOOKUP(B170,'Player Register'!$B$6:$D$125,3,FALSE())</f>
        <v>25–44</v>
      </c>
    </row>
    <row r="171" spans="2:17" x14ac:dyDescent="0.2">
      <c r="B171">
        <v>3034</v>
      </c>
      <c r="C171">
        <v>1</v>
      </c>
      <c r="D171" t="s">
        <v>62</v>
      </c>
      <c r="E171">
        <v>0.31</v>
      </c>
      <c r="F171">
        <v>201</v>
      </c>
      <c r="G171">
        <v>6</v>
      </c>
      <c r="H171">
        <v>1</v>
      </c>
      <c r="I171">
        <v>0</v>
      </c>
      <c r="J171">
        <v>66.7</v>
      </c>
      <c r="K171">
        <v>12.6</v>
      </c>
      <c r="L171">
        <v>0.7</v>
      </c>
      <c r="M171" t="s">
        <v>36</v>
      </c>
      <c r="N171">
        <v>311</v>
      </c>
      <c r="P171" t="s">
        <v>61</v>
      </c>
      <c r="Q171" t="str">
        <f>VLOOKUP(B171,'Player Register'!$B$6:$D$125,3,FALSE())</f>
        <v>25–44</v>
      </c>
    </row>
    <row r="172" spans="2:17" x14ac:dyDescent="0.2">
      <c r="B172">
        <v>3034</v>
      </c>
      <c r="C172">
        <v>2</v>
      </c>
      <c r="D172" t="s">
        <v>84</v>
      </c>
      <c r="E172">
        <v>0.31</v>
      </c>
      <c r="F172">
        <v>200</v>
      </c>
      <c r="G172">
        <v>5</v>
      </c>
      <c r="H172">
        <v>1</v>
      </c>
      <c r="I172">
        <v>0</v>
      </c>
      <c r="J172">
        <v>61.4</v>
      </c>
      <c r="K172">
        <v>10.8</v>
      </c>
      <c r="L172">
        <v>0.6</v>
      </c>
      <c r="M172" t="s">
        <v>36</v>
      </c>
      <c r="N172">
        <v>300</v>
      </c>
      <c r="P172" t="s">
        <v>61</v>
      </c>
      <c r="Q172" t="str">
        <f>VLOOKUP(B172,'Player Register'!$B$6:$D$125,3,FALSE())</f>
        <v>25–44</v>
      </c>
    </row>
    <row r="173" spans="2:17" x14ac:dyDescent="0.2">
      <c r="B173">
        <v>3034</v>
      </c>
      <c r="C173">
        <v>3</v>
      </c>
      <c r="D173" t="s">
        <v>72</v>
      </c>
      <c r="E173">
        <v>0.31</v>
      </c>
      <c r="F173">
        <v>200</v>
      </c>
      <c r="G173">
        <v>9</v>
      </c>
      <c r="H173">
        <v>2</v>
      </c>
      <c r="I173">
        <v>0</v>
      </c>
      <c r="J173">
        <v>52</v>
      </c>
      <c r="K173">
        <v>10.8</v>
      </c>
      <c r="L173">
        <v>0.6</v>
      </c>
      <c r="M173" t="s">
        <v>36</v>
      </c>
      <c r="N173">
        <v>340</v>
      </c>
      <c r="P173" t="s">
        <v>59</v>
      </c>
      <c r="Q173" t="str">
        <f>VLOOKUP(B173,'Player Register'!$B$6:$D$125,3,FALSE())</f>
        <v>25–44</v>
      </c>
    </row>
    <row r="174" spans="2:17" x14ac:dyDescent="0.2">
      <c r="B174">
        <v>3034</v>
      </c>
      <c r="C174">
        <v>4</v>
      </c>
      <c r="D174" t="s">
        <v>91</v>
      </c>
      <c r="E174">
        <v>0.35</v>
      </c>
      <c r="F174">
        <v>200</v>
      </c>
      <c r="G174">
        <v>7</v>
      </c>
      <c r="H174">
        <v>3</v>
      </c>
      <c r="I174">
        <v>0</v>
      </c>
      <c r="J174">
        <v>51.9</v>
      </c>
      <c r="K174">
        <v>10.8</v>
      </c>
      <c r="L174">
        <v>0.45</v>
      </c>
      <c r="M174" t="s">
        <v>36</v>
      </c>
      <c r="N174">
        <v>320</v>
      </c>
      <c r="P174" t="s">
        <v>64</v>
      </c>
      <c r="Q174" t="str">
        <f>VLOOKUP(B174,'Player Register'!$B$6:$D$125,3,FALSE())</f>
        <v>25–44</v>
      </c>
    </row>
    <row r="175" spans="2:17" x14ac:dyDescent="0.2">
      <c r="B175">
        <v>3034</v>
      </c>
      <c r="C175">
        <v>5</v>
      </c>
      <c r="D175" t="s">
        <v>86</v>
      </c>
      <c r="E175">
        <v>0.28999999999999998</v>
      </c>
      <c r="F175">
        <v>200</v>
      </c>
      <c r="G175">
        <v>6</v>
      </c>
      <c r="H175">
        <v>2</v>
      </c>
      <c r="I175">
        <v>0</v>
      </c>
      <c r="J175">
        <v>59.5</v>
      </c>
      <c r="K175">
        <v>12.6</v>
      </c>
      <c r="L175">
        <v>0.7</v>
      </c>
      <c r="M175" t="s">
        <v>36</v>
      </c>
      <c r="N175">
        <v>310</v>
      </c>
      <c r="P175" t="s">
        <v>61</v>
      </c>
      <c r="Q175" t="str">
        <f>VLOOKUP(B175,'Player Register'!$B$6:$D$125,3,FALSE())</f>
        <v>25–44</v>
      </c>
    </row>
    <row r="176" spans="2:17" x14ac:dyDescent="0.2">
      <c r="B176">
        <v>3035</v>
      </c>
      <c r="C176">
        <v>1</v>
      </c>
      <c r="D176" t="s">
        <v>83</v>
      </c>
      <c r="E176">
        <v>0.35</v>
      </c>
      <c r="F176">
        <v>200</v>
      </c>
      <c r="G176">
        <v>4</v>
      </c>
      <c r="H176">
        <v>2</v>
      </c>
      <c r="I176">
        <v>0</v>
      </c>
      <c r="J176">
        <v>49.2</v>
      </c>
      <c r="K176">
        <v>10.8</v>
      </c>
      <c r="L176">
        <v>0.45</v>
      </c>
      <c r="M176" t="s">
        <v>36</v>
      </c>
      <c r="N176">
        <v>290</v>
      </c>
      <c r="P176" t="s">
        <v>59</v>
      </c>
      <c r="Q176" t="str">
        <f>VLOOKUP(B176,'Player Register'!$B$6:$D$125,3,FALSE())</f>
        <v>25–44</v>
      </c>
    </row>
    <row r="177" spans="2:17" x14ac:dyDescent="0.2">
      <c r="B177">
        <v>3035</v>
      </c>
      <c r="C177">
        <v>2</v>
      </c>
      <c r="D177" t="s">
        <v>67</v>
      </c>
      <c r="E177">
        <v>0.31</v>
      </c>
      <c r="F177">
        <v>201</v>
      </c>
      <c r="G177">
        <v>10</v>
      </c>
      <c r="H177">
        <v>2</v>
      </c>
      <c r="I177">
        <v>0</v>
      </c>
      <c r="J177">
        <v>53.3</v>
      </c>
      <c r="K177">
        <v>12.6</v>
      </c>
      <c r="L177">
        <v>0.7</v>
      </c>
      <c r="M177" t="s">
        <v>36</v>
      </c>
      <c r="N177">
        <v>351</v>
      </c>
      <c r="P177" t="s">
        <v>59</v>
      </c>
      <c r="Q177" t="str">
        <f>VLOOKUP(B177,'Player Register'!$B$6:$D$125,3,FALSE())</f>
        <v>25–44</v>
      </c>
    </row>
    <row r="178" spans="2:17" x14ac:dyDescent="0.2">
      <c r="B178">
        <v>3035</v>
      </c>
      <c r="C178">
        <v>3</v>
      </c>
      <c r="D178" t="s">
        <v>60</v>
      </c>
      <c r="E178">
        <v>0.31</v>
      </c>
      <c r="F178">
        <v>200</v>
      </c>
      <c r="G178">
        <v>6</v>
      </c>
      <c r="H178">
        <v>1</v>
      </c>
      <c r="I178">
        <v>0</v>
      </c>
      <c r="J178">
        <v>48.7</v>
      </c>
      <c r="K178">
        <v>10.8</v>
      </c>
      <c r="L178">
        <v>0.6</v>
      </c>
      <c r="M178" t="s">
        <v>36</v>
      </c>
      <c r="N178">
        <v>310</v>
      </c>
      <c r="P178" t="s">
        <v>61</v>
      </c>
      <c r="Q178" t="str">
        <f>VLOOKUP(B178,'Player Register'!$B$6:$D$125,3,FALSE())</f>
        <v>25–44</v>
      </c>
    </row>
    <row r="179" spans="2:17" x14ac:dyDescent="0.2">
      <c r="B179">
        <v>3035</v>
      </c>
      <c r="C179">
        <v>4</v>
      </c>
      <c r="D179" t="s">
        <v>84</v>
      </c>
      <c r="E179">
        <v>0.31</v>
      </c>
      <c r="F179">
        <v>200</v>
      </c>
      <c r="G179">
        <v>6</v>
      </c>
      <c r="H179">
        <v>1</v>
      </c>
      <c r="I179">
        <v>0</v>
      </c>
      <c r="J179">
        <v>38.1</v>
      </c>
      <c r="K179">
        <v>10.8</v>
      </c>
      <c r="L179">
        <v>0.6</v>
      </c>
      <c r="M179" t="s">
        <v>36</v>
      </c>
      <c r="N179">
        <v>310</v>
      </c>
      <c r="P179" t="s">
        <v>61</v>
      </c>
      <c r="Q179" t="str">
        <f>VLOOKUP(B179,'Player Register'!$B$6:$D$125,3,FALSE())</f>
        <v>25–44</v>
      </c>
    </row>
    <row r="180" spans="2:17" x14ac:dyDescent="0.2">
      <c r="B180">
        <v>3035</v>
      </c>
      <c r="C180">
        <v>5</v>
      </c>
      <c r="D180" t="s">
        <v>71</v>
      </c>
      <c r="E180">
        <v>0.31</v>
      </c>
      <c r="F180">
        <v>201</v>
      </c>
      <c r="G180">
        <v>6</v>
      </c>
      <c r="H180">
        <v>1</v>
      </c>
      <c r="I180">
        <v>0</v>
      </c>
      <c r="J180">
        <v>66.5</v>
      </c>
      <c r="K180">
        <v>12.6</v>
      </c>
      <c r="L180">
        <v>0.7</v>
      </c>
      <c r="M180" t="s">
        <v>36</v>
      </c>
      <c r="N180">
        <v>311</v>
      </c>
      <c r="P180" t="s">
        <v>61</v>
      </c>
      <c r="Q180" t="str">
        <f>VLOOKUP(B180,'Player Register'!$B$6:$D$125,3,FALSE())</f>
        <v>25–44</v>
      </c>
    </row>
    <row r="181" spans="2:17" x14ac:dyDescent="0.2">
      <c r="B181">
        <v>3036</v>
      </c>
      <c r="C181">
        <v>1</v>
      </c>
      <c r="D181" t="s">
        <v>78</v>
      </c>
      <c r="E181">
        <v>0.31</v>
      </c>
      <c r="F181">
        <v>200</v>
      </c>
      <c r="G181">
        <v>15</v>
      </c>
      <c r="H181">
        <v>1</v>
      </c>
      <c r="I181">
        <v>0</v>
      </c>
      <c r="J181">
        <v>73.099999999999994</v>
      </c>
      <c r="K181">
        <v>10.8</v>
      </c>
      <c r="L181">
        <v>0.6</v>
      </c>
      <c r="M181" t="s">
        <v>36</v>
      </c>
      <c r="N181">
        <v>400</v>
      </c>
      <c r="P181" t="s">
        <v>61</v>
      </c>
      <c r="Q181" t="str">
        <f>VLOOKUP(B181,'Player Register'!$B$6:$D$125,3,FALSE())</f>
        <v>25–44</v>
      </c>
    </row>
    <row r="182" spans="2:17" x14ac:dyDescent="0.2">
      <c r="B182">
        <v>3036</v>
      </c>
      <c r="C182">
        <v>2</v>
      </c>
      <c r="D182" t="s">
        <v>66</v>
      </c>
      <c r="E182">
        <v>0.28999999999999998</v>
      </c>
      <c r="F182">
        <v>200</v>
      </c>
      <c r="G182">
        <v>8</v>
      </c>
      <c r="H182">
        <v>0</v>
      </c>
      <c r="I182">
        <v>0</v>
      </c>
      <c r="J182">
        <v>70.099999999999994</v>
      </c>
      <c r="K182">
        <v>12.6</v>
      </c>
      <c r="L182">
        <v>0.7</v>
      </c>
      <c r="M182" t="s">
        <v>36</v>
      </c>
      <c r="N182">
        <v>330</v>
      </c>
      <c r="P182" t="s">
        <v>68</v>
      </c>
      <c r="Q182" t="str">
        <f>VLOOKUP(B182,'Player Register'!$B$6:$D$125,3,FALSE())</f>
        <v>25–44</v>
      </c>
    </row>
    <row r="183" spans="2:17" x14ac:dyDescent="0.2">
      <c r="B183">
        <v>3036</v>
      </c>
      <c r="C183">
        <v>3</v>
      </c>
      <c r="D183" t="s">
        <v>67</v>
      </c>
      <c r="E183">
        <v>0.31</v>
      </c>
      <c r="F183">
        <v>200</v>
      </c>
      <c r="G183">
        <v>11</v>
      </c>
      <c r="H183">
        <v>1</v>
      </c>
      <c r="I183">
        <v>0</v>
      </c>
      <c r="J183">
        <v>78.3</v>
      </c>
      <c r="K183">
        <v>10.8</v>
      </c>
      <c r="L183">
        <v>0.6</v>
      </c>
      <c r="M183" t="s">
        <v>36</v>
      </c>
      <c r="N183">
        <v>360</v>
      </c>
      <c r="P183" t="s">
        <v>61</v>
      </c>
      <c r="Q183" t="str">
        <f>VLOOKUP(B183,'Player Register'!$B$6:$D$125,3,FALSE())</f>
        <v>25–44</v>
      </c>
    </row>
    <row r="184" spans="2:17" x14ac:dyDescent="0.2">
      <c r="B184">
        <v>3036</v>
      </c>
      <c r="C184">
        <v>4</v>
      </c>
      <c r="D184" t="s">
        <v>60</v>
      </c>
      <c r="E184">
        <v>0.31</v>
      </c>
      <c r="F184">
        <v>200</v>
      </c>
      <c r="G184">
        <v>11</v>
      </c>
      <c r="H184">
        <v>1</v>
      </c>
      <c r="I184">
        <v>0</v>
      </c>
      <c r="J184">
        <v>73.099999999999994</v>
      </c>
      <c r="K184">
        <v>10.8</v>
      </c>
      <c r="L184">
        <v>0.6</v>
      </c>
      <c r="M184" t="s">
        <v>36</v>
      </c>
      <c r="N184">
        <v>360</v>
      </c>
      <c r="P184" t="s">
        <v>61</v>
      </c>
      <c r="Q184" t="str">
        <f>VLOOKUP(B184,'Player Register'!$B$6:$D$125,3,FALSE())</f>
        <v>25–44</v>
      </c>
    </row>
    <row r="185" spans="2:17" x14ac:dyDescent="0.2">
      <c r="B185">
        <v>3036</v>
      </c>
      <c r="C185">
        <v>5</v>
      </c>
      <c r="D185" t="s">
        <v>62</v>
      </c>
      <c r="E185">
        <v>0.31</v>
      </c>
      <c r="F185">
        <v>200</v>
      </c>
      <c r="G185">
        <v>3</v>
      </c>
      <c r="H185">
        <v>0</v>
      </c>
      <c r="I185">
        <v>0</v>
      </c>
      <c r="J185">
        <v>51.9</v>
      </c>
      <c r="K185">
        <v>10.8</v>
      </c>
      <c r="L185">
        <v>0.6</v>
      </c>
      <c r="M185" t="s">
        <v>36</v>
      </c>
      <c r="N185">
        <v>280</v>
      </c>
      <c r="P185" t="s">
        <v>73</v>
      </c>
      <c r="Q185" t="str">
        <f>VLOOKUP(B185,'Player Register'!$B$6:$D$125,3,FALSE())</f>
        <v>25–44</v>
      </c>
    </row>
    <row r="186" spans="2:17" x14ac:dyDescent="0.2">
      <c r="B186">
        <v>3037</v>
      </c>
      <c r="C186">
        <v>1</v>
      </c>
      <c r="D186" t="s">
        <v>88</v>
      </c>
      <c r="E186">
        <v>0.28999999999999998</v>
      </c>
      <c r="F186">
        <v>200</v>
      </c>
      <c r="G186">
        <v>7</v>
      </c>
      <c r="H186">
        <v>0</v>
      </c>
      <c r="I186">
        <v>0</v>
      </c>
      <c r="J186">
        <v>61.9</v>
      </c>
      <c r="K186">
        <v>12.6</v>
      </c>
      <c r="L186">
        <v>0.7</v>
      </c>
      <c r="M186" t="s">
        <v>36</v>
      </c>
      <c r="N186">
        <v>320</v>
      </c>
      <c r="P186" t="s">
        <v>68</v>
      </c>
      <c r="Q186" t="str">
        <f>VLOOKUP(B186,'Player Register'!$B$6:$D$125,3,FALSE())</f>
        <v>25–44</v>
      </c>
    </row>
    <row r="187" spans="2:17" x14ac:dyDescent="0.2">
      <c r="B187">
        <v>3037</v>
      </c>
      <c r="C187">
        <v>2</v>
      </c>
      <c r="D187" t="s">
        <v>82</v>
      </c>
      <c r="E187">
        <v>0.31</v>
      </c>
      <c r="F187">
        <v>200</v>
      </c>
      <c r="G187">
        <v>10</v>
      </c>
      <c r="H187">
        <v>2</v>
      </c>
      <c r="I187">
        <v>0</v>
      </c>
      <c r="J187">
        <v>63.7</v>
      </c>
      <c r="K187">
        <v>10.8</v>
      </c>
      <c r="L187">
        <v>0.45</v>
      </c>
      <c r="M187" t="s">
        <v>36</v>
      </c>
      <c r="N187">
        <v>350</v>
      </c>
      <c r="P187" t="s">
        <v>59</v>
      </c>
      <c r="Q187" t="str">
        <f>VLOOKUP(B187,'Player Register'!$B$6:$D$125,3,FALSE())</f>
        <v>25–44</v>
      </c>
    </row>
    <row r="188" spans="2:17" x14ac:dyDescent="0.2">
      <c r="B188">
        <v>3037</v>
      </c>
      <c r="C188">
        <v>3</v>
      </c>
      <c r="D188" t="s">
        <v>77</v>
      </c>
      <c r="E188">
        <v>0.31</v>
      </c>
      <c r="F188">
        <v>200</v>
      </c>
      <c r="G188">
        <v>7</v>
      </c>
      <c r="H188">
        <v>1</v>
      </c>
      <c r="I188">
        <v>0</v>
      </c>
      <c r="J188">
        <v>62.1</v>
      </c>
      <c r="K188">
        <v>10.8</v>
      </c>
      <c r="L188">
        <v>0.6</v>
      </c>
      <c r="M188" t="s">
        <v>36</v>
      </c>
      <c r="N188">
        <v>320</v>
      </c>
      <c r="P188" t="s">
        <v>61</v>
      </c>
      <c r="Q188" t="str">
        <f>VLOOKUP(B188,'Player Register'!$B$6:$D$125,3,FALSE())</f>
        <v>25–44</v>
      </c>
    </row>
    <row r="189" spans="2:17" x14ac:dyDescent="0.2">
      <c r="B189">
        <v>3037</v>
      </c>
      <c r="C189">
        <v>4</v>
      </c>
      <c r="D189" t="s">
        <v>78</v>
      </c>
      <c r="E189">
        <v>0.37</v>
      </c>
      <c r="F189">
        <v>200</v>
      </c>
      <c r="G189">
        <v>8</v>
      </c>
      <c r="H189">
        <v>4</v>
      </c>
      <c r="I189">
        <v>0</v>
      </c>
      <c r="J189">
        <v>44.1</v>
      </c>
      <c r="K189">
        <v>10.8</v>
      </c>
      <c r="L189">
        <v>0.3</v>
      </c>
      <c r="M189" t="s">
        <v>36</v>
      </c>
      <c r="N189">
        <v>330</v>
      </c>
      <c r="P189" t="s">
        <v>70</v>
      </c>
      <c r="Q189" t="str">
        <f>VLOOKUP(B189,'Player Register'!$B$6:$D$125,3,FALSE())</f>
        <v>25–44</v>
      </c>
    </row>
    <row r="190" spans="2:17" x14ac:dyDescent="0.2">
      <c r="B190">
        <v>3037</v>
      </c>
      <c r="C190">
        <v>5</v>
      </c>
      <c r="D190" t="s">
        <v>66</v>
      </c>
      <c r="E190">
        <v>0.31</v>
      </c>
      <c r="F190">
        <v>200</v>
      </c>
      <c r="G190">
        <v>12</v>
      </c>
      <c r="H190">
        <v>2</v>
      </c>
      <c r="I190">
        <v>0</v>
      </c>
      <c r="J190">
        <v>71.3</v>
      </c>
      <c r="K190">
        <v>10.8</v>
      </c>
      <c r="L190">
        <v>0.6</v>
      </c>
      <c r="M190" t="s">
        <v>36</v>
      </c>
      <c r="N190">
        <v>370</v>
      </c>
      <c r="P190" t="s">
        <v>59</v>
      </c>
      <c r="Q190" t="str">
        <f>VLOOKUP(B190,'Player Register'!$B$6:$D$125,3,FALSE())</f>
        <v>25–44</v>
      </c>
    </row>
    <row r="191" spans="2:17" x14ac:dyDescent="0.2">
      <c r="B191">
        <v>3038</v>
      </c>
      <c r="C191">
        <v>1</v>
      </c>
      <c r="D191" t="s">
        <v>81</v>
      </c>
      <c r="E191">
        <v>0.28999999999999998</v>
      </c>
      <c r="F191">
        <v>200</v>
      </c>
      <c r="G191">
        <v>8</v>
      </c>
      <c r="H191">
        <v>1</v>
      </c>
      <c r="I191">
        <v>0</v>
      </c>
      <c r="J191">
        <v>74.3</v>
      </c>
      <c r="K191">
        <v>12.6</v>
      </c>
      <c r="L191">
        <v>0.7</v>
      </c>
      <c r="M191" t="s">
        <v>36</v>
      </c>
      <c r="N191">
        <v>330</v>
      </c>
      <c r="P191" t="s">
        <v>73</v>
      </c>
      <c r="Q191" t="str">
        <f>VLOOKUP(B191,'Player Register'!$B$6:$D$125,3,FALSE())</f>
        <v>25–44</v>
      </c>
    </row>
    <row r="192" spans="2:17" x14ac:dyDescent="0.2">
      <c r="B192">
        <v>3038</v>
      </c>
      <c r="C192">
        <v>2</v>
      </c>
      <c r="D192" t="s">
        <v>82</v>
      </c>
      <c r="E192">
        <v>0.31</v>
      </c>
      <c r="F192">
        <v>200</v>
      </c>
      <c r="G192">
        <v>10</v>
      </c>
      <c r="H192">
        <v>0</v>
      </c>
      <c r="I192">
        <v>0</v>
      </c>
      <c r="J192">
        <v>45.9</v>
      </c>
      <c r="K192">
        <v>10.8</v>
      </c>
      <c r="L192">
        <v>0.6</v>
      </c>
      <c r="M192" t="s">
        <v>36</v>
      </c>
      <c r="N192">
        <v>350</v>
      </c>
      <c r="P192" t="s">
        <v>73</v>
      </c>
      <c r="Q192" t="str">
        <f>VLOOKUP(B192,'Player Register'!$B$6:$D$125,3,FALSE())</f>
        <v>25–44</v>
      </c>
    </row>
    <row r="193" spans="2:17" x14ac:dyDescent="0.2">
      <c r="B193">
        <v>3038</v>
      </c>
      <c r="C193">
        <v>3</v>
      </c>
      <c r="D193" t="s">
        <v>76</v>
      </c>
      <c r="E193">
        <v>0.28999999999999998</v>
      </c>
      <c r="F193">
        <v>200</v>
      </c>
      <c r="G193">
        <v>9</v>
      </c>
      <c r="H193">
        <v>1</v>
      </c>
      <c r="I193">
        <v>0</v>
      </c>
      <c r="J193">
        <v>79.3</v>
      </c>
      <c r="K193">
        <v>12.6</v>
      </c>
      <c r="L193">
        <v>0.7</v>
      </c>
      <c r="M193" t="s">
        <v>36</v>
      </c>
      <c r="N193">
        <v>340</v>
      </c>
      <c r="P193" t="s">
        <v>73</v>
      </c>
      <c r="Q193" t="str">
        <f>VLOOKUP(B193,'Player Register'!$B$6:$D$125,3,FALSE())</f>
        <v>25–44</v>
      </c>
    </row>
    <row r="194" spans="2:17" x14ac:dyDescent="0.2">
      <c r="B194">
        <v>3038</v>
      </c>
      <c r="C194">
        <v>4</v>
      </c>
      <c r="D194" t="s">
        <v>66</v>
      </c>
      <c r="E194">
        <v>0.31</v>
      </c>
      <c r="F194">
        <v>200</v>
      </c>
      <c r="G194">
        <v>7</v>
      </c>
      <c r="H194">
        <v>1</v>
      </c>
      <c r="I194">
        <v>0</v>
      </c>
      <c r="J194">
        <v>67.099999999999994</v>
      </c>
      <c r="K194">
        <v>10.8</v>
      </c>
      <c r="L194">
        <v>0.6</v>
      </c>
      <c r="M194" t="s">
        <v>36</v>
      </c>
      <c r="N194">
        <v>320</v>
      </c>
      <c r="P194" t="s">
        <v>61</v>
      </c>
      <c r="Q194" t="str">
        <f>VLOOKUP(B194,'Player Register'!$B$6:$D$125,3,FALSE())</f>
        <v>25–44</v>
      </c>
    </row>
    <row r="195" spans="2:17" x14ac:dyDescent="0.2">
      <c r="B195">
        <v>3038</v>
      </c>
      <c r="C195">
        <v>5</v>
      </c>
      <c r="D195" t="s">
        <v>83</v>
      </c>
      <c r="E195">
        <v>0.28999999999999998</v>
      </c>
      <c r="F195">
        <v>200</v>
      </c>
      <c r="G195">
        <v>13</v>
      </c>
      <c r="H195">
        <v>0</v>
      </c>
      <c r="I195">
        <v>0</v>
      </c>
      <c r="J195">
        <v>79.7</v>
      </c>
      <c r="K195">
        <v>12.6</v>
      </c>
      <c r="L195">
        <v>0.7</v>
      </c>
      <c r="M195" t="s">
        <v>36</v>
      </c>
      <c r="N195">
        <v>380</v>
      </c>
      <c r="P195" t="s">
        <v>68</v>
      </c>
      <c r="Q195" t="str">
        <f>VLOOKUP(B195,'Player Register'!$B$6:$D$125,3,FALSE())</f>
        <v>25–44</v>
      </c>
    </row>
    <row r="196" spans="2:17" x14ac:dyDescent="0.2">
      <c r="B196">
        <v>3039</v>
      </c>
      <c r="C196">
        <v>1</v>
      </c>
      <c r="D196" t="s">
        <v>69</v>
      </c>
      <c r="E196">
        <v>0.31</v>
      </c>
      <c r="F196">
        <v>200</v>
      </c>
      <c r="G196">
        <v>8</v>
      </c>
      <c r="H196">
        <v>3</v>
      </c>
      <c r="I196">
        <v>0</v>
      </c>
      <c r="J196">
        <v>61.9</v>
      </c>
      <c r="K196">
        <v>10.8</v>
      </c>
      <c r="L196">
        <v>0.45</v>
      </c>
      <c r="M196" t="s">
        <v>36</v>
      </c>
      <c r="N196">
        <v>330</v>
      </c>
      <c r="P196" t="s">
        <v>64</v>
      </c>
      <c r="Q196" t="str">
        <f>VLOOKUP(B196,'Player Register'!$B$6:$D$125,3,FALSE())</f>
        <v>45–64</v>
      </c>
    </row>
    <row r="197" spans="2:17" x14ac:dyDescent="0.2">
      <c r="B197">
        <v>3039</v>
      </c>
      <c r="C197">
        <v>2</v>
      </c>
      <c r="D197" t="s">
        <v>58</v>
      </c>
      <c r="E197">
        <v>0.28999999999999998</v>
      </c>
      <c r="F197">
        <v>200</v>
      </c>
      <c r="G197">
        <v>13</v>
      </c>
      <c r="H197">
        <v>1</v>
      </c>
      <c r="I197">
        <v>0</v>
      </c>
      <c r="J197">
        <v>76.5</v>
      </c>
      <c r="K197">
        <v>12.6</v>
      </c>
      <c r="L197">
        <v>0.7</v>
      </c>
      <c r="M197" t="s">
        <v>36</v>
      </c>
      <c r="N197">
        <v>380</v>
      </c>
      <c r="P197" t="s">
        <v>73</v>
      </c>
      <c r="Q197" t="str">
        <f>VLOOKUP(B197,'Player Register'!$B$6:$D$125,3,FALSE())</f>
        <v>45–64</v>
      </c>
    </row>
    <row r="198" spans="2:17" x14ac:dyDescent="0.2">
      <c r="B198">
        <v>3039</v>
      </c>
      <c r="C198">
        <v>3</v>
      </c>
      <c r="D198" t="s">
        <v>60</v>
      </c>
      <c r="E198">
        <v>0.28999999999999998</v>
      </c>
      <c r="F198">
        <v>200</v>
      </c>
      <c r="G198">
        <v>7</v>
      </c>
      <c r="H198">
        <v>0</v>
      </c>
      <c r="I198">
        <v>0</v>
      </c>
      <c r="J198">
        <v>73</v>
      </c>
      <c r="K198">
        <v>12.6</v>
      </c>
      <c r="L198">
        <v>0.7</v>
      </c>
      <c r="M198" t="s">
        <v>36</v>
      </c>
      <c r="N198">
        <v>320</v>
      </c>
      <c r="P198" t="s">
        <v>68</v>
      </c>
      <c r="Q198" t="str">
        <f>VLOOKUP(B198,'Player Register'!$B$6:$D$125,3,FALSE())</f>
        <v>45–64</v>
      </c>
    </row>
    <row r="199" spans="2:17" x14ac:dyDescent="0.2">
      <c r="B199">
        <v>3039</v>
      </c>
      <c r="C199">
        <v>4</v>
      </c>
      <c r="D199" t="s">
        <v>62</v>
      </c>
      <c r="E199">
        <v>0.28999999999999998</v>
      </c>
      <c r="F199">
        <v>200</v>
      </c>
      <c r="G199">
        <v>11</v>
      </c>
      <c r="H199">
        <v>1</v>
      </c>
      <c r="I199">
        <v>0</v>
      </c>
      <c r="J199">
        <v>71.3</v>
      </c>
      <c r="K199">
        <v>12.6</v>
      </c>
      <c r="L199">
        <v>0.7</v>
      </c>
      <c r="M199" t="s">
        <v>36</v>
      </c>
      <c r="N199">
        <v>360</v>
      </c>
      <c r="P199" t="s">
        <v>73</v>
      </c>
      <c r="Q199" t="str">
        <f>VLOOKUP(B199,'Player Register'!$B$6:$D$125,3,FALSE())</f>
        <v>45–64</v>
      </c>
    </row>
    <row r="200" spans="2:17" x14ac:dyDescent="0.2">
      <c r="B200">
        <v>3039</v>
      </c>
      <c r="C200">
        <v>5</v>
      </c>
      <c r="D200" t="s">
        <v>71</v>
      </c>
      <c r="E200">
        <v>0.28999999999999998</v>
      </c>
      <c r="F200">
        <v>200</v>
      </c>
      <c r="G200">
        <v>7</v>
      </c>
      <c r="H200">
        <v>1</v>
      </c>
      <c r="I200">
        <v>0</v>
      </c>
      <c r="J200">
        <v>74.3</v>
      </c>
      <c r="K200">
        <v>12.6</v>
      </c>
      <c r="L200">
        <v>0.7</v>
      </c>
      <c r="M200" t="s">
        <v>36</v>
      </c>
      <c r="N200">
        <v>320</v>
      </c>
      <c r="P200" t="s">
        <v>73</v>
      </c>
      <c r="Q200" t="str">
        <f>VLOOKUP(B200,'Player Register'!$B$6:$D$125,3,FALSE())</f>
        <v>45–64</v>
      </c>
    </row>
    <row r="201" spans="2:17" x14ac:dyDescent="0.2">
      <c r="B201">
        <v>3040</v>
      </c>
      <c r="C201">
        <v>1</v>
      </c>
      <c r="D201" t="s">
        <v>82</v>
      </c>
      <c r="E201">
        <v>0.31</v>
      </c>
      <c r="F201">
        <v>200</v>
      </c>
      <c r="G201">
        <v>10</v>
      </c>
      <c r="H201">
        <v>0</v>
      </c>
      <c r="I201">
        <v>0</v>
      </c>
      <c r="J201">
        <v>52.8</v>
      </c>
      <c r="K201">
        <v>10.8</v>
      </c>
      <c r="L201">
        <v>0.6</v>
      </c>
      <c r="M201" t="s">
        <v>36</v>
      </c>
      <c r="N201">
        <v>350</v>
      </c>
      <c r="P201" t="s">
        <v>73</v>
      </c>
      <c r="Q201" t="str">
        <f>VLOOKUP(B201,'Player Register'!$B$6:$D$125,3,FALSE())</f>
        <v>45–64</v>
      </c>
    </row>
    <row r="202" spans="2:17" x14ac:dyDescent="0.2">
      <c r="B202">
        <v>3040</v>
      </c>
      <c r="C202">
        <v>2</v>
      </c>
      <c r="D202" t="s">
        <v>77</v>
      </c>
      <c r="E202">
        <v>0.31</v>
      </c>
      <c r="F202">
        <v>201</v>
      </c>
      <c r="G202">
        <v>10</v>
      </c>
      <c r="H202">
        <v>2</v>
      </c>
      <c r="I202">
        <v>0</v>
      </c>
      <c r="J202">
        <v>53.7</v>
      </c>
      <c r="K202">
        <v>12.6</v>
      </c>
      <c r="L202">
        <v>0.7</v>
      </c>
      <c r="M202" t="s">
        <v>36</v>
      </c>
      <c r="N202">
        <v>351</v>
      </c>
      <c r="P202" t="s">
        <v>59</v>
      </c>
      <c r="Q202" t="str">
        <f>VLOOKUP(B202,'Player Register'!$B$6:$D$125,3,FALSE())</f>
        <v>45–64</v>
      </c>
    </row>
    <row r="203" spans="2:17" x14ac:dyDescent="0.2">
      <c r="B203">
        <v>3041</v>
      </c>
      <c r="C203">
        <v>1</v>
      </c>
      <c r="D203" t="s">
        <v>60</v>
      </c>
      <c r="E203">
        <v>0.35</v>
      </c>
      <c r="F203">
        <v>200</v>
      </c>
      <c r="G203">
        <v>6</v>
      </c>
      <c r="H203">
        <v>2</v>
      </c>
      <c r="I203">
        <v>0</v>
      </c>
      <c r="J203">
        <v>58</v>
      </c>
      <c r="K203">
        <v>10.8</v>
      </c>
      <c r="L203">
        <v>0.45</v>
      </c>
      <c r="M203" t="s">
        <v>36</v>
      </c>
      <c r="N203">
        <v>310</v>
      </c>
      <c r="P203" t="s">
        <v>59</v>
      </c>
      <c r="Q203" t="str">
        <f>VLOOKUP(B203,'Player Register'!$B$6:$D$125,3,FALSE())</f>
        <v>45–64</v>
      </c>
    </row>
    <row r="204" spans="2:17" x14ac:dyDescent="0.2">
      <c r="B204">
        <v>3041</v>
      </c>
      <c r="C204">
        <v>2</v>
      </c>
      <c r="D204" t="s">
        <v>84</v>
      </c>
      <c r="E204">
        <v>0.31</v>
      </c>
      <c r="F204">
        <v>200</v>
      </c>
      <c r="G204">
        <v>5</v>
      </c>
      <c r="H204">
        <v>1</v>
      </c>
      <c r="I204">
        <v>0</v>
      </c>
      <c r="J204">
        <v>59.8</v>
      </c>
      <c r="K204">
        <v>10.8</v>
      </c>
      <c r="L204">
        <v>0.6</v>
      </c>
      <c r="M204" t="s">
        <v>36</v>
      </c>
      <c r="N204">
        <v>300</v>
      </c>
      <c r="P204" t="s">
        <v>61</v>
      </c>
      <c r="Q204" t="str">
        <f>VLOOKUP(B204,'Player Register'!$B$6:$D$125,3,FALSE())</f>
        <v>45–64</v>
      </c>
    </row>
    <row r="205" spans="2:17" x14ac:dyDescent="0.2">
      <c r="B205">
        <v>3041</v>
      </c>
      <c r="C205">
        <v>6</v>
      </c>
      <c r="D205" t="s">
        <v>94</v>
      </c>
      <c r="E205">
        <v>0.31</v>
      </c>
      <c r="F205">
        <v>200</v>
      </c>
      <c r="G205">
        <v>7</v>
      </c>
      <c r="H205">
        <v>3</v>
      </c>
      <c r="I205">
        <v>0</v>
      </c>
      <c r="J205">
        <v>65.2</v>
      </c>
      <c r="K205">
        <v>10.8</v>
      </c>
      <c r="L205">
        <v>0.6</v>
      </c>
      <c r="M205" t="s">
        <v>36</v>
      </c>
      <c r="N205">
        <v>320</v>
      </c>
      <c r="P205" t="s">
        <v>64</v>
      </c>
      <c r="Q205" t="str">
        <f>VLOOKUP(B205,'Player Register'!$B$6:$D$125,3,FALSE())</f>
        <v>45–64</v>
      </c>
    </row>
    <row r="206" spans="2:17" x14ac:dyDescent="0.2">
      <c r="B206">
        <v>3042</v>
      </c>
      <c r="C206">
        <v>1</v>
      </c>
      <c r="D206" t="s">
        <v>71</v>
      </c>
      <c r="E206">
        <v>0.31</v>
      </c>
      <c r="F206">
        <v>200</v>
      </c>
      <c r="G206">
        <v>9</v>
      </c>
      <c r="H206">
        <v>2</v>
      </c>
      <c r="I206">
        <v>0</v>
      </c>
      <c r="J206">
        <v>51.5</v>
      </c>
      <c r="K206">
        <v>10.8</v>
      </c>
      <c r="L206">
        <v>0.6</v>
      </c>
      <c r="M206" t="s">
        <v>36</v>
      </c>
      <c r="N206">
        <v>340</v>
      </c>
      <c r="P206" t="s">
        <v>59</v>
      </c>
      <c r="Q206" t="str">
        <f>VLOOKUP(B206,'Player Register'!$B$6:$D$125,3,FALSE())</f>
        <v>45–64</v>
      </c>
    </row>
    <row r="207" spans="2:17" x14ac:dyDescent="0.2">
      <c r="B207">
        <v>3042</v>
      </c>
      <c r="C207">
        <v>2</v>
      </c>
      <c r="D207" t="s">
        <v>72</v>
      </c>
      <c r="E207">
        <v>0.31</v>
      </c>
      <c r="F207">
        <v>200</v>
      </c>
      <c r="G207">
        <v>5</v>
      </c>
      <c r="H207">
        <v>2</v>
      </c>
      <c r="I207">
        <v>0</v>
      </c>
      <c r="J207">
        <v>52.6</v>
      </c>
      <c r="K207">
        <v>10.8</v>
      </c>
      <c r="L207">
        <v>0.6</v>
      </c>
      <c r="M207" t="s">
        <v>36</v>
      </c>
      <c r="N207">
        <v>300</v>
      </c>
      <c r="P207" t="s">
        <v>59</v>
      </c>
      <c r="Q207" t="str">
        <f>VLOOKUP(B207,'Player Register'!$B$6:$D$125,3,FALSE())</f>
        <v>45–64</v>
      </c>
    </row>
    <row r="208" spans="2:17" x14ac:dyDescent="0.2">
      <c r="B208">
        <v>3042</v>
      </c>
      <c r="C208">
        <v>3</v>
      </c>
      <c r="D208" t="s">
        <v>85</v>
      </c>
      <c r="E208">
        <v>0.31</v>
      </c>
      <c r="F208">
        <v>200</v>
      </c>
      <c r="G208">
        <v>13</v>
      </c>
      <c r="H208">
        <v>1</v>
      </c>
      <c r="I208">
        <v>0</v>
      </c>
      <c r="J208">
        <v>50.6</v>
      </c>
      <c r="K208">
        <v>10.8</v>
      </c>
      <c r="L208">
        <v>0.6</v>
      </c>
      <c r="M208" t="s">
        <v>36</v>
      </c>
      <c r="N208">
        <v>380</v>
      </c>
      <c r="P208" t="s">
        <v>61</v>
      </c>
      <c r="Q208" t="str">
        <f>VLOOKUP(B208,'Player Register'!$B$6:$D$125,3,FALSE())</f>
        <v>45–64</v>
      </c>
    </row>
    <row r="209" spans="2:17" x14ac:dyDescent="0.2">
      <c r="B209">
        <v>3042</v>
      </c>
      <c r="C209">
        <v>4</v>
      </c>
      <c r="D209" t="s">
        <v>65</v>
      </c>
      <c r="E209">
        <v>0.31</v>
      </c>
      <c r="F209">
        <v>200</v>
      </c>
      <c r="G209">
        <v>10</v>
      </c>
      <c r="H209">
        <v>3</v>
      </c>
      <c r="I209">
        <v>0</v>
      </c>
      <c r="J209">
        <v>43.7</v>
      </c>
      <c r="K209">
        <v>10.8</v>
      </c>
      <c r="L209">
        <v>0.45</v>
      </c>
      <c r="M209" t="s">
        <v>36</v>
      </c>
      <c r="N209">
        <v>350</v>
      </c>
      <c r="P209" t="s">
        <v>64</v>
      </c>
      <c r="Q209" t="str">
        <f>VLOOKUP(B209,'Player Register'!$B$6:$D$125,3,FALSE())</f>
        <v>45–64</v>
      </c>
    </row>
    <row r="210" spans="2:17" x14ac:dyDescent="0.2">
      <c r="B210">
        <v>3042</v>
      </c>
      <c r="C210">
        <v>5</v>
      </c>
      <c r="D210" t="s">
        <v>91</v>
      </c>
      <c r="E210">
        <v>0.31</v>
      </c>
      <c r="F210">
        <v>200</v>
      </c>
      <c r="G210">
        <v>8</v>
      </c>
      <c r="H210">
        <v>1</v>
      </c>
      <c r="I210">
        <v>0</v>
      </c>
      <c r="J210">
        <v>59.8</v>
      </c>
      <c r="K210">
        <v>10.8</v>
      </c>
      <c r="L210">
        <v>0.6</v>
      </c>
      <c r="M210" t="s">
        <v>36</v>
      </c>
      <c r="N210">
        <v>330</v>
      </c>
      <c r="P210" t="s">
        <v>61</v>
      </c>
      <c r="Q210" t="str">
        <f>VLOOKUP(B210,'Player Register'!$B$6:$D$125,3,FALSE())</f>
        <v>45–64</v>
      </c>
    </row>
    <row r="211" spans="2:17" x14ac:dyDescent="0.2">
      <c r="B211">
        <v>3043</v>
      </c>
      <c r="C211">
        <v>1</v>
      </c>
      <c r="D211" t="s">
        <v>82</v>
      </c>
      <c r="E211">
        <v>0.31</v>
      </c>
      <c r="F211">
        <v>200</v>
      </c>
      <c r="G211">
        <v>8</v>
      </c>
      <c r="H211">
        <v>3</v>
      </c>
      <c r="I211">
        <v>0</v>
      </c>
      <c r="J211">
        <v>52.9</v>
      </c>
      <c r="K211">
        <v>10.8</v>
      </c>
      <c r="L211">
        <v>0.6</v>
      </c>
      <c r="M211" t="s">
        <v>36</v>
      </c>
      <c r="N211">
        <v>330</v>
      </c>
      <c r="P211" t="s">
        <v>64</v>
      </c>
      <c r="Q211" t="str">
        <f>VLOOKUP(B211,'Player Register'!$B$6:$D$125,3,FALSE())</f>
        <v>45–64</v>
      </c>
    </row>
    <row r="212" spans="2:17" x14ac:dyDescent="0.2">
      <c r="B212">
        <v>3043</v>
      </c>
      <c r="C212">
        <v>2</v>
      </c>
      <c r="D212" t="s">
        <v>77</v>
      </c>
      <c r="E212">
        <v>0.28999999999999998</v>
      </c>
      <c r="F212">
        <v>200</v>
      </c>
      <c r="G212">
        <v>11</v>
      </c>
      <c r="H212">
        <v>2</v>
      </c>
      <c r="I212">
        <v>0</v>
      </c>
      <c r="J212">
        <v>76.599999999999994</v>
      </c>
      <c r="K212">
        <v>12.6</v>
      </c>
      <c r="L212">
        <v>0.7</v>
      </c>
      <c r="M212" t="s">
        <v>36</v>
      </c>
      <c r="N212">
        <v>360</v>
      </c>
      <c r="P212" t="s">
        <v>61</v>
      </c>
      <c r="Q212" t="str">
        <f>VLOOKUP(B212,'Player Register'!$B$6:$D$125,3,FALSE())</f>
        <v>45–64</v>
      </c>
    </row>
    <row r="213" spans="2:17" x14ac:dyDescent="0.2">
      <c r="B213">
        <v>3043</v>
      </c>
      <c r="C213">
        <v>3</v>
      </c>
      <c r="D213" t="s">
        <v>78</v>
      </c>
      <c r="E213">
        <v>0.31</v>
      </c>
      <c r="F213">
        <v>200</v>
      </c>
      <c r="G213">
        <v>7</v>
      </c>
      <c r="H213">
        <v>0</v>
      </c>
      <c r="I213">
        <v>0</v>
      </c>
      <c r="J213">
        <v>80.400000000000006</v>
      </c>
      <c r="K213">
        <v>10.8</v>
      </c>
      <c r="L213">
        <v>0.6</v>
      </c>
      <c r="M213" t="s">
        <v>36</v>
      </c>
      <c r="N213">
        <v>320</v>
      </c>
      <c r="P213" t="s">
        <v>73</v>
      </c>
      <c r="Q213" t="str">
        <f>VLOOKUP(B213,'Player Register'!$B$6:$D$125,3,FALSE())</f>
        <v>45–64</v>
      </c>
    </row>
    <row r="214" spans="2:17" x14ac:dyDescent="0.2">
      <c r="B214">
        <v>3043</v>
      </c>
      <c r="C214">
        <v>4</v>
      </c>
      <c r="D214" t="s">
        <v>83</v>
      </c>
      <c r="E214">
        <v>0.31</v>
      </c>
      <c r="F214">
        <v>200</v>
      </c>
      <c r="G214">
        <v>10</v>
      </c>
      <c r="H214">
        <v>2</v>
      </c>
      <c r="I214">
        <v>0</v>
      </c>
      <c r="J214">
        <v>44.5</v>
      </c>
      <c r="K214">
        <v>10.8</v>
      </c>
      <c r="L214">
        <v>0.6</v>
      </c>
      <c r="M214" t="s">
        <v>36</v>
      </c>
      <c r="N214">
        <v>350</v>
      </c>
      <c r="P214" t="s">
        <v>59</v>
      </c>
      <c r="Q214" t="str">
        <f>VLOOKUP(B214,'Player Register'!$B$6:$D$125,3,FALSE())</f>
        <v>45–64</v>
      </c>
    </row>
    <row r="215" spans="2:17" x14ac:dyDescent="0.2">
      <c r="B215">
        <v>3043</v>
      </c>
      <c r="C215">
        <v>5</v>
      </c>
      <c r="D215" t="s">
        <v>79</v>
      </c>
      <c r="E215">
        <v>0.31</v>
      </c>
      <c r="F215">
        <v>200</v>
      </c>
      <c r="G215">
        <v>10</v>
      </c>
      <c r="H215">
        <v>2</v>
      </c>
      <c r="I215">
        <v>0</v>
      </c>
      <c r="J215">
        <v>64.599999999999994</v>
      </c>
      <c r="K215">
        <v>10.8</v>
      </c>
      <c r="L215">
        <v>0.6</v>
      </c>
      <c r="M215" t="s">
        <v>36</v>
      </c>
      <c r="N215">
        <v>350</v>
      </c>
      <c r="P215" t="s">
        <v>59</v>
      </c>
      <c r="Q215" t="str">
        <f>VLOOKUP(B215,'Player Register'!$B$6:$D$125,3,FALSE())</f>
        <v>45–64</v>
      </c>
    </row>
    <row r="216" spans="2:17" x14ac:dyDescent="0.2">
      <c r="B216">
        <v>3044</v>
      </c>
      <c r="C216">
        <v>1</v>
      </c>
      <c r="D216" t="s">
        <v>77</v>
      </c>
      <c r="E216">
        <v>0.27</v>
      </c>
      <c r="F216">
        <v>201</v>
      </c>
      <c r="G216">
        <v>9</v>
      </c>
      <c r="H216">
        <v>1</v>
      </c>
      <c r="I216">
        <v>0</v>
      </c>
      <c r="J216">
        <v>79.400000000000006</v>
      </c>
      <c r="K216">
        <v>14.4</v>
      </c>
      <c r="L216">
        <v>0.8</v>
      </c>
      <c r="M216" t="s">
        <v>36</v>
      </c>
      <c r="N216">
        <v>341</v>
      </c>
      <c r="P216" t="s">
        <v>73</v>
      </c>
      <c r="Q216" t="str">
        <f>VLOOKUP(B216,'Player Register'!$B$6:$D$125,3,FALSE())</f>
        <v>45–64</v>
      </c>
    </row>
    <row r="217" spans="2:17" x14ac:dyDescent="0.2">
      <c r="B217">
        <v>3044</v>
      </c>
      <c r="C217">
        <v>2</v>
      </c>
      <c r="D217" t="s">
        <v>66</v>
      </c>
      <c r="E217">
        <v>0.28999999999999998</v>
      </c>
      <c r="F217">
        <v>200</v>
      </c>
      <c r="G217">
        <v>9</v>
      </c>
      <c r="H217">
        <v>0</v>
      </c>
      <c r="I217">
        <v>0</v>
      </c>
      <c r="J217">
        <v>77.599999999999994</v>
      </c>
      <c r="K217">
        <v>12.6</v>
      </c>
      <c r="L217">
        <v>0.7</v>
      </c>
      <c r="M217" t="s">
        <v>36</v>
      </c>
      <c r="N217">
        <v>340</v>
      </c>
      <c r="P217" t="s">
        <v>68</v>
      </c>
      <c r="Q217" t="str">
        <f>VLOOKUP(B217,'Player Register'!$B$6:$D$125,3,FALSE())</f>
        <v>45–64</v>
      </c>
    </row>
    <row r="218" spans="2:17" x14ac:dyDescent="0.2">
      <c r="B218">
        <v>3044</v>
      </c>
      <c r="C218">
        <v>3</v>
      </c>
      <c r="D218" t="s">
        <v>67</v>
      </c>
      <c r="E218">
        <v>0.28999999999999998</v>
      </c>
      <c r="F218">
        <v>200</v>
      </c>
      <c r="G218">
        <v>6</v>
      </c>
      <c r="H218">
        <v>0</v>
      </c>
      <c r="I218">
        <v>0</v>
      </c>
      <c r="J218">
        <v>78.099999999999994</v>
      </c>
      <c r="K218">
        <v>12.6</v>
      </c>
      <c r="L218">
        <v>0.7</v>
      </c>
      <c r="M218" t="s">
        <v>36</v>
      </c>
      <c r="N218">
        <v>310</v>
      </c>
      <c r="P218" t="s">
        <v>68</v>
      </c>
      <c r="Q218" t="str">
        <f>VLOOKUP(B218,'Player Register'!$B$6:$D$125,3,FALSE())</f>
        <v>45–64</v>
      </c>
    </row>
    <row r="219" spans="2:17" x14ac:dyDescent="0.2">
      <c r="B219">
        <v>3044</v>
      </c>
      <c r="C219">
        <v>4</v>
      </c>
      <c r="D219" t="s">
        <v>69</v>
      </c>
      <c r="E219">
        <v>0.28999999999999998</v>
      </c>
      <c r="F219">
        <v>200</v>
      </c>
      <c r="G219">
        <v>5</v>
      </c>
      <c r="H219">
        <v>0</v>
      </c>
      <c r="I219">
        <v>0</v>
      </c>
      <c r="J219">
        <v>71.900000000000006</v>
      </c>
      <c r="K219">
        <v>12.6</v>
      </c>
      <c r="L219">
        <v>0.7</v>
      </c>
      <c r="M219" t="s">
        <v>36</v>
      </c>
      <c r="N219">
        <v>300</v>
      </c>
      <c r="P219" t="s">
        <v>68</v>
      </c>
      <c r="Q219" t="str">
        <f>VLOOKUP(B219,'Player Register'!$B$6:$D$125,3,FALSE())</f>
        <v>45–64</v>
      </c>
    </row>
    <row r="220" spans="2:17" x14ac:dyDescent="0.2">
      <c r="B220">
        <v>3044</v>
      </c>
      <c r="C220">
        <v>5</v>
      </c>
      <c r="D220" t="s">
        <v>60</v>
      </c>
      <c r="E220">
        <v>0.31</v>
      </c>
      <c r="F220">
        <v>201</v>
      </c>
      <c r="G220">
        <v>12</v>
      </c>
      <c r="H220">
        <v>1</v>
      </c>
      <c r="I220">
        <v>0</v>
      </c>
      <c r="J220">
        <v>65.400000000000006</v>
      </c>
      <c r="K220">
        <v>12.6</v>
      </c>
      <c r="L220">
        <v>0.7</v>
      </c>
      <c r="M220" t="s">
        <v>36</v>
      </c>
      <c r="N220">
        <v>371</v>
      </c>
      <c r="P220" t="s">
        <v>61</v>
      </c>
      <c r="Q220" t="str">
        <f>VLOOKUP(B220,'Player Register'!$B$6:$D$125,3,FALSE())</f>
        <v>45–64</v>
      </c>
    </row>
    <row r="221" spans="2:17" x14ac:dyDescent="0.2">
      <c r="B221">
        <v>3045</v>
      </c>
      <c r="C221">
        <v>1</v>
      </c>
      <c r="D221" t="s">
        <v>81</v>
      </c>
      <c r="E221">
        <v>0.38</v>
      </c>
      <c r="F221">
        <v>200</v>
      </c>
      <c r="G221">
        <v>4</v>
      </c>
      <c r="H221">
        <v>4</v>
      </c>
      <c r="I221">
        <v>0</v>
      </c>
      <c r="J221">
        <v>43.2</v>
      </c>
      <c r="K221">
        <v>10.8</v>
      </c>
      <c r="L221">
        <v>0.45</v>
      </c>
      <c r="M221" t="s">
        <v>36</v>
      </c>
      <c r="N221">
        <v>290</v>
      </c>
      <c r="P221" t="s">
        <v>70</v>
      </c>
      <c r="Q221" t="str">
        <f>VLOOKUP(B221,'Player Register'!$B$6:$D$125,3,FALSE())</f>
        <v>45–64</v>
      </c>
    </row>
    <row r="222" spans="2:17" x14ac:dyDescent="0.2">
      <c r="B222">
        <v>3045</v>
      </c>
      <c r="C222">
        <v>2</v>
      </c>
      <c r="D222" t="s">
        <v>76</v>
      </c>
      <c r="E222">
        <v>0.31</v>
      </c>
      <c r="F222">
        <v>200</v>
      </c>
      <c r="G222">
        <v>1</v>
      </c>
      <c r="H222">
        <v>1</v>
      </c>
      <c r="I222">
        <v>0</v>
      </c>
      <c r="J222">
        <v>58.3</v>
      </c>
      <c r="K222">
        <v>10.8</v>
      </c>
      <c r="L222">
        <v>0.6</v>
      </c>
      <c r="M222" t="s">
        <v>36</v>
      </c>
      <c r="N222">
        <v>260</v>
      </c>
      <c r="P222" t="s">
        <v>61</v>
      </c>
      <c r="Q222" t="str">
        <f>VLOOKUP(B222,'Player Register'!$B$6:$D$125,3,FALSE())</f>
        <v>45–64</v>
      </c>
    </row>
    <row r="223" spans="2:17" x14ac:dyDescent="0.2">
      <c r="B223">
        <v>3045</v>
      </c>
      <c r="C223">
        <v>3</v>
      </c>
      <c r="D223" t="s">
        <v>77</v>
      </c>
      <c r="E223">
        <v>0.31</v>
      </c>
      <c r="F223">
        <v>200</v>
      </c>
      <c r="G223">
        <v>8</v>
      </c>
      <c r="H223">
        <v>3</v>
      </c>
      <c r="I223">
        <v>0</v>
      </c>
      <c r="J223">
        <v>45.7</v>
      </c>
      <c r="K223">
        <v>10.8</v>
      </c>
      <c r="L223">
        <v>0.6</v>
      </c>
      <c r="M223" t="s">
        <v>36</v>
      </c>
      <c r="N223">
        <v>330</v>
      </c>
      <c r="P223" t="s">
        <v>64</v>
      </c>
      <c r="Q223" t="str">
        <f>VLOOKUP(B223,'Player Register'!$B$6:$D$125,3,FALSE())</f>
        <v>45–64</v>
      </c>
    </row>
    <row r="224" spans="2:17" x14ac:dyDescent="0.2">
      <c r="B224">
        <v>3045</v>
      </c>
      <c r="C224">
        <v>4</v>
      </c>
      <c r="D224" t="s">
        <v>66</v>
      </c>
      <c r="E224">
        <v>0.35</v>
      </c>
      <c r="F224">
        <v>200</v>
      </c>
      <c r="G224">
        <v>6</v>
      </c>
      <c r="H224">
        <v>2</v>
      </c>
      <c r="I224">
        <v>0</v>
      </c>
      <c r="J224">
        <v>49.7</v>
      </c>
      <c r="K224">
        <v>10.8</v>
      </c>
      <c r="L224">
        <v>0.45</v>
      </c>
      <c r="M224" t="s">
        <v>36</v>
      </c>
      <c r="N224">
        <v>310</v>
      </c>
      <c r="P224" t="s">
        <v>59</v>
      </c>
      <c r="Q224" t="str">
        <f>VLOOKUP(B224,'Player Register'!$B$6:$D$125,3,FALSE())</f>
        <v>45–64</v>
      </c>
    </row>
    <row r="225" spans="2:17" x14ac:dyDescent="0.2">
      <c r="B225">
        <v>3045</v>
      </c>
      <c r="C225">
        <v>5</v>
      </c>
      <c r="D225" t="s">
        <v>79</v>
      </c>
      <c r="E225">
        <v>0.37</v>
      </c>
      <c r="F225">
        <v>200</v>
      </c>
      <c r="G225">
        <v>6</v>
      </c>
      <c r="H225">
        <v>4</v>
      </c>
      <c r="I225">
        <v>0</v>
      </c>
      <c r="J225">
        <v>54</v>
      </c>
      <c r="K225">
        <v>10.8</v>
      </c>
      <c r="L225">
        <v>0.3</v>
      </c>
      <c r="M225" t="s">
        <v>36</v>
      </c>
      <c r="N225">
        <v>310</v>
      </c>
      <c r="P225" t="s">
        <v>70</v>
      </c>
      <c r="Q225" t="str">
        <f>VLOOKUP(B225,'Player Register'!$B$6:$D$125,3,FALSE())</f>
        <v>45–64</v>
      </c>
    </row>
    <row r="226" spans="2:17" x14ac:dyDescent="0.2">
      <c r="B226">
        <v>3046</v>
      </c>
      <c r="C226">
        <v>1</v>
      </c>
      <c r="D226" t="s">
        <v>77</v>
      </c>
      <c r="E226">
        <v>0.31</v>
      </c>
      <c r="F226">
        <v>200</v>
      </c>
      <c r="G226">
        <v>9</v>
      </c>
      <c r="H226">
        <v>2</v>
      </c>
      <c r="I226">
        <v>0</v>
      </c>
      <c r="J226">
        <v>52.5</v>
      </c>
      <c r="K226">
        <v>10.8</v>
      </c>
      <c r="L226">
        <v>0.6</v>
      </c>
      <c r="M226" t="s">
        <v>36</v>
      </c>
      <c r="N226">
        <v>340</v>
      </c>
      <c r="P226" t="s">
        <v>59</v>
      </c>
      <c r="Q226" t="str">
        <f>VLOOKUP(B226,'Player Register'!$B$6:$D$125,3,FALSE())</f>
        <v>45–64</v>
      </c>
    </row>
    <row r="227" spans="2:17" x14ac:dyDescent="0.2">
      <c r="B227">
        <v>3046</v>
      </c>
      <c r="C227">
        <v>2</v>
      </c>
      <c r="D227" t="s">
        <v>83</v>
      </c>
      <c r="E227">
        <v>0.31</v>
      </c>
      <c r="F227">
        <v>200</v>
      </c>
      <c r="G227">
        <v>8</v>
      </c>
      <c r="H227">
        <v>2</v>
      </c>
      <c r="I227">
        <v>0</v>
      </c>
      <c r="J227">
        <v>55.6</v>
      </c>
      <c r="K227">
        <v>10.8</v>
      </c>
      <c r="L227">
        <v>0.6</v>
      </c>
      <c r="M227" t="s">
        <v>36</v>
      </c>
      <c r="N227">
        <v>330</v>
      </c>
      <c r="P227" t="s">
        <v>59</v>
      </c>
      <c r="Q227" t="str">
        <f>VLOOKUP(B227,'Player Register'!$B$6:$D$125,3,FALSE())</f>
        <v>45–64</v>
      </c>
    </row>
    <row r="228" spans="2:17" x14ac:dyDescent="0.2">
      <c r="B228">
        <v>3046</v>
      </c>
      <c r="C228">
        <v>3</v>
      </c>
      <c r="D228" t="s">
        <v>79</v>
      </c>
      <c r="E228">
        <v>0.28999999999999998</v>
      </c>
      <c r="F228">
        <v>200</v>
      </c>
      <c r="G228">
        <v>8</v>
      </c>
      <c r="H228">
        <v>2</v>
      </c>
      <c r="I228">
        <v>0</v>
      </c>
      <c r="J228">
        <v>68.900000000000006</v>
      </c>
      <c r="K228">
        <v>12.6</v>
      </c>
      <c r="L228">
        <v>0.7</v>
      </c>
      <c r="M228" t="s">
        <v>36</v>
      </c>
      <c r="N228">
        <v>330</v>
      </c>
      <c r="P228" t="s">
        <v>61</v>
      </c>
      <c r="Q228" t="str">
        <f>VLOOKUP(B228,'Player Register'!$B$6:$D$125,3,FALSE())</f>
        <v>45–64</v>
      </c>
    </row>
    <row r="229" spans="2:17" x14ac:dyDescent="0.2">
      <c r="B229">
        <v>3046</v>
      </c>
      <c r="C229">
        <v>4</v>
      </c>
      <c r="D229" t="s">
        <v>58</v>
      </c>
      <c r="E229">
        <v>0.31</v>
      </c>
      <c r="F229">
        <v>200</v>
      </c>
      <c r="G229">
        <v>8</v>
      </c>
      <c r="H229">
        <v>0</v>
      </c>
      <c r="I229">
        <v>0</v>
      </c>
      <c r="J229">
        <v>69.900000000000006</v>
      </c>
      <c r="K229">
        <v>10.8</v>
      </c>
      <c r="L229">
        <v>0.6</v>
      </c>
      <c r="M229" t="s">
        <v>36</v>
      </c>
      <c r="N229">
        <v>330</v>
      </c>
      <c r="P229" t="s">
        <v>73</v>
      </c>
      <c r="Q229" t="str">
        <f>VLOOKUP(B229,'Player Register'!$B$6:$D$125,3,FALSE())</f>
        <v>45–64</v>
      </c>
    </row>
    <row r="230" spans="2:17" x14ac:dyDescent="0.2">
      <c r="B230">
        <v>3046</v>
      </c>
      <c r="C230">
        <v>5</v>
      </c>
      <c r="D230" t="s">
        <v>60</v>
      </c>
      <c r="E230">
        <v>0.31</v>
      </c>
      <c r="F230">
        <v>200</v>
      </c>
      <c r="G230">
        <v>5</v>
      </c>
      <c r="H230">
        <v>3</v>
      </c>
      <c r="I230">
        <v>0</v>
      </c>
      <c r="J230">
        <v>55</v>
      </c>
      <c r="K230">
        <v>10.8</v>
      </c>
      <c r="L230">
        <v>0.45</v>
      </c>
      <c r="M230" t="s">
        <v>36</v>
      </c>
      <c r="N230">
        <v>300</v>
      </c>
      <c r="P230" t="s">
        <v>64</v>
      </c>
      <c r="Q230" t="str">
        <f>VLOOKUP(B230,'Player Register'!$B$6:$D$125,3,FALSE())</f>
        <v>45–64</v>
      </c>
    </row>
    <row r="231" spans="2:17" x14ac:dyDescent="0.2">
      <c r="B231">
        <v>3047</v>
      </c>
      <c r="C231">
        <v>1</v>
      </c>
      <c r="D231" t="s">
        <v>78</v>
      </c>
      <c r="E231">
        <v>0.31</v>
      </c>
      <c r="F231">
        <v>200</v>
      </c>
      <c r="G231">
        <v>9</v>
      </c>
      <c r="H231">
        <v>3</v>
      </c>
      <c r="I231">
        <v>0</v>
      </c>
      <c r="J231">
        <v>44.1</v>
      </c>
      <c r="K231">
        <v>10.8</v>
      </c>
      <c r="L231">
        <v>0.45</v>
      </c>
      <c r="M231" t="s">
        <v>36</v>
      </c>
      <c r="N231">
        <v>340</v>
      </c>
      <c r="P231" t="s">
        <v>64</v>
      </c>
      <c r="Q231" t="str">
        <f>VLOOKUP(B231,'Player Register'!$B$6:$D$125,3,FALSE())</f>
        <v>45–64</v>
      </c>
    </row>
    <row r="232" spans="2:17" x14ac:dyDescent="0.2">
      <c r="B232">
        <v>3047</v>
      </c>
      <c r="C232">
        <v>2</v>
      </c>
      <c r="D232" t="s">
        <v>66</v>
      </c>
      <c r="E232">
        <v>0.31</v>
      </c>
      <c r="F232">
        <v>200</v>
      </c>
      <c r="G232">
        <v>6</v>
      </c>
      <c r="H232">
        <v>3</v>
      </c>
      <c r="I232">
        <v>0</v>
      </c>
      <c r="J232">
        <v>62.1</v>
      </c>
      <c r="K232">
        <v>10.8</v>
      </c>
      <c r="L232">
        <v>0.6</v>
      </c>
      <c r="M232" t="s">
        <v>36</v>
      </c>
      <c r="N232">
        <v>310</v>
      </c>
      <c r="P232" t="s">
        <v>64</v>
      </c>
      <c r="Q232" t="str">
        <f>VLOOKUP(B232,'Player Register'!$B$6:$D$125,3,FALSE())</f>
        <v>45–64</v>
      </c>
    </row>
    <row r="233" spans="2:17" x14ac:dyDescent="0.2">
      <c r="B233">
        <v>3047</v>
      </c>
      <c r="C233">
        <v>3</v>
      </c>
      <c r="D233" t="s">
        <v>79</v>
      </c>
      <c r="E233">
        <v>0.28999999999999998</v>
      </c>
      <c r="F233">
        <v>200</v>
      </c>
      <c r="G233">
        <v>4</v>
      </c>
      <c r="H233">
        <v>1</v>
      </c>
      <c r="I233">
        <v>0</v>
      </c>
      <c r="J233">
        <v>63.9</v>
      </c>
      <c r="K233">
        <v>12.6</v>
      </c>
      <c r="L233">
        <v>0.7</v>
      </c>
      <c r="M233" t="s">
        <v>36</v>
      </c>
      <c r="N233">
        <v>290</v>
      </c>
      <c r="P233" t="s">
        <v>73</v>
      </c>
      <c r="Q233" t="str">
        <f>VLOOKUP(B233,'Player Register'!$B$6:$D$125,3,FALSE())</f>
        <v>45–64</v>
      </c>
    </row>
    <row r="234" spans="2:17" x14ac:dyDescent="0.2">
      <c r="B234">
        <v>3047</v>
      </c>
      <c r="C234">
        <v>4</v>
      </c>
      <c r="D234" t="s">
        <v>58</v>
      </c>
      <c r="E234">
        <v>0.28999999999999998</v>
      </c>
      <c r="F234">
        <v>200</v>
      </c>
      <c r="G234">
        <v>10</v>
      </c>
      <c r="H234">
        <v>2</v>
      </c>
      <c r="I234">
        <v>0</v>
      </c>
      <c r="J234">
        <v>64.900000000000006</v>
      </c>
      <c r="K234">
        <v>12.6</v>
      </c>
      <c r="L234">
        <v>0.7</v>
      </c>
      <c r="M234" t="s">
        <v>36</v>
      </c>
      <c r="N234">
        <v>350</v>
      </c>
      <c r="P234" t="s">
        <v>61</v>
      </c>
      <c r="Q234" t="str">
        <f>VLOOKUP(B234,'Player Register'!$B$6:$D$125,3,FALSE())</f>
        <v>45–64</v>
      </c>
    </row>
    <row r="235" spans="2:17" x14ac:dyDescent="0.2">
      <c r="B235">
        <v>3047</v>
      </c>
      <c r="C235">
        <v>5</v>
      </c>
      <c r="D235" t="s">
        <v>62</v>
      </c>
      <c r="E235">
        <v>0.31</v>
      </c>
      <c r="F235">
        <v>201</v>
      </c>
      <c r="G235">
        <v>6</v>
      </c>
      <c r="H235">
        <v>1</v>
      </c>
      <c r="I235">
        <v>0</v>
      </c>
      <c r="J235">
        <v>54.9</v>
      </c>
      <c r="K235">
        <v>12.6</v>
      </c>
      <c r="L235">
        <v>0.7</v>
      </c>
      <c r="M235" t="s">
        <v>36</v>
      </c>
      <c r="N235">
        <v>311</v>
      </c>
      <c r="P235" t="s">
        <v>61</v>
      </c>
      <c r="Q235" t="str">
        <f>VLOOKUP(B235,'Player Register'!$B$6:$D$125,3,FALSE())</f>
        <v>45–64</v>
      </c>
    </row>
    <row r="236" spans="2:17" x14ac:dyDescent="0.2">
      <c r="B236">
        <v>3048</v>
      </c>
      <c r="C236">
        <v>1</v>
      </c>
      <c r="D236" t="s">
        <v>77</v>
      </c>
      <c r="E236">
        <v>0.28999999999999998</v>
      </c>
      <c r="F236">
        <v>200</v>
      </c>
      <c r="G236">
        <v>7</v>
      </c>
      <c r="H236">
        <v>1</v>
      </c>
      <c r="I236">
        <v>0</v>
      </c>
      <c r="J236">
        <v>68.5</v>
      </c>
      <c r="K236">
        <v>12.6</v>
      </c>
      <c r="L236">
        <v>0.7</v>
      </c>
      <c r="M236" t="s">
        <v>36</v>
      </c>
      <c r="N236">
        <v>320</v>
      </c>
      <c r="P236" t="s">
        <v>73</v>
      </c>
      <c r="Q236" t="str">
        <f>VLOOKUP(B236,'Player Register'!$B$6:$D$125,3,FALSE())</f>
        <v>45–64</v>
      </c>
    </row>
    <row r="237" spans="2:17" x14ac:dyDescent="0.2">
      <c r="B237">
        <v>3048</v>
      </c>
      <c r="C237">
        <v>2</v>
      </c>
      <c r="D237" t="s">
        <v>66</v>
      </c>
      <c r="E237">
        <v>0.31</v>
      </c>
      <c r="F237">
        <v>200</v>
      </c>
      <c r="G237">
        <v>5</v>
      </c>
      <c r="H237">
        <v>1</v>
      </c>
      <c r="I237">
        <v>0</v>
      </c>
      <c r="J237">
        <v>37.5</v>
      </c>
      <c r="K237">
        <v>10.8</v>
      </c>
      <c r="L237">
        <v>0.6</v>
      </c>
      <c r="M237" t="s">
        <v>36</v>
      </c>
      <c r="N237">
        <v>300</v>
      </c>
      <c r="P237" t="s">
        <v>61</v>
      </c>
      <c r="Q237" t="str">
        <f>VLOOKUP(B237,'Player Register'!$B$6:$D$125,3,FALSE())</f>
        <v>45–64</v>
      </c>
    </row>
    <row r="238" spans="2:17" x14ac:dyDescent="0.2">
      <c r="B238">
        <v>3048</v>
      </c>
      <c r="C238">
        <v>3</v>
      </c>
      <c r="D238" t="s">
        <v>67</v>
      </c>
      <c r="E238">
        <v>0.31</v>
      </c>
      <c r="F238">
        <v>200</v>
      </c>
      <c r="G238">
        <v>6</v>
      </c>
      <c r="H238">
        <v>1</v>
      </c>
      <c r="I238">
        <v>0</v>
      </c>
      <c r="J238">
        <v>68.099999999999994</v>
      </c>
      <c r="K238">
        <v>10.8</v>
      </c>
      <c r="L238">
        <v>0.6</v>
      </c>
      <c r="M238" t="s">
        <v>36</v>
      </c>
      <c r="N238">
        <v>310</v>
      </c>
      <c r="P238" t="s">
        <v>61</v>
      </c>
      <c r="Q238" t="str">
        <f>VLOOKUP(B238,'Player Register'!$B$6:$D$125,3,FALSE())</f>
        <v>45–64</v>
      </c>
    </row>
    <row r="239" spans="2:17" x14ac:dyDescent="0.2">
      <c r="B239">
        <v>3048</v>
      </c>
      <c r="C239">
        <v>4</v>
      </c>
      <c r="D239" t="s">
        <v>58</v>
      </c>
      <c r="E239">
        <v>0.31</v>
      </c>
      <c r="F239">
        <v>200</v>
      </c>
      <c r="G239">
        <v>6</v>
      </c>
      <c r="H239">
        <v>2</v>
      </c>
      <c r="I239">
        <v>0</v>
      </c>
      <c r="J239">
        <v>65.5</v>
      </c>
      <c r="K239">
        <v>10.8</v>
      </c>
      <c r="L239">
        <v>0.6</v>
      </c>
      <c r="M239" t="s">
        <v>36</v>
      </c>
      <c r="N239">
        <v>310</v>
      </c>
      <c r="P239" t="s">
        <v>59</v>
      </c>
      <c r="Q239" t="str">
        <f>VLOOKUP(B239,'Player Register'!$B$6:$D$125,3,FALSE())</f>
        <v>45–64</v>
      </c>
    </row>
    <row r="240" spans="2:17" x14ac:dyDescent="0.2">
      <c r="B240">
        <v>3048</v>
      </c>
      <c r="C240">
        <v>5</v>
      </c>
      <c r="D240" t="s">
        <v>62</v>
      </c>
      <c r="E240">
        <v>0.35</v>
      </c>
      <c r="F240">
        <v>200</v>
      </c>
      <c r="G240">
        <v>3</v>
      </c>
      <c r="H240">
        <v>3</v>
      </c>
      <c r="I240">
        <v>0</v>
      </c>
      <c r="J240">
        <v>48.8</v>
      </c>
      <c r="K240">
        <v>10.8</v>
      </c>
      <c r="L240">
        <v>0.45</v>
      </c>
      <c r="M240" t="s">
        <v>36</v>
      </c>
      <c r="N240">
        <v>280</v>
      </c>
      <c r="P240" t="s">
        <v>64</v>
      </c>
      <c r="Q240" t="str">
        <f>VLOOKUP(B240,'Player Register'!$B$6:$D$125,3,FALSE())</f>
        <v>45–64</v>
      </c>
    </row>
    <row r="241" spans="2:17" x14ac:dyDescent="0.2">
      <c r="B241">
        <v>3049</v>
      </c>
      <c r="C241">
        <v>1</v>
      </c>
      <c r="D241" t="s">
        <v>71</v>
      </c>
      <c r="E241">
        <v>0.31</v>
      </c>
      <c r="F241">
        <v>201</v>
      </c>
      <c r="G241">
        <v>9</v>
      </c>
      <c r="H241">
        <v>0</v>
      </c>
      <c r="I241">
        <v>0</v>
      </c>
      <c r="J241">
        <v>55.1</v>
      </c>
      <c r="K241">
        <v>12.6</v>
      </c>
      <c r="L241">
        <v>0.7</v>
      </c>
      <c r="M241" t="s">
        <v>36</v>
      </c>
      <c r="N241">
        <v>341</v>
      </c>
      <c r="P241" t="s">
        <v>73</v>
      </c>
      <c r="Q241" t="str">
        <f>VLOOKUP(B241,'Player Register'!$B$6:$D$125,3,FALSE())</f>
        <v>45–64</v>
      </c>
    </row>
    <row r="242" spans="2:17" x14ac:dyDescent="0.2">
      <c r="B242">
        <v>3049</v>
      </c>
      <c r="C242">
        <v>2</v>
      </c>
      <c r="D242" t="s">
        <v>72</v>
      </c>
      <c r="E242">
        <v>0.31</v>
      </c>
      <c r="F242">
        <v>201</v>
      </c>
      <c r="G242">
        <v>7</v>
      </c>
      <c r="H242">
        <v>0</v>
      </c>
      <c r="I242">
        <v>0</v>
      </c>
      <c r="J242">
        <v>66.400000000000006</v>
      </c>
      <c r="K242">
        <v>12.6</v>
      </c>
      <c r="L242">
        <v>0.7</v>
      </c>
      <c r="M242" t="s">
        <v>36</v>
      </c>
      <c r="N242">
        <v>321</v>
      </c>
      <c r="P242" t="s">
        <v>73</v>
      </c>
      <c r="Q242" t="str">
        <f>VLOOKUP(B242,'Player Register'!$B$6:$D$125,3,FALSE())</f>
        <v>45–64</v>
      </c>
    </row>
    <row r="243" spans="2:17" x14ac:dyDescent="0.2">
      <c r="B243">
        <v>3049</v>
      </c>
      <c r="C243">
        <v>3</v>
      </c>
      <c r="D243" t="s">
        <v>91</v>
      </c>
      <c r="E243">
        <v>0.31</v>
      </c>
      <c r="F243">
        <v>200</v>
      </c>
      <c r="G243">
        <v>8</v>
      </c>
      <c r="H243">
        <v>3</v>
      </c>
      <c r="I243">
        <v>0</v>
      </c>
      <c r="J243">
        <v>60.7</v>
      </c>
      <c r="K243">
        <v>10.8</v>
      </c>
      <c r="L243">
        <v>0.6</v>
      </c>
      <c r="M243" t="s">
        <v>36</v>
      </c>
      <c r="N243">
        <v>330</v>
      </c>
      <c r="P243" t="s">
        <v>64</v>
      </c>
      <c r="Q243" t="str">
        <f>VLOOKUP(B243,'Player Register'!$B$6:$D$125,3,FALSE())</f>
        <v>45–64</v>
      </c>
    </row>
    <row r="244" spans="2:17" x14ac:dyDescent="0.2">
      <c r="B244">
        <v>3049</v>
      </c>
      <c r="C244">
        <v>4</v>
      </c>
      <c r="D244" t="s">
        <v>74</v>
      </c>
      <c r="E244">
        <v>0.35</v>
      </c>
      <c r="F244">
        <v>200</v>
      </c>
      <c r="G244">
        <v>13</v>
      </c>
      <c r="H244">
        <v>2</v>
      </c>
      <c r="I244">
        <v>0</v>
      </c>
      <c r="J244">
        <v>46.8</v>
      </c>
      <c r="K244">
        <v>10.8</v>
      </c>
      <c r="L244">
        <v>0.45</v>
      </c>
      <c r="M244" t="s">
        <v>36</v>
      </c>
      <c r="N244">
        <v>380</v>
      </c>
      <c r="P244" t="s">
        <v>59</v>
      </c>
      <c r="Q244" t="str">
        <f>VLOOKUP(B244,'Player Register'!$B$6:$D$125,3,FALSE())</f>
        <v>45–64</v>
      </c>
    </row>
    <row r="245" spans="2:17" x14ac:dyDescent="0.2">
      <c r="B245">
        <v>3049</v>
      </c>
      <c r="C245">
        <v>5</v>
      </c>
      <c r="D245" t="s">
        <v>75</v>
      </c>
      <c r="E245">
        <v>0.31</v>
      </c>
      <c r="F245">
        <v>200</v>
      </c>
      <c r="G245">
        <v>15</v>
      </c>
      <c r="H245">
        <v>2</v>
      </c>
      <c r="I245">
        <v>0</v>
      </c>
      <c r="J245">
        <v>63.7</v>
      </c>
      <c r="K245">
        <v>10.8</v>
      </c>
      <c r="L245">
        <v>0.6</v>
      </c>
      <c r="M245" t="s">
        <v>36</v>
      </c>
      <c r="N245">
        <v>400</v>
      </c>
      <c r="P245" t="s">
        <v>59</v>
      </c>
      <c r="Q245" t="str">
        <f>VLOOKUP(B245,'Player Register'!$B$6:$D$125,3,FALSE())</f>
        <v>45–64</v>
      </c>
    </row>
    <row r="246" spans="2:17" x14ac:dyDescent="0.2">
      <c r="B246">
        <v>3050</v>
      </c>
      <c r="C246">
        <v>1</v>
      </c>
      <c r="D246" t="s">
        <v>58</v>
      </c>
      <c r="E246">
        <v>0.28999999999999998</v>
      </c>
      <c r="F246">
        <v>200</v>
      </c>
      <c r="G246">
        <v>2</v>
      </c>
      <c r="H246">
        <v>1</v>
      </c>
      <c r="I246">
        <v>0</v>
      </c>
      <c r="J246">
        <v>55.5</v>
      </c>
      <c r="K246">
        <v>12.6</v>
      </c>
      <c r="L246">
        <v>0.7</v>
      </c>
      <c r="M246" t="s">
        <v>36</v>
      </c>
      <c r="N246">
        <v>270</v>
      </c>
      <c r="P246" t="s">
        <v>73</v>
      </c>
      <c r="Q246" t="str">
        <f>VLOOKUP(B246,'Player Register'!$B$6:$D$125,3,FALSE())</f>
        <v>45–64</v>
      </c>
    </row>
    <row r="247" spans="2:17" x14ac:dyDescent="0.2">
      <c r="B247">
        <v>3050</v>
      </c>
      <c r="C247">
        <v>2</v>
      </c>
      <c r="D247" t="s">
        <v>62</v>
      </c>
      <c r="E247">
        <v>0.31</v>
      </c>
      <c r="F247">
        <v>200</v>
      </c>
      <c r="G247">
        <v>8</v>
      </c>
      <c r="H247">
        <v>3</v>
      </c>
      <c r="I247">
        <v>0</v>
      </c>
      <c r="J247">
        <v>46.9</v>
      </c>
      <c r="K247">
        <v>10.8</v>
      </c>
      <c r="L247">
        <v>0.6</v>
      </c>
      <c r="M247" t="s">
        <v>36</v>
      </c>
      <c r="N247">
        <v>330</v>
      </c>
      <c r="P247" t="s">
        <v>64</v>
      </c>
      <c r="Q247" t="str">
        <f>VLOOKUP(B247,'Player Register'!$B$6:$D$125,3,FALSE())</f>
        <v>45–64</v>
      </c>
    </row>
    <row r="248" spans="2:17" x14ac:dyDescent="0.2">
      <c r="B248">
        <v>3050</v>
      </c>
      <c r="C248">
        <v>3</v>
      </c>
      <c r="D248" t="s">
        <v>71</v>
      </c>
      <c r="E248">
        <v>0.31</v>
      </c>
      <c r="F248">
        <v>200</v>
      </c>
      <c r="G248">
        <v>5</v>
      </c>
      <c r="H248">
        <v>2</v>
      </c>
      <c r="I248">
        <v>0</v>
      </c>
      <c r="J248">
        <v>34.200000000000003</v>
      </c>
      <c r="K248">
        <v>10.8</v>
      </c>
      <c r="L248">
        <v>0.6</v>
      </c>
      <c r="M248" t="s">
        <v>36</v>
      </c>
      <c r="N248">
        <v>300</v>
      </c>
      <c r="P248" t="s">
        <v>59</v>
      </c>
      <c r="Q248" t="str">
        <f>VLOOKUP(B248,'Player Register'!$B$6:$D$125,3,FALSE())</f>
        <v>45–64</v>
      </c>
    </row>
    <row r="249" spans="2:17" x14ac:dyDescent="0.2">
      <c r="B249">
        <v>3050</v>
      </c>
      <c r="C249">
        <v>4</v>
      </c>
      <c r="D249" t="s">
        <v>85</v>
      </c>
      <c r="E249">
        <v>0.35</v>
      </c>
      <c r="F249">
        <v>200</v>
      </c>
      <c r="G249">
        <v>4</v>
      </c>
      <c r="H249">
        <v>3</v>
      </c>
      <c r="I249">
        <v>0</v>
      </c>
      <c r="J249">
        <v>38.9</v>
      </c>
      <c r="K249">
        <v>10.8</v>
      </c>
      <c r="L249">
        <v>0.45</v>
      </c>
      <c r="M249" t="s">
        <v>36</v>
      </c>
      <c r="N249">
        <v>290</v>
      </c>
      <c r="P249" t="s">
        <v>64</v>
      </c>
      <c r="Q249" t="str">
        <f>VLOOKUP(B249,'Player Register'!$B$6:$D$125,3,FALSE())</f>
        <v>45–64</v>
      </c>
    </row>
    <row r="250" spans="2:17" x14ac:dyDescent="0.2">
      <c r="B250">
        <v>3050</v>
      </c>
      <c r="C250">
        <v>6</v>
      </c>
      <c r="D250" t="s">
        <v>92</v>
      </c>
      <c r="E250">
        <v>0.28000000000000003</v>
      </c>
      <c r="F250">
        <v>200</v>
      </c>
      <c r="G250">
        <v>2</v>
      </c>
      <c r="H250">
        <v>1</v>
      </c>
      <c r="I250">
        <v>0</v>
      </c>
      <c r="J250">
        <v>64.7</v>
      </c>
      <c r="K250">
        <v>12.6</v>
      </c>
      <c r="L250">
        <v>0.7</v>
      </c>
      <c r="M250" t="s">
        <v>36</v>
      </c>
      <c r="N250">
        <v>270</v>
      </c>
      <c r="P250" t="s">
        <v>73</v>
      </c>
      <c r="Q250" t="str">
        <f>VLOOKUP(B250,'Player Register'!$B$6:$D$125,3,FALSE())</f>
        <v>45–64</v>
      </c>
    </row>
    <row r="251" spans="2:17" x14ac:dyDescent="0.2">
      <c r="B251">
        <v>3050</v>
      </c>
      <c r="C251">
        <v>7</v>
      </c>
      <c r="D251" t="s">
        <v>95</v>
      </c>
      <c r="E251">
        <v>0.31</v>
      </c>
      <c r="F251">
        <v>200</v>
      </c>
      <c r="G251">
        <v>6</v>
      </c>
      <c r="H251">
        <v>2</v>
      </c>
      <c r="I251">
        <v>0</v>
      </c>
      <c r="J251">
        <v>38.6</v>
      </c>
      <c r="K251">
        <v>10.8</v>
      </c>
      <c r="L251">
        <v>0.6</v>
      </c>
      <c r="M251" t="s">
        <v>36</v>
      </c>
      <c r="N251">
        <v>310</v>
      </c>
      <c r="P251" t="s">
        <v>59</v>
      </c>
      <c r="Q251" t="str">
        <f>VLOOKUP(B251,'Player Register'!$B$6:$D$125,3,FALSE())</f>
        <v>45–64</v>
      </c>
    </row>
    <row r="252" spans="2:17" x14ac:dyDescent="0.2">
      <c r="B252">
        <v>3051</v>
      </c>
      <c r="C252">
        <v>1</v>
      </c>
      <c r="D252" t="s">
        <v>62</v>
      </c>
      <c r="E252">
        <v>0.28999999999999998</v>
      </c>
      <c r="F252">
        <v>200</v>
      </c>
      <c r="G252">
        <v>6</v>
      </c>
      <c r="H252">
        <v>1</v>
      </c>
      <c r="I252">
        <v>0</v>
      </c>
      <c r="J252">
        <v>73.2</v>
      </c>
      <c r="K252">
        <v>12.6</v>
      </c>
      <c r="L252">
        <v>0.7</v>
      </c>
      <c r="M252" t="s">
        <v>36</v>
      </c>
      <c r="N252">
        <v>310</v>
      </c>
      <c r="P252" t="s">
        <v>73</v>
      </c>
      <c r="Q252" t="str">
        <f>VLOOKUP(B252,'Player Register'!$B$6:$D$125,3,FALSE())</f>
        <v>45–64</v>
      </c>
    </row>
    <row r="253" spans="2:17" x14ac:dyDescent="0.2">
      <c r="B253">
        <v>3051</v>
      </c>
      <c r="C253">
        <v>2</v>
      </c>
      <c r="D253" t="s">
        <v>71</v>
      </c>
      <c r="E253">
        <v>0.31</v>
      </c>
      <c r="F253">
        <v>200</v>
      </c>
      <c r="G253">
        <v>6</v>
      </c>
      <c r="H253">
        <v>2</v>
      </c>
      <c r="I253">
        <v>0</v>
      </c>
      <c r="J253">
        <v>51.2</v>
      </c>
      <c r="K253">
        <v>10.8</v>
      </c>
      <c r="L253">
        <v>0.6</v>
      </c>
      <c r="M253" t="s">
        <v>36</v>
      </c>
      <c r="N253">
        <v>310</v>
      </c>
      <c r="P253" t="s">
        <v>59</v>
      </c>
      <c r="Q253" t="str">
        <f>VLOOKUP(B253,'Player Register'!$B$6:$D$125,3,FALSE())</f>
        <v>45–64</v>
      </c>
    </row>
    <row r="254" spans="2:17" x14ac:dyDescent="0.2">
      <c r="B254">
        <v>3051</v>
      </c>
      <c r="C254">
        <v>3</v>
      </c>
      <c r="D254" t="s">
        <v>63</v>
      </c>
      <c r="E254">
        <v>0.35</v>
      </c>
      <c r="F254">
        <v>200</v>
      </c>
      <c r="G254">
        <v>5</v>
      </c>
      <c r="H254">
        <v>2</v>
      </c>
      <c r="I254">
        <v>0</v>
      </c>
      <c r="J254">
        <v>56.7</v>
      </c>
      <c r="K254">
        <v>10.8</v>
      </c>
      <c r="L254">
        <v>0.45</v>
      </c>
      <c r="M254" t="s">
        <v>36</v>
      </c>
      <c r="N254">
        <v>300</v>
      </c>
      <c r="P254" t="s">
        <v>59</v>
      </c>
      <c r="Q254" t="str">
        <f>VLOOKUP(B254,'Player Register'!$B$6:$D$125,3,FALSE())</f>
        <v>45–64</v>
      </c>
    </row>
    <row r="255" spans="2:17" x14ac:dyDescent="0.2">
      <c r="B255">
        <v>3051</v>
      </c>
      <c r="C255">
        <v>6</v>
      </c>
      <c r="D255" t="s">
        <v>95</v>
      </c>
      <c r="E255">
        <v>0.31</v>
      </c>
      <c r="F255">
        <v>200</v>
      </c>
      <c r="G255">
        <v>9</v>
      </c>
      <c r="H255">
        <v>3</v>
      </c>
      <c r="I255">
        <v>0</v>
      </c>
      <c r="J255">
        <v>59.6</v>
      </c>
      <c r="K255">
        <v>10.8</v>
      </c>
      <c r="L255">
        <v>0.6</v>
      </c>
      <c r="M255" t="s">
        <v>36</v>
      </c>
      <c r="N255">
        <v>340</v>
      </c>
      <c r="P255" t="s">
        <v>64</v>
      </c>
      <c r="Q255" t="str">
        <f>VLOOKUP(B255,'Player Register'!$B$6:$D$125,3,FALSE())</f>
        <v>45–64</v>
      </c>
    </row>
    <row r="256" spans="2:17" x14ac:dyDescent="0.2">
      <c r="B256">
        <v>3051</v>
      </c>
      <c r="C256">
        <v>7</v>
      </c>
      <c r="D256" t="s">
        <v>96</v>
      </c>
      <c r="E256">
        <v>0.31</v>
      </c>
      <c r="F256">
        <v>200</v>
      </c>
      <c r="G256">
        <v>9</v>
      </c>
      <c r="H256">
        <v>1</v>
      </c>
      <c r="I256">
        <v>0</v>
      </c>
      <c r="J256">
        <v>54.4</v>
      </c>
      <c r="K256">
        <v>10.8</v>
      </c>
      <c r="L256">
        <v>0.6</v>
      </c>
      <c r="M256" t="s">
        <v>36</v>
      </c>
      <c r="N256">
        <v>340</v>
      </c>
      <c r="P256" t="s">
        <v>61</v>
      </c>
      <c r="Q256" t="str">
        <f>VLOOKUP(B256,'Player Register'!$B$6:$D$125,3,FALSE())</f>
        <v>45–64</v>
      </c>
    </row>
    <row r="257" spans="2:17" x14ac:dyDescent="0.2">
      <c r="B257">
        <v>3052</v>
      </c>
      <c r="C257">
        <v>1</v>
      </c>
      <c r="D257" t="s">
        <v>63</v>
      </c>
      <c r="E257">
        <v>0.31</v>
      </c>
      <c r="F257">
        <v>200</v>
      </c>
      <c r="G257">
        <v>6</v>
      </c>
      <c r="H257">
        <v>2</v>
      </c>
      <c r="I257">
        <v>0</v>
      </c>
      <c r="J257">
        <v>58.6</v>
      </c>
      <c r="K257">
        <v>10.8</v>
      </c>
      <c r="L257">
        <v>0.6</v>
      </c>
      <c r="M257" t="s">
        <v>36</v>
      </c>
      <c r="N257">
        <v>310</v>
      </c>
      <c r="P257" t="s">
        <v>59</v>
      </c>
      <c r="Q257" t="str">
        <f>VLOOKUP(B257,'Player Register'!$B$6:$D$125,3,FALSE())</f>
        <v>45–64</v>
      </c>
    </row>
    <row r="258" spans="2:17" x14ac:dyDescent="0.2">
      <c r="B258">
        <v>3052</v>
      </c>
      <c r="C258">
        <v>2</v>
      </c>
      <c r="D258" t="s">
        <v>85</v>
      </c>
      <c r="E258">
        <v>0.31</v>
      </c>
      <c r="F258">
        <v>200</v>
      </c>
      <c r="G258">
        <v>4</v>
      </c>
      <c r="H258">
        <v>2</v>
      </c>
      <c r="I258">
        <v>0</v>
      </c>
      <c r="J258">
        <v>70.2</v>
      </c>
      <c r="K258">
        <v>10.8</v>
      </c>
      <c r="L258">
        <v>0.6</v>
      </c>
      <c r="M258" t="s">
        <v>36</v>
      </c>
      <c r="N258">
        <v>290</v>
      </c>
      <c r="P258" t="s">
        <v>59</v>
      </c>
      <c r="Q258" t="str">
        <f>VLOOKUP(B258,'Player Register'!$B$6:$D$125,3,FALSE())</f>
        <v>45–64</v>
      </c>
    </row>
    <row r="259" spans="2:17" x14ac:dyDescent="0.2">
      <c r="B259">
        <v>3052</v>
      </c>
      <c r="C259">
        <v>3</v>
      </c>
      <c r="D259" t="s">
        <v>86</v>
      </c>
      <c r="E259">
        <v>0.28999999999999998</v>
      </c>
      <c r="F259">
        <v>200</v>
      </c>
      <c r="G259">
        <v>10</v>
      </c>
      <c r="H259">
        <v>2</v>
      </c>
      <c r="I259">
        <v>0</v>
      </c>
      <c r="J259">
        <v>70.8</v>
      </c>
      <c r="K259">
        <v>12.6</v>
      </c>
      <c r="L259">
        <v>0.7</v>
      </c>
      <c r="M259" t="s">
        <v>36</v>
      </c>
      <c r="N259">
        <v>350</v>
      </c>
      <c r="P259" t="s">
        <v>61</v>
      </c>
      <c r="Q259" t="str">
        <f>VLOOKUP(B259,'Player Register'!$B$6:$D$125,3,FALSE())</f>
        <v>45–64</v>
      </c>
    </row>
    <row r="260" spans="2:17" x14ac:dyDescent="0.2">
      <c r="B260">
        <v>3052</v>
      </c>
      <c r="C260">
        <v>4</v>
      </c>
      <c r="D260" t="s">
        <v>87</v>
      </c>
      <c r="E260">
        <v>0.31</v>
      </c>
      <c r="F260">
        <v>200</v>
      </c>
      <c r="G260">
        <v>4</v>
      </c>
      <c r="H260">
        <v>0</v>
      </c>
      <c r="I260">
        <v>0</v>
      </c>
      <c r="J260">
        <v>48.1</v>
      </c>
      <c r="K260">
        <v>10.8</v>
      </c>
      <c r="L260">
        <v>0.6</v>
      </c>
      <c r="M260" t="s">
        <v>36</v>
      </c>
      <c r="N260">
        <v>290</v>
      </c>
      <c r="P260" t="s">
        <v>73</v>
      </c>
      <c r="Q260" t="str">
        <f>VLOOKUP(B260,'Player Register'!$B$6:$D$125,3,FALSE())</f>
        <v>45–64</v>
      </c>
    </row>
    <row r="261" spans="2:17" x14ac:dyDescent="0.2">
      <c r="B261">
        <v>3052</v>
      </c>
      <c r="C261">
        <v>5</v>
      </c>
      <c r="D261" t="s">
        <v>93</v>
      </c>
      <c r="E261">
        <v>0.28999999999999998</v>
      </c>
      <c r="F261">
        <v>200</v>
      </c>
      <c r="G261">
        <v>5</v>
      </c>
      <c r="H261">
        <v>1</v>
      </c>
      <c r="I261">
        <v>0</v>
      </c>
      <c r="J261">
        <v>77.2</v>
      </c>
      <c r="K261">
        <v>12.6</v>
      </c>
      <c r="L261">
        <v>0.7</v>
      </c>
      <c r="M261" t="s">
        <v>36</v>
      </c>
      <c r="N261">
        <v>300</v>
      </c>
      <c r="P261" t="s">
        <v>73</v>
      </c>
      <c r="Q261" t="str">
        <f>VLOOKUP(B261,'Player Register'!$B$6:$D$125,3,FALSE())</f>
        <v>45–64</v>
      </c>
    </row>
    <row r="262" spans="2:17" x14ac:dyDescent="0.2">
      <c r="B262">
        <v>3053</v>
      </c>
      <c r="C262">
        <v>1</v>
      </c>
      <c r="D262" t="s">
        <v>69</v>
      </c>
      <c r="E262">
        <v>0.31</v>
      </c>
      <c r="F262">
        <v>200</v>
      </c>
      <c r="G262">
        <v>4</v>
      </c>
      <c r="H262">
        <v>2</v>
      </c>
      <c r="I262">
        <v>0</v>
      </c>
      <c r="J262">
        <v>66.400000000000006</v>
      </c>
      <c r="K262">
        <v>10.8</v>
      </c>
      <c r="L262">
        <v>0.6</v>
      </c>
      <c r="M262" t="s">
        <v>36</v>
      </c>
      <c r="N262">
        <v>290</v>
      </c>
      <c r="P262" t="s">
        <v>59</v>
      </c>
      <c r="Q262" t="str">
        <f>VLOOKUP(B262,'Player Register'!$B$6:$D$125,3,FALSE())</f>
        <v>45–64</v>
      </c>
    </row>
    <row r="263" spans="2:17" x14ac:dyDescent="0.2">
      <c r="B263">
        <v>3053</v>
      </c>
      <c r="C263">
        <v>2</v>
      </c>
      <c r="D263" t="s">
        <v>58</v>
      </c>
      <c r="E263">
        <v>0.31</v>
      </c>
      <c r="F263">
        <v>200</v>
      </c>
      <c r="G263">
        <v>12</v>
      </c>
      <c r="H263">
        <v>3</v>
      </c>
      <c r="I263">
        <v>0</v>
      </c>
      <c r="J263">
        <v>39.9</v>
      </c>
      <c r="K263">
        <v>10.8</v>
      </c>
      <c r="L263">
        <v>0.45</v>
      </c>
      <c r="M263" t="s">
        <v>36</v>
      </c>
      <c r="N263">
        <v>370</v>
      </c>
      <c r="P263" t="s">
        <v>64</v>
      </c>
      <c r="Q263" t="str">
        <f>VLOOKUP(B263,'Player Register'!$B$6:$D$125,3,FALSE())</f>
        <v>45–64</v>
      </c>
    </row>
    <row r="264" spans="2:17" x14ac:dyDescent="0.2">
      <c r="B264">
        <v>3053</v>
      </c>
      <c r="C264">
        <v>3</v>
      </c>
      <c r="D264" t="s">
        <v>62</v>
      </c>
      <c r="E264">
        <v>0.35</v>
      </c>
      <c r="F264">
        <v>200</v>
      </c>
      <c r="G264">
        <v>5</v>
      </c>
      <c r="H264">
        <v>2</v>
      </c>
      <c r="I264">
        <v>0</v>
      </c>
      <c r="J264">
        <v>49.2</v>
      </c>
      <c r="K264">
        <v>10.8</v>
      </c>
      <c r="L264">
        <v>0.45</v>
      </c>
      <c r="M264" t="s">
        <v>36</v>
      </c>
      <c r="N264">
        <v>300</v>
      </c>
      <c r="P264" t="s">
        <v>59</v>
      </c>
      <c r="Q264" t="str">
        <f>VLOOKUP(B264,'Player Register'!$B$6:$D$125,3,FALSE())</f>
        <v>45–64</v>
      </c>
    </row>
    <row r="265" spans="2:17" x14ac:dyDescent="0.2">
      <c r="B265">
        <v>3053</v>
      </c>
      <c r="C265">
        <v>4</v>
      </c>
      <c r="D265" t="s">
        <v>71</v>
      </c>
      <c r="E265">
        <v>0.31</v>
      </c>
      <c r="F265">
        <v>200</v>
      </c>
      <c r="G265">
        <v>10</v>
      </c>
      <c r="H265">
        <v>2</v>
      </c>
      <c r="I265">
        <v>0</v>
      </c>
      <c r="J265">
        <v>41.3</v>
      </c>
      <c r="K265">
        <v>10.8</v>
      </c>
      <c r="L265">
        <v>0.6</v>
      </c>
      <c r="M265" t="s">
        <v>36</v>
      </c>
      <c r="N265">
        <v>350</v>
      </c>
      <c r="P265" t="s">
        <v>59</v>
      </c>
      <c r="Q265" t="str">
        <f>VLOOKUP(B265,'Player Register'!$B$6:$D$125,3,FALSE())</f>
        <v>45–64</v>
      </c>
    </row>
    <row r="266" spans="2:17" x14ac:dyDescent="0.2">
      <c r="B266">
        <v>3053</v>
      </c>
      <c r="C266">
        <v>5</v>
      </c>
      <c r="D266" t="s">
        <v>72</v>
      </c>
      <c r="E266">
        <v>0.31</v>
      </c>
      <c r="F266">
        <v>200</v>
      </c>
      <c r="G266">
        <v>4</v>
      </c>
      <c r="H266">
        <v>1</v>
      </c>
      <c r="I266">
        <v>0</v>
      </c>
      <c r="J266">
        <v>64.599999999999994</v>
      </c>
      <c r="K266">
        <v>10.8</v>
      </c>
      <c r="L266">
        <v>0.6</v>
      </c>
      <c r="M266" t="s">
        <v>36</v>
      </c>
      <c r="N266">
        <v>290</v>
      </c>
      <c r="P266" t="s">
        <v>61</v>
      </c>
      <c r="Q266" t="str">
        <f>VLOOKUP(B266,'Player Register'!$B$6:$D$125,3,FALSE())</f>
        <v>45–64</v>
      </c>
    </row>
    <row r="267" spans="2:17" x14ac:dyDescent="0.2">
      <c r="B267">
        <v>3054</v>
      </c>
      <c r="C267">
        <v>1</v>
      </c>
      <c r="D267" t="s">
        <v>84</v>
      </c>
      <c r="E267">
        <v>0.31</v>
      </c>
      <c r="F267">
        <v>200</v>
      </c>
      <c r="G267">
        <v>4</v>
      </c>
      <c r="H267">
        <v>1</v>
      </c>
      <c r="I267">
        <v>0</v>
      </c>
      <c r="J267">
        <v>33.4</v>
      </c>
      <c r="K267">
        <v>10.8</v>
      </c>
      <c r="L267">
        <v>0.6</v>
      </c>
      <c r="M267" t="s">
        <v>36</v>
      </c>
      <c r="N267">
        <v>290</v>
      </c>
      <c r="P267" t="s">
        <v>61</v>
      </c>
      <c r="Q267" t="str">
        <f>VLOOKUP(B267,'Player Register'!$B$6:$D$125,3,FALSE())</f>
        <v>45–64</v>
      </c>
    </row>
    <row r="268" spans="2:17" x14ac:dyDescent="0.2">
      <c r="B268">
        <v>3054</v>
      </c>
      <c r="C268">
        <v>2</v>
      </c>
      <c r="D268" t="s">
        <v>72</v>
      </c>
      <c r="E268">
        <v>0.35</v>
      </c>
      <c r="F268">
        <v>200</v>
      </c>
      <c r="G268">
        <v>5</v>
      </c>
      <c r="H268">
        <v>3</v>
      </c>
      <c r="I268">
        <v>0</v>
      </c>
      <c r="J268">
        <v>41.4</v>
      </c>
      <c r="K268">
        <v>10.8</v>
      </c>
      <c r="L268">
        <v>0.45</v>
      </c>
      <c r="M268" t="s">
        <v>36</v>
      </c>
      <c r="N268">
        <v>300</v>
      </c>
      <c r="P268" t="s">
        <v>64</v>
      </c>
      <c r="Q268" t="str">
        <f>VLOOKUP(B268,'Player Register'!$B$6:$D$125,3,FALSE())</f>
        <v>45–64</v>
      </c>
    </row>
    <row r="269" spans="2:17" x14ac:dyDescent="0.2">
      <c r="B269">
        <v>3054</v>
      </c>
      <c r="C269">
        <v>3</v>
      </c>
      <c r="D269" t="s">
        <v>65</v>
      </c>
      <c r="E269">
        <v>0.31</v>
      </c>
      <c r="F269">
        <v>200</v>
      </c>
      <c r="G269">
        <v>3</v>
      </c>
      <c r="H269">
        <v>1</v>
      </c>
      <c r="I269">
        <v>0</v>
      </c>
      <c r="J269">
        <v>68.900000000000006</v>
      </c>
      <c r="K269">
        <v>10.8</v>
      </c>
      <c r="L269">
        <v>0.6</v>
      </c>
      <c r="M269" t="s">
        <v>36</v>
      </c>
      <c r="N269">
        <v>280</v>
      </c>
      <c r="P269" t="s">
        <v>61</v>
      </c>
      <c r="Q269" t="str">
        <f>VLOOKUP(B269,'Player Register'!$B$6:$D$125,3,FALSE())</f>
        <v>45–64</v>
      </c>
    </row>
    <row r="270" spans="2:17" x14ac:dyDescent="0.2">
      <c r="B270">
        <v>3054</v>
      </c>
      <c r="C270">
        <v>4</v>
      </c>
      <c r="D270" t="s">
        <v>74</v>
      </c>
      <c r="E270">
        <v>0.28999999999999998</v>
      </c>
      <c r="F270">
        <v>200</v>
      </c>
      <c r="G270">
        <v>1</v>
      </c>
      <c r="H270">
        <v>3</v>
      </c>
      <c r="I270">
        <v>0</v>
      </c>
      <c r="J270">
        <v>55.4</v>
      </c>
      <c r="K270">
        <v>12.6</v>
      </c>
      <c r="L270">
        <v>0.7</v>
      </c>
      <c r="M270" t="s">
        <v>36</v>
      </c>
      <c r="N270">
        <v>260</v>
      </c>
      <c r="P270" t="s">
        <v>59</v>
      </c>
      <c r="Q270" t="str">
        <f>VLOOKUP(B270,'Player Register'!$B$6:$D$125,3,FALSE())</f>
        <v>45–64</v>
      </c>
    </row>
    <row r="271" spans="2:17" x14ac:dyDescent="0.2">
      <c r="B271">
        <v>3054</v>
      </c>
      <c r="C271">
        <v>5</v>
      </c>
      <c r="D271" t="s">
        <v>90</v>
      </c>
      <c r="E271">
        <v>0.31</v>
      </c>
      <c r="F271">
        <v>200</v>
      </c>
      <c r="G271">
        <v>9</v>
      </c>
      <c r="H271">
        <v>1</v>
      </c>
      <c r="I271">
        <v>0</v>
      </c>
      <c r="J271">
        <v>55.9</v>
      </c>
      <c r="K271">
        <v>10.8</v>
      </c>
      <c r="L271">
        <v>0.6</v>
      </c>
      <c r="M271" t="s">
        <v>36</v>
      </c>
      <c r="N271">
        <v>340</v>
      </c>
      <c r="P271" t="s">
        <v>61</v>
      </c>
      <c r="Q271" t="str">
        <f>VLOOKUP(B271,'Player Register'!$B$6:$D$125,3,FALSE())</f>
        <v>45–64</v>
      </c>
    </row>
    <row r="272" spans="2:17" x14ac:dyDescent="0.2">
      <c r="B272">
        <v>3055</v>
      </c>
      <c r="C272">
        <v>1</v>
      </c>
      <c r="D272" t="s">
        <v>60</v>
      </c>
      <c r="E272">
        <v>0.31</v>
      </c>
      <c r="F272">
        <v>200</v>
      </c>
      <c r="G272">
        <v>7</v>
      </c>
      <c r="H272">
        <v>1</v>
      </c>
      <c r="I272">
        <v>0</v>
      </c>
      <c r="J272">
        <v>51.7</v>
      </c>
      <c r="K272">
        <v>10.8</v>
      </c>
      <c r="L272">
        <v>0.6</v>
      </c>
      <c r="M272" t="s">
        <v>36</v>
      </c>
      <c r="N272">
        <v>320</v>
      </c>
      <c r="P272" t="s">
        <v>61</v>
      </c>
      <c r="Q272" t="str">
        <f>VLOOKUP(B272,'Player Register'!$B$6:$D$125,3,FALSE())</f>
        <v>45–64</v>
      </c>
    </row>
    <row r="273" spans="2:17" x14ac:dyDescent="0.2">
      <c r="B273">
        <v>3055</v>
      </c>
      <c r="C273">
        <v>2</v>
      </c>
      <c r="D273" t="s">
        <v>62</v>
      </c>
      <c r="E273">
        <v>0.31</v>
      </c>
      <c r="F273">
        <v>200</v>
      </c>
      <c r="G273">
        <v>4</v>
      </c>
      <c r="H273">
        <v>1</v>
      </c>
      <c r="I273">
        <v>0</v>
      </c>
      <c r="J273">
        <v>58.4</v>
      </c>
      <c r="K273">
        <v>10.8</v>
      </c>
      <c r="L273">
        <v>0.6</v>
      </c>
      <c r="M273" t="s">
        <v>36</v>
      </c>
      <c r="N273">
        <v>290</v>
      </c>
      <c r="P273" t="s">
        <v>61</v>
      </c>
      <c r="Q273" t="str">
        <f>VLOOKUP(B273,'Player Register'!$B$6:$D$125,3,FALSE())</f>
        <v>45–64</v>
      </c>
    </row>
    <row r="274" spans="2:17" x14ac:dyDescent="0.2">
      <c r="B274">
        <v>3055</v>
      </c>
      <c r="C274">
        <v>3</v>
      </c>
      <c r="D274" t="s">
        <v>71</v>
      </c>
      <c r="E274">
        <v>0.31</v>
      </c>
      <c r="F274">
        <v>200</v>
      </c>
      <c r="G274">
        <v>13</v>
      </c>
      <c r="H274">
        <v>2</v>
      </c>
      <c r="I274">
        <v>0</v>
      </c>
      <c r="J274">
        <v>64.099999999999994</v>
      </c>
      <c r="K274">
        <v>10.8</v>
      </c>
      <c r="L274">
        <v>0.6</v>
      </c>
      <c r="M274" t="s">
        <v>36</v>
      </c>
      <c r="N274">
        <v>380</v>
      </c>
      <c r="P274" t="s">
        <v>59</v>
      </c>
      <c r="Q274" t="str">
        <f>VLOOKUP(B274,'Player Register'!$B$6:$D$125,3,FALSE())</f>
        <v>45–64</v>
      </c>
    </row>
    <row r="275" spans="2:17" x14ac:dyDescent="0.2">
      <c r="B275">
        <v>3055</v>
      </c>
      <c r="C275">
        <v>4</v>
      </c>
      <c r="D275" t="s">
        <v>72</v>
      </c>
      <c r="E275">
        <v>0.31</v>
      </c>
      <c r="F275">
        <v>200</v>
      </c>
      <c r="G275">
        <v>10</v>
      </c>
      <c r="H275">
        <v>1</v>
      </c>
      <c r="I275">
        <v>0</v>
      </c>
      <c r="J275">
        <v>69.900000000000006</v>
      </c>
      <c r="K275">
        <v>10.8</v>
      </c>
      <c r="L275">
        <v>0.6</v>
      </c>
      <c r="M275" t="s">
        <v>36</v>
      </c>
      <c r="N275">
        <v>350</v>
      </c>
      <c r="P275" t="s">
        <v>61</v>
      </c>
      <c r="Q275" t="str">
        <f>VLOOKUP(B275,'Player Register'!$B$6:$D$125,3,FALSE())</f>
        <v>45–64</v>
      </c>
    </row>
    <row r="276" spans="2:17" x14ac:dyDescent="0.2">
      <c r="B276">
        <v>3055</v>
      </c>
      <c r="C276">
        <v>5</v>
      </c>
      <c r="D276" t="s">
        <v>65</v>
      </c>
      <c r="E276">
        <v>0.31</v>
      </c>
      <c r="F276">
        <v>200</v>
      </c>
      <c r="G276">
        <v>8</v>
      </c>
      <c r="H276">
        <v>3</v>
      </c>
      <c r="I276">
        <v>0</v>
      </c>
      <c r="J276">
        <v>72.8</v>
      </c>
      <c r="K276">
        <v>10.8</v>
      </c>
      <c r="L276">
        <v>0.6</v>
      </c>
      <c r="M276" t="s">
        <v>36</v>
      </c>
      <c r="N276">
        <v>330</v>
      </c>
      <c r="P276" t="s">
        <v>64</v>
      </c>
      <c r="Q276" t="str">
        <f>VLOOKUP(B276,'Player Register'!$B$6:$D$125,3,FALSE())</f>
        <v>45–64</v>
      </c>
    </row>
    <row r="277" spans="2:17" x14ac:dyDescent="0.2">
      <c r="B277">
        <v>3056</v>
      </c>
      <c r="C277">
        <v>1</v>
      </c>
      <c r="D277" t="s">
        <v>81</v>
      </c>
      <c r="E277">
        <v>0.31</v>
      </c>
      <c r="F277">
        <v>200</v>
      </c>
      <c r="G277">
        <v>7</v>
      </c>
      <c r="H277">
        <v>2</v>
      </c>
      <c r="I277">
        <v>0</v>
      </c>
      <c r="J277">
        <v>69.099999999999994</v>
      </c>
      <c r="K277">
        <v>10.8</v>
      </c>
      <c r="L277">
        <v>0.6</v>
      </c>
      <c r="M277" t="s">
        <v>36</v>
      </c>
      <c r="N277">
        <v>320</v>
      </c>
      <c r="P277" t="s">
        <v>59</v>
      </c>
      <c r="Q277" t="str">
        <f>VLOOKUP(B277,'Player Register'!$B$6:$D$125,3,FALSE())</f>
        <v>45–64</v>
      </c>
    </row>
    <row r="278" spans="2:17" x14ac:dyDescent="0.2">
      <c r="B278">
        <v>3056</v>
      </c>
      <c r="C278">
        <v>2</v>
      </c>
      <c r="D278" t="s">
        <v>89</v>
      </c>
      <c r="E278">
        <v>0.31</v>
      </c>
      <c r="F278">
        <v>200</v>
      </c>
      <c r="G278">
        <v>7</v>
      </c>
      <c r="H278">
        <v>0</v>
      </c>
      <c r="I278">
        <v>0</v>
      </c>
      <c r="J278">
        <v>74.599999999999994</v>
      </c>
      <c r="K278">
        <v>10.8</v>
      </c>
      <c r="L278">
        <v>0.6</v>
      </c>
      <c r="M278" t="s">
        <v>36</v>
      </c>
      <c r="N278">
        <v>320</v>
      </c>
      <c r="P278" t="s">
        <v>73</v>
      </c>
      <c r="Q278" t="str">
        <f>VLOOKUP(B278,'Player Register'!$B$6:$D$125,3,FALSE())</f>
        <v>45–64</v>
      </c>
    </row>
    <row r="279" spans="2:17" x14ac:dyDescent="0.2">
      <c r="B279">
        <v>3056</v>
      </c>
      <c r="C279">
        <v>3</v>
      </c>
      <c r="D279" t="s">
        <v>77</v>
      </c>
      <c r="E279">
        <v>0.31</v>
      </c>
      <c r="F279">
        <v>201</v>
      </c>
      <c r="G279">
        <v>8</v>
      </c>
      <c r="H279">
        <v>1</v>
      </c>
      <c r="I279">
        <v>0</v>
      </c>
      <c r="J279">
        <v>73.900000000000006</v>
      </c>
      <c r="K279">
        <v>12.6</v>
      </c>
      <c r="L279">
        <v>0.7</v>
      </c>
      <c r="M279" t="s">
        <v>36</v>
      </c>
      <c r="N279">
        <v>331</v>
      </c>
      <c r="P279" t="s">
        <v>61</v>
      </c>
      <c r="Q279" t="str">
        <f>VLOOKUP(B279,'Player Register'!$B$6:$D$125,3,FALSE())</f>
        <v>45–64</v>
      </c>
    </row>
    <row r="280" spans="2:17" x14ac:dyDescent="0.2">
      <c r="B280">
        <v>3056</v>
      </c>
      <c r="C280">
        <v>4</v>
      </c>
      <c r="D280" t="s">
        <v>83</v>
      </c>
      <c r="E280">
        <v>0.28999999999999998</v>
      </c>
      <c r="F280">
        <v>200</v>
      </c>
      <c r="G280">
        <v>10</v>
      </c>
      <c r="H280">
        <v>0</v>
      </c>
      <c r="I280">
        <v>0</v>
      </c>
      <c r="J280">
        <v>77.5</v>
      </c>
      <c r="K280">
        <v>12.6</v>
      </c>
      <c r="L280">
        <v>0.7</v>
      </c>
      <c r="M280" t="s">
        <v>36</v>
      </c>
      <c r="N280">
        <v>350</v>
      </c>
      <c r="P280" t="s">
        <v>68</v>
      </c>
      <c r="Q280" t="str">
        <f>VLOOKUP(B280,'Player Register'!$B$6:$D$125,3,FALSE())</f>
        <v>45–64</v>
      </c>
    </row>
    <row r="281" spans="2:17" x14ac:dyDescent="0.2">
      <c r="B281">
        <v>3056</v>
      </c>
      <c r="C281">
        <v>5</v>
      </c>
      <c r="D281" t="s">
        <v>79</v>
      </c>
      <c r="E281">
        <v>0.28999999999999998</v>
      </c>
      <c r="F281">
        <v>200</v>
      </c>
      <c r="G281">
        <v>15</v>
      </c>
      <c r="H281">
        <v>1</v>
      </c>
      <c r="I281">
        <v>0</v>
      </c>
      <c r="J281">
        <v>73.900000000000006</v>
      </c>
      <c r="K281">
        <v>12.6</v>
      </c>
      <c r="L281">
        <v>0.7</v>
      </c>
      <c r="M281" t="s">
        <v>36</v>
      </c>
      <c r="N281">
        <v>400</v>
      </c>
      <c r="P281" t="s">
        <v>73</v>
      </c>
      <c r="Q281" t="str">
        <f>VLOOKUP(B281,'Player Register'!$B$6:$D$125,3,FALSE())</f>
        <v>45–64</v>
      </c>
    </row>
    <row r="282" spans="2:17" x14ac:dyDescent="0.2">
      <c r="B282">
        <v>3057</v>
      </c>
      <c r="C282">
        <v>1</v>
      </c>
      <c r="D282" t="s">
        <v>62</v>
      </c>
      <c r="E282">
        <v>0.31</v>
      </c>
      <c r="F282">
        <v>200</v>
      </c>
      <c r="G282">
        <v>4</v>
      </c>
      <c r="H282">
        <v>2</v>
      </c>
      <c r="I282">
        <v>0</v>
      </c>
      <c r="J282">
        <v>61.9</v>
      </c>
      <c r="K282">
        <v>10.8</v>
      </c>
      <c r="L282">
        <v>0.6</v>
      </c>
      <c r="M282" t="s">
        <v>36</v>
      </c>
      <c r="N282">
        <v>290</v>
      </c>
      <c r="P282" t="s">
        <v>59</v>
      </c>
      <c r="Q282" t="str">
        <f>VLOOKUP(B282,'Player Register'!$B$6:$D$125,3,FALSE())</f>
        <v>45–64</v>
      </c>
    </row>
    <row r="283" spans="2:17" x14ac:dyDescent="0.2">
      <c r="B283">
        <v>3057</v>
      </c>
      <c r="C283">
        <v>2</v>
      </c>
      <c r="D283" t="s">
        <v>63</v>
      </c>
      <c r="E283">
        <v>0.31</v>
      </c>
      <c r="F283">
        <v>200</v>
      </c>
      <c r="G283">
        <v>6</v>
      </c>
      <c r="H283">
        <v>2</v>
      </c>
      <c r="I283">
        <v>0</v>
      </c>
      <c r="J283">
        <v>55.9</v>
      </c>
      <c r="K283">
        <v>10.8</v>
      </c>
      <c r="L283">
        <v>0.6</v>
      </c>
      <c r="M283" t="s">
        <v>36</v>
      </c>
      <c r="N283">
        <v>310</v>
      </c>
      <c r="P283" t="s">
        <v>59</v>
      </c>
      <c r="Q283" t="str">
        <f>VLOOKUP(B283,'Player Register'!$B$6:$D$125,3,FALSE())</f>
        <v>45–64</v>
      </c>
    </row>
    <row r="284" spans="2:17" x14ac:dyDescent="0.2">
      <c r="B284">
        <v>3057</v>
      </c>
      <c r="C284">
        <v>3</v>
      </c>
      <c r="D284" t="s">
        <v>65</v>
      </c>
      <c r="E284">
        <v>0.35</v>
      </c>
      <c r="F284">
        <v>200</v>
      </c>
      <c r="G284">
        <v>7</v>
      </c>
      <c r="H284">
        <v>3</v>
      </c>
      <c r="I284">
        <v>0</v>
      </c>
      <c r="J284">
        <v>59.1</v>
      </c>
      <c r="K284">
        <v>10.8</v>
      </c>
      <c r="L284">
        <v>0.45</v>
      </c>
      <c r="M284" t="s">
        <v>36</v>
      </c>
      <c r="N284">
        <v>320</v>
      </c>
      <c r="P284" t="s">
        <v>64</v>
      </c>
      <c r="Q284" t="str">
        <f>VLOOKUP(B284,'Player Register'!$B$6:$D$125,3,FALSE())</f>
        <v>45–64</v>
      </c>
    </row>
    <row r="285" spans="2:17" x14ac:dyDescent="0.2">
      <c r="B285">
        <v>3057</v>
      </c>
      <c r="C285">
        <v>4</v>
      </c>
      <c r="D285" t="s">
        <v>74</v>
      </c>
      <c r="E285">
        <v>0.31</v>
      </c>
      <c r="F285">
        <v>200</v>
      </c>
      <c r="G285">
        <v>6</v>
      </c>
      <c r="H285">
        <v>1</v>
      </c>
      <c r="I285">
        <v>0</v>
      </c>
      <c r="J285">
        <v>69.8</v>
      </c>
      <c r="K285">
        <v>10.8</v>
      </c>
      <c r="L285">
        <v>0.6</v>
      </c>
      <c r="M285" t="s">
        <v>36</v>
      </c>
      <c r="N285">
        <v>310</v>
      </c>
      <c r="P285" t="s">
        <v>61</v>
      </c>
      <c r="Q285" t="str">
        <f>VLOOKUP(B285,'Player Register'!$B$6:$D$125,3,FALSE())</f>
        <v>45–64</v>
      </c>
    </row>
    <row r="286" spans="2:17" x14ac:dyDescent="0.2">
      <c r="B286">
        <v>3057</v>
      </c>
      <c r="C286">
        <v>5</v>
      </c>
      <c r="D286" t="s">
        <v>75</v>
      </c>
      <c r="E286">
        <v>0.31</v>
      </c>
      <c r="F286">
        <v>200</v>
      </c>
      <c r="G286">
        <v>10</v>
      </c>
      <c r="H286">
        <v>2</v>
      </c>
      <c r="I286">
        <v>0</v>
      </c>
      <c r="J286">
        <v>62.9</v>
      </c>
      <c r="K286">
        <v>10.8</v>
      </c>
      <c r="L286">
        <v>0.6</v>
      </c>
      <c r="M286" t="s">
        <v>36</v>
      </c>
      <c r="N286">
        <v>350</v>
      </c>
      <c r="P286" t="s">
        <v>59</v>
      </c>
      <c r="Q286" t="str">
        <f>VLOOKUP(B286,'Player Register'!$B$6:$D$125,3,FALSE())</f>
        <v>45–64</v>
      </c>
    </row>
    <row r="287" spans="2:17" x14ac:dyDescent="0.2">
      <c r="B287">
        <v>3058</v>
      </c>
      <c r="C287">
        <v>1</v>
      </c>
      <c r="D287" t="s">
        <v>66</v>
      </c>
      <c r="E287">
        <v>0.31</v>
      </c>
      <c r="F287">
        <v>200</v>
      </c>
      <c r="G287">
        <v>7</v>
      </c>
      <c r="H287">
        <v>2</v>
      </c>
      <c r="I287">
        <v>0</v>
      </c>
      <c r="J287">
        <v>61.3</v>
      </c>
      <c r="K287">
        <v>10.8</v>
      </c>
      <c r="L287">
        <v>0.6</v>
      </c>
      <c r="M287" t="s">
        <v>36</v>
      </c>
      <c r="N287">
        <v>320</v>
      </c>
      <c r="P287" t="s">
        <v>59</v>
      </c>
      <c r="Q287" t="str">
        <f>VLOOKUP(B287,'Player Register'!$B$6:$D$125,3,FALSE())</f>
        <v>45–64</v>
      </c>
    </row>
    <row r="288" spans="2:17" x14ac:dyDescent="0.2">
      <c r="B288">
        <v>3058</v>
      </c>
      <c r="C288">
        <v>2</v>
      </c>
      <c r="D288" t="s">
        <v>83</v>
      </c>
      <c r="E288">
        <v>0.31</v>
      </c>
      <c r="F288">
        <v>200</v>
      </c>
      <c r="G288">
        <v>9</v>
      </c>
      <c r="H288">
        <v>2</v>
      </c>
      <c r="I288">
        <v>0</v>
      </c>
      <c r="J288">
        <v>47.2</v>
      </c>
      <c r="K288">
        <v>10.8</v>
      </c>
      <c r="L288">
        <v>0.6</v>
      </c>
      <c r="M288" t="s">
        <v>36</v>
      </c>
      <c r="N288">
        <v>340</v>
      </c>
      <c r="P288" t="s">
        <v>59</v>
      </c>
      <c r="Q288" t="str">
        <f>VLOOKUP(B288,'Player Register'!$B$6:$D$125,3,FALSE())</f>
        <v>45–64</v>
      </c>
    </row>
    <row r="289" spans="2:17" x14ac:dyDescent="0.2">
      <c r="B289">
        <v>3058</v>
      </c>
      <c r="C289">
        <v>3</v>
      </c>
      <c r="D289" t="s">
        <v>79</v>
      </c>
      <c r="E289">
        <v>0.31</v>
      </c>
      <c r="F289">
        <v>201</v>
      </c>
      <c r="G289">
        <v>9</v>
      </c>
      <c r="H289">
        <v>0</v>
      </c>
      <c r="I289">
        <v>0</v>
      </c>
      <c r="J289">
        <v>60.8</v>
      </c>
      <c r="K289">
        <v>12.6</v>
      </c>
      <c r="L289">
        <v>0.7</v>
      </c>
      <c r="M289" t="s">
        <v>36</v>
      </c>
      <c r="N289">
        <v>341</v>
      </c>
      <c r="P289" t="s">
        <v>73</v>
      </c>
      <c r="Q289" t="str">
        <f>VLOOKUP(B289,'Player Register'!$B$6:$D$125,3,FALSE())</f>
        <v>45–64</v>
      </c>
    </row>
    <row r="290" spans="2:17" x14ac:dyDescent="0.2">
      <c r="B290">
        <v>3058</v>
      </c>
      <c r="C290">
        <v>4</v>
      </c>
      <c r="D290" t="s">
        <v>69</v>
      </c>
      <c r="E290">
        <v>0.31</v>
      </c>
      <c r="F290">
        <v>200</v>
      </c>
      <c r="G290">
        <v>10</v>
      </c>
      <c r="H290">
        <v>2</v>
      </c>
      <c r="I290">
        <v>0</v>
      </c>
      <c r="J290">
        <v>53.5</v>
      </c>
      <c r="K290">
        <v>10.8</v>
      </c>
      <c r="L290">
        <v>0.6</v>
      </c>
      <c r="M290" t="s">
        <v>36</v>
      </c>
      <c r="N290">
        <v>350</v>
      </c>
      <c r="P290" t="s">
        <v>59</v>
      </c>
      <c r="Q290" t="str">
        <f>VLOOKUP(B290,'Player Register'!$B$6:$D$125,3,FALSE())</f>
        <v>45–64</v>
      </c>
    </row>
    <row r="291" spans="2:17" x14ac:dyDescent="0.2">
      <c r="B291">
        <v>3058</v>
      </c>
      <c r="C291">
        <v>5</v>
      </c>
      <c r="D291" t="s">
        <v>58</v>
      </c>
      <c r="E291">
        <v>0.28999999999999998</v>
      </c>
      <c r="F291">
        <v>200</v>
      </c>
      <c r="G291">
        <v>14</v>
      </c>
      <c r="H291">
        <v>1</v>
      </c>
      <c r="I291">
        <v>0</v>
      </c>
      <c r="J291">
        <v>76.3</v>
      </c>
      <c r="K291">
        <v>12.6</v>
      </c>
      <c r="L291">
        <v>0.7</v>
      </c>
      <c r="M291" t="s">
        <v>36</v>
      </c>
      <c r="N291">
        <v>390</v>
      </c>
      <c r="P291" t="s">
        <v>73</v>
      </c>
      <c r="Q291" t="str">
        <f>VLOOKUP(B291,'Player Register'!$B$6:$D$125,3,FALSE())</f>
        <v>45–64</v>
      </c>
    </row>
    <row r="292" spans="2:17" x14ac:dyDescent="0.2">
      <c r="B292">
        <v>3059</v>
      </c>
      <c r="C292">
        <v>1</v>
      </c>
      <c r="D292" t="s">
        <v>89</v>
      </c>
      <c r="E292">
        <v>0.35</v>
      </c>
      <c r="F292">
        <v>200</v>
      </c>
      <c r="G292">
        <v>8</v>
      </c>
      <c r="H292">
        <v>2</v>
      </c>
      <c r="I292">
        <v>0</v>
      </c>
      <c r="J292">
        <v>42.1</v>
      </c>
      <c r="K292">
        <v>10.8</v>
      </c>
      <c r="L292">
        <v>0.45</v>
      </c>
      <c r="M292" t="s">
        <v>36</v>
      </c>
      <c r="N292">
        <v>330</v>
      </c>
      <c r="P292" t="s">
        <v>59</v>
      </c>
      <c r="Q292" t="str">
        <f>VLOOKUP(B292,'Player Register'!$B$6:$D$125,3,FALSE())</f>
        <v>45–64</v>
      </c>
    </row>
    <row r="293" spans="2:17" x14ac:dyDescent="0.2">
      <c r="B293">
        <v>3059</v>
      </c>
      <c r="C293">
        <v>2</v>
      </c>
      <c r="D293" t="s">
        <v>82</v>
      </c>
      <c r="E293">
        <v>0.28999999999999998</v>
      </c>
      <c r="F293">
        <v>200</v>
      </c>
      <c r="G293">
        <v>10</v>
      </c>
      <c r="H293">
        <v>2</v>
      </c>
      <c r="I293">
        <v>0</v>
      </c>
      <c r="J293">
        <v>57</v>
      </c>
      <c r="K293">
        <v>12.6</v>
      </c>
      <c r="L293">
        <v>0.7</v>
      </c>
      <c r="M293" t="s">
        <v>36</v>
      </c>
      <c r="N293">
        <v>350</v>
      </c>
      <c r="P293" t="s">
        <v>61</v>
      </c>
      <c r="Q293" t="str">
        <f>VLOOKUP(B293,'Player Register'!$B$6:$D$125,3,FALSE())</f>
        <v>45–64</v>
      </c>
    </row>
    <row r="294" spans="2:17" x14ac:dyDescent="0.2">
      <c r="B294">
        <v>3059</v>
      </c>
      <c r="C294">
        <v>3</v>
      </c>
      <c r="D294" t="s">
        <v>78</v>
      </c>
      <c r="E294">
        <v>0.35</v>
      </c>
      <c r="F294">
        <v>200</v>
      </c>
      <c r="G294">
        <v>5</v>
      </c>
      <c r="H294">
        <v>3</v>
      </c>
      <c r="I294">
        <v>0</v>
      </c>
      <c r="J294">
        <v>34</v>
      </c>
      <c r="K294">
        <v>10.8</v>
      </c>
      <c r="L294">
        <v>0.45</v>
      </c>
      <c r="M294" t="s">
        <v>36</v>
      </c>
      <c r="N294">
        <v>300</v>
      </c>
      <c r="P294" t="s">
        <v>64</v>
      </c>
      <c r="Q294" t="str">
        <f>VLOOKUP(B294,'Player Register'!$B$6:$D$125,3,FALSE())</f>
        <v>45–64</v>
      </c>
    </row>
    <row r="295" spans="2:17" x14ac:dyDescent="0.2">
      <c r="B295">
        <v>3059</v>
      </c>
      <c r="C295">
        <v>4</v>
      </c>
      <c r="D295" t="s">
        <v>79</v>
      </c>
      <c r="E295">
        <v>0.28999999999999998</v>
      </c>
      <c r="F295">
        <v>200</v>
      </c>
      <c r="G295">
        <v>8</v>
      </c>
      <c r="H295">
        <v>3</v>
      </c>
      <c r="I295">
        <v>0</v>
      </c>
      <c r="J295">
        <v>46.7</v>
      </c>
      <c r="K295">
        <v>12.6</v>
      </c>
      <c r="L295">
        <v>0.7</v>
      </c>
      <c r="M295" t="s">
        <v>36</v>
      </c>
      <c r="N295">
        <v>330</v>
      </c>
      <c r="P295" t="s">
        <v>59</v>
      </c>
      <c r="Q295" t="str">
        <f>VLOOKUP(B295,'Player Register'!$B$6:$D$125,3,FALSE())</f>
        <v>45–64</v>
      </c>
    </row>
    <row r="296" spans="2:17" x14ac:dyDescent="0.2">
      <c r="B296">
        <v>3059</v>
      </c>
      <c r="C296">
        <v>5</v>
      </c>
      <c r="D296" t="s">
        <v>67</v>
      </c>
      <c r="E296">
        <v>0.35</v>
      </c>
      <c r="F296">
        <v>200</v>
      </c>
      <c r="G296">
        <v>4</v>
      </c>
      <c r="H296">
        <v>3</v>
      </c>
      <c r="I296">
        <v>0</v>
      </c>
      <c r="J296">
        <v>51.4</v>
      </c>
      <c r="K296">
        <v>10.8</v>
      </c>
      <c r="L296">
        <v>0.45</v>
      </c>
      <c r="M296" t="s">
        <v>36</v>
      </c>
      <c r="N296">
        <v>290</v>
      </c>
      <c r="P296" t="s">
        <v>64</v>
      </c>
      <c r="Q296" t="str">
        <f>VLOOKUP(B296,'Player Register'!$B$6:$D$125,3,FALSE())</f>
        <v>45–64</v>
      </c>
    </row>
    <row r="297" spans="2:17" x14ac:dyDescent="0.2">
      <c r="B297">
        <v>3060</v>
      </c>
      <c r="C297">
        <v>1</v>
      </c>
      <c r="D297" t="s">
        <v>60</v>
      </c>
      <c r="E297">
        <v>0.31</v>
      </c>
      <c r="F297">
        <v>200</v>
      </c>
      <c r="G297">
        <v>13</v>
      </c>
      <c r="H297">
        <v>1</v>
      </c>
      <c r="I297">
        <v>0</v>
      </c>
      <c r="J297">
        <v>63.9</v>
      </c>
      <c r="K297">
        <v>10.8</v>
      </c>
      <c r="L297">
        <v>0.6</v>
      </c>
      <c r="M297" t="s">
        <v>36</v>
      </c>
      <c r="N297">
        <v>380</v>
      </c>
      <c r="P297" t="s">
        <v>61</v>
      </c>
      <c r="Q297" t="str">
        <f>VLOOKUP(B297,'Player Register'!$B$6:$D$125,3,FALSE())</f>
        <v>45–64</v>
      </c>
    </row>
    <row r="298" spans="2:17" x14ac:dyDescent="0.2">
      <c r="B298">
        <v>3060</v>
      </c>
      <c r="C298">
        <v>2</v>
      </c>
      <c r="D298" t="s">
        <v>84</v>
      </c>
      <c r="E298">
        <v>0.31</v>
      </c>
      <c r="F298">
        <v>201</v>
      </c>
      <c r="G298">
        <v>6</v>
      </c>
      <c r="H298">
        <v>2</v>
      </c>
      <c r="I298">
        <v>0</v>
      </c>
      <c r="J298">
        <v>51.4</v>
      </c>
      <c r="K298">
        <v>12.6</v>
      </c>
      <c r="L298">
        <v>0.7</v>
      </c>
      <c r="M298" t="s">
        <v>36</v>
      </c>
      <c r="N298">
        <v>311</v>
      </c>
      <c r="P298" t="s">
        <v>59</v>
      </c>
      <c r="Q298" t="str">
        <f>VLOOKUP(B298,'Player Register'!$B$6:$D$125,3,FALSE())</f>
        <v>45–64</v>
      </c>
    </row>
    <row r="299" spans="2:17" x14ac:dyDescent="0.2">
      <c r="B299">
        <v>3060</v>
      </c>
      <c r="C299">
        <v>3</v>
      </c>
      <c r="D299" t="s">
        <v>72</v>
      </c>
      <c r="E299">
        <v>0.28999999999999998</v>
      </c>
      <c r="F299">
        <v>200</v>
      </c>
      <c r="G299">
        <v>4</v>
      </c>
      <c r="H299">
        <v>0</v>
      </c>
      <c r="I299">
        <v>0</v>
      </c>
      <c r="J299">
        <v>76.3</v>
      </c>
      <c r="K299">
        <v>12.6</v>
      </c>
      <c r="L299">
        <v>0.7</v>
      </c>
      <c r="M299" t="s">
        <v>36</v>
      </c>
      <c r="N299">
        <v>290</v>
      </c>
      <c r="P299" t="s">
        <v>68</v>
      </c>
      <c r="Q299" t="str">
        <f>VLOOKUP(B299,'Player Register'!$B$6:$D$125,3,FALSE())</f>
        <v>45–64</v>
      </c>
    </row>
    <row r="300" spans="2:17" x14ac:dyDescent="0.2">
      <c r="B300">
        <v>3060</v>
      </c>
      <c r="C300">
        <v>4</v>
      </c>
      <c r="D300" t="s">
        <v>91</v>
      </c>
      <c r="E300">
        <v>0.31</v>
      </c>
      <c r="F300">
        <v>200</v>
      </c>
      <c r="G300">
        <v>10</v>
      </c>
      <c r="H300">
        <v>2</v>
      </c>
      <c r="I300">
        <v>0</v>
      </c>
      <c r="J300">
        <v>47</v>
      </c>
      <c r="K300">
        <v>10.8</v>
      </c>
      <c r="L300">
        <v>0.6</v>
      </c>
      <c r="M300" t="s">
        <v>36</v>
      </c>
      <c r="N300">
        <v>350</v>
      </c>
      <c r="P300" t="s">
        <v>59</v>
      </c>
      <c r="Q300" t="str">
        <f>VLOOKUP(B300,'Player Register'!$B$6:$D$125,3,FALSE())</f>
        <v>45–64</v>
      </c>
    </row>
    <row r="301" spans="2:17" x14ac:dyDescent="0.2">
      <c r="B301">
        <v>3060</v>
      </c>
      <c r="C301">
        <v>5</v>
      </c>
      <c r="D301" t="s">
        <v>74</v>
      </c>
      <c r="E301">
        <v>0.34</v>
      </c>
      <c r="F301">
        <v>200</v>
      </c>
      <c r="G301">
        <v>5</v>
      </c>
      <c r="H301">
        <v>3</v>
      </c>
      <c r="I301">
        <v>0</v>
      </c>
      <c r="J301">
        <v>52.9</v>
      </c>
      <c r="K301">
        <v>10.8</v>
      </c>
      <c r="L301">
        <v>0.55000000000000004</v>
      </c>
      <c r="M301" t="s">
        <v>36</v>
      </c>
      <c r="N301">
        <v>300</v>
      </c>
      <c r="P301" t="s">
        <v>64</v>
      </c>
      <c r="Q301" t="str">
        <f>VLOOKUP(B301,'Player Register'!$B$6:$D$125,3,FALSE())</f>
        <v>45–64</v>
      </c>
    </row>
    <row r="302" spans="2:17" x14ac:dyDescent="0.2">
      <c r="B302">
        <v>3061</v>
      </c>
      <c r="C302">
        <v>1</v>
      </c>
      <c r="D302" t="s">
        <v>58</v>
      </c>
      <c r="E302">
        <v>0.31</v>
      </c>
      <c r="F302">
        <v>200</v>
      </c>
      <c r="G302">
        <v>4</v>
      </c>
      <c r="H302">
        <v>3</v>
      </c>
      <c r="I302">
        <v>0</v>
      </c>
      <c r="J302">
        <v>49.6</v>
      </c>
      <c r="K302">
        <v>10.8</v>
      </c>
      <c r="L302">
        <v>0.6</v>
      </c>
      <c r="M302" t="s">
        <v>36</v>
      </c>
      <c r="N302">
        <v>290</v>
      </c>
      <c r="P302" t="s">
        <v>64</v>
      </c>
      <c r="Q302" t="str">
        <f>VLOOKUP(B302,'Player Register'!$B$6:$D$125,3,FALSE())</f>
        <v>45–64</v>
      </c>
    </row>
    <row r="303" spans="2:17" x14ac:dyDescent="0.2">
      <c r="B303">
        <v>3061</v>
      </c>
      <c r="C303">
        <v>2</v>
      </c>
      <c r="D303" t="s">
        <v>60</v>
      </c>
      <c r="E303">
        <v>0.31</v>
      </c>
      <c r="F303">
        <v>200</v>
      </c>
      <c r="G303">
        <v>8</v>
      </c>
      <c r="H303">
        <v>3</v>
      </c>
      <c r="I303">
        <v>0</v>
      </c>
      <c r="J303">
        <v>37.9</v>
      </c>
      <c r="K303">
        <v>10.8</v>
      </c>
      <c r="L303">
        <v>0.45</v>
      </c>
      <c r="M303" t="s">
        <v>36</v>
      </c>
      <c r="N303">
        <v>330</v>
      </c>
      <c r="P303" t="s">
        <v>64</v>
      </c>
      <c r="Q303" t="str">
        <f>VLOOKUP(B303,'Player Register'!$B$6:$D$125,3,FALSE())</f>
        <v>45–64</v>
      </c>
    </row>
    <row r="304" spans="2:17" x14ac:dyDescent="0.2">
      <c r="B304">
        <v>3061</v>
      </c>
      <c r="C304">
        <v>3</v>
      </c>
      <c r="D304" t="s">
        <v>71</v>
      </c>
      <c r="E304">
        <v>0.31</v>
      </c>
      <c r="F304">
        <v>200</v>
      </c>
      <c r="G304">
        <v>7</v>
      </c>
      <c r="H304">
        <v>2</v>
      </c>
      <c r="I304">
        <v>0</v>
      </c>
      <c r="J304">
        <v>56.2</v>
      </c>
      <c r="K304">
        <v>10.8</v>
      </c>
      <c r="L304">
        <v>0.6</v>
      </c>
      <c r="M304" t="s">
        <v>36</v>
      </c>
      <c r="N304">
        <v>320</v>
      </c>
      <c r="P304" t="s">
        <v>59</v>
      </c>
      <c r="Q304" t="str">
        <f>VLOOKUP(B304,'Player Register'!$B$6:$D$125,3,FALSE())</f>
        <v>45–64</v>
      </c>
    </row>
    <row r="305" spans="2:17" x14ac:dyDescent="0.2">
      <c r="B305">
        <v>3061</v>
      </c>
      <c r="C305">
        <v>4</v>
      </c>
      <c r="D305" t="s">
        <v>85</v>
      </c>
      <c r="E305">
        <v>0.31</v>
      </c>
      <c r="F305">
        <v>200</v>
      </c>
      <c r="G305">
        <v>5</v>
      </c>
      <c r="H305">
        <v>2</v>
      </c>
      <c r="I305">
        <v>0</v>
      </c>
      <c r="J305">
        <v>66.8</v>
      </c>
      <c r="K305">
        <v>10.8</v>
      </c>
      <c r="L305">
        <v>0.6</v>
      </c>
      <c r="M305" t="s">
        <v>36</v>
      </c>
      <c r="N305">
        <v>300</v>
      </c>
      <c r="P305" t="s">
        <v>59</v>
      </c>
      <c r="Q305" t="str">
        <f>VLOOKUP(B305,'Player Register'!$B$6:$D$125,3,FALSE())</f>
        <v>45–64</v>
      </c>
    </row>
    <row r="306" spans="2:17" x14ac:dyDescent="0.2">
      <c r="B306">
        <v>3061</v>
      </c>
      <c r="C306">
        <v>5</v>
      </c>
      <c r="D306" t="s">
        <v>86</v>
      </c>
      <c r="E306">
        <v>0.28999999999999998</v>
      </c>
      <c r="F306">
        <v>200</v>
      </c>
      <c r="G306">
        <v>10</v>
      </c>
      <c r="H306">
        <v>1</v>
      </c>
      <c r="I306">
        <v>0</v>
      </c>
      <c r="J306">
        <v>66.5</v>
      </c>
      <c r="K306">
        <v>12.6</v>
      </c>
      <c r="L306">
        <v>0.7</v>
      </c>
      <c r="M306" t="s">
        <v>36</v>
      </c>
      <c r="N306">
        <v>350</v>
      </c>
      <c r="P306" t="s">
        <v>73</v>
      </c>
      <c r="Q306" t="str">
        <f>VLOOKUP(B306,'Player Register'!$B$6:$D$125,3,FALSE())</f>
        <v>45–64</v>
      </c>
    </row>
    <row r="307" spans="2:17" x14ac:dyDescent="0.2">
      <c r="B307">
        <v>3062</v>
      </c>
      <c r="C307">
        <v>1</v>
      </c>
      <c r="D307" t="s">
        <v>82</v>
      </c>
      <c r="E307">
        <v>0.28999999999999998</v>
      </c>
      <c r="F307">
        <v>200</v>
      </c>
      <c r="G307">
        <v>9</v>
      </c>
      <c r="H307">
        <v>0</v>
      </c>
      <c r="I307">
        <v>0</v>
      </c>
      <c r="J307">
        <v>69.5</v>
      </c>
      <c r="K307">
        <v>12.6</v>
      </c>
      <c r="L307">
        <v>0.7</v>
      </c>
      <c r="M307" t="s">
        <v>36</v>
      </c>
      <c r="N307">
        <v>340</v>
      </c>
      <c r="P307" t="s">
        <v>68</v>
      </c>
      <c r="Q307" t="str">
        <f>VLOOKUP(B307,'Player Register'!$B$6:$D$125,3,FALSE())</f>
        <v>45–64</v>
      </c>
    </row>
    <row r="308" spans="2:17" x14ac:dyDescent="0.2">
      <c r="B308">
        <v>3062</v>
      </c>
      <c r="C308">
        <v>2</v>
      </c>
      <c r="D308" t="s">
        <v>76</v>
      </c>
      <c r="E308">
        <v>0.28999999999999998</v>
      </c>
      <c r="F308">
        <v>200</v>
      </c>
      <c r="G308">
        <v>5</v>
      </c>
      <c r="H308">
        <v>1</v>
      </c>
      <c r="I308">
        <v>0</v>
      </c>
      <c r="J308">
        <v>72.7</v>
      </c>
      <c r="K308">
        <v>12.6</v>
      </c>
      <c r="L308">
        <v>0.7</v>
      </c>
      <c r="M308" t="s">
        <v>36</v>
      </c>
      <c r="N308">
        <v>300</v>
      </c>
      <c r="P308" t="s">
        <v>73</v>
      </c>
      <c r="Q308" t="str">
        <f>VLOOKUP(B308,'Player Register'!$B$6:$D$125,3,FALSE())</f>
        <v>45–64</v>
      </c>
    </row>
    <row r="309" spans="2:17" x14ac:dyDescent="0.2">
      <c r="B309">
        <v>3062</v>
      </c>
      <c r="C309">
        <v>3</v>
      </c>
      <c r="D309" t="s">
        <v>78</v>
      </c>
      <c r="E309">
        <v>0.31</v>
      </c>
      <c r="F309">
        <v>200</v>
      </c>
      <c r="G309">
        <v>5</v>
      </c>
      <c r="H309">
        <v>2</v>
      </c>
      <c r="I309">
        <v>0</v>
      </c>
      <c r="J309">
        <v>67.599999999999994</v>
      </c>
      <c r="K309">
        <v>10.8</v>
      </c>
      <c r="L309">
        <v>0.6</v>
      </c>
      <c r="M309" t="s">
        <v>36</v>
      </c>
      <c r="N309">
        <v>300</v>
      </c>
      <c r="P309" t="s">
        <v>59</v>
      </c>
      <c r="Q309" t="str">
        <f>VLOOKUP(B309,'Player Register'!$B$6:$D$125,3,FALSE())</f>
        <v>45–64</v>
      </c>
    </row>
    <row r="310" spans="2:17" x14ac:dyDescent="0.2">
      <c r="B310">
        <v>3062</v>
      </c>
      <c r="C310">
        <v>4</v>
      </c>
      <c r="D310" t="s">
        <v>66</v>
      </c>
      <c r="E310">
        <v>0.31</v>
      </c>
      <c r="F310">
        <v>200</v>
      </c>
      <c r="G310">
        <v>3</v>
      </c>
      <c r="H310">
        <v>1</v>
      </c>
      <c r="I310">
        <v>0</v>
      </c>
      <c r="J310">
        <v>65.599999999999994</v>
      </c>
      <c r="K310">
        <v>10.8</v>
      </c>
      <c r="L310">
        <v>0.6</v>
      </c>
      <c r="M310" t="s">
        <v>36</v>
      </c>
      <c r="N310">
        <v>280</v>
      </c>
      <c r="P310" t="s">
        <v>61</v>
      </c>
      <c r="Q310" t="str">
        <f>VLOOKUP(B310,'Player Register'!$B$6:$D$125,3,FALSE())</f>
        <v>45–64</v>
      </c>
    </row>
    <row r="311" spans="2:17" x14ac:dyDescent="0.2">
      <c r="B311">
        <v>3062</v>
      </c>
      <c r="C311">
        <v>5</v>
      </c>
      <c r="D311" t="s">
        <v>79</v>
      </c>
      <c r="E311">
        <v>0.35</v>
      </c>
      <c r="F311">
        <v>200</v>
      </c>
      <c r="G311">
        <v>8</v>
      </c>
      <c r="H311">
        <v>3</v>
      </c>
      <c r="I311">
        <v>0</v>
      </c>
      <c r="J311">
        <v>39</v>
      </c>
      <c r="K311">
        <v>10.8</v>
      </c>
      <c r="L311">
        <v>0.45</v>
      </c>
      <c r="M311" t="s">
        <v>36</v>
      </c>
      <c r="N311">
        <v>330</v>
      </c>
      <c r="P311" t="s">
        <v>64</v>
      </c>
      <c r="Q311" t="str">
        <f>VLOOKUP(B311,'Player Register'!$B$6:$D$125,3,FALSE())</f>
        <v>45–64</v>
      </c>
    </row>
    <row r="312" spans="2:17" x14ac:dyDescent="0.2">
      <c r="B312">
        <v>3063</v>
      </c>
      <c r="C312">
        <v>1</v>
      </c>
      <c r="D312" t="s">
        <v>83</v>
      </c>
      <c r="E312">
        <v>0.31</v>
      </c>
      <c r="F312">
        <v>200</v>
      </c>
      <c r="G312">
        <v>6</v>
      </c>
      <c r="H312">
        <v>1</v>
      </c>
      <c r="I312">
        <v>0</v>
      </c>
      <c r="J312">
        <v>69.599999999999994</v>
      </c>
      <c r="K312">
        <v>10.8</v>
      </c>
      <c r="L312">
        <v>0.6</v>
      </c>
      <c r="M312" t="s">
        <v>36</v>
      </c>
      <c r="N312">
        <v>310</v>
      </c>
      <c r="P312" t="s">
        <v>61</v>
      </c>
      <c r="Q312" t="str">
        <f>VLOOKUP(B312,'Player Register'!$B$6:$D$125,3,FALSE())</f>
        <v>45–64</v>
      </c>
    </row>
    <row r="313" spans="2:17" x14ac:dyDescent="0.2">
      <c r="B313">
        <v>3063</v>
      </c>
      <c r="C313">
        <v>2</v>
      </c>
      <c r="D313" t="s">
        <v>67</v>
      </c>
      <c r="E313">
        <v>0.35</v>
      </c>
      <c r="F313">
        <v>200</v>
      </c>
      <c r="G313">
        <v>4</v>
      </c>
      <c r="H313">
        <v>2</v>
      </c>
      <c r="I313">
        <v>0</v>
      </c>
      <c r="J313">
        <v>51</v>
      </c>
      <c r="K313">
        <v>10.8</v>
      </c>
      <c r="L313">
        <v>0.45</v>
      </c>
      <c r="M313" t="s">
        <v>36</v>
      </c>
      <c r="N313">
        <v>290</v>
      </c>
      <c r="P313" t="s">
        <v>59</v>
      </c>
      <c r="Q313" t="str">
        <f>VLOOKUP(B313,'Player Register'!$B$6:$D$125,3,FALSE())</f>
        <v>45–64</v>
      </c>
    </row>
    <row r="314" spans="2:17" x14ac:dyDescent="0.2">
      <c r="B314">
        <v>3063</v>
      </c>
      <c r="C314">
        <v>3</v>
      </c>
      <c r="D314" t="s">
        <v>58</v>
      </c>
      <c r="E314">
        <v>0.31</v>
      </c>
      <c r="F314">
        <v>200</v>
      </c>
      <c r="G314">
        <v>7</v>
      </c>
      <c r="H314">
        <v>2</v>
      </c>
      <c r="I314">
        <v>0</v>
      </c>
      <c r="J314">
        <v>57.2</v>
      </c>
      <c r="K314">
        <v>10.8</v>
      </c>
      <c r="L314">
        <v>0.6</v>
      </c>
      <c r="M314" t="s">
        <v>36</v>
      </c>
      <c r="N314">
        <v>320</v>
      </c>
      <c r="P314" t="s">
        <v>59</v>
      </c>
      <c r="Q314" t="str">
        <f>VLOOKUP(B314,'Player Register'!$B$6:$D$125,3,FALSE())</f>
        <v>45–64</v>
      </c>
    </row>
    <row r="315" spans="2:17" x14ac:dyDescent="0.2">
      <c r="B315">
        <v>3063</v>
      </c>
      <c r="C315">
        <v>4</v>
      </c>
      <c r="D315" t="s">
        <v>60</v>
      </c>
      <c r="E315">
        <v>0.31</v>
      </c>
      <c r="F315">
        <v>200</v>
      </c>
      <c r="G315">
        <v>7</v>
      </c>
      <c r="H315">
        <v>2</v>
      </c>
      <c r="I315">
        <v>0</v>
      </c>
      <c r="J315">
        <v>61.9</v>
      </c>
      <c r="K315">
        <v>10.8</v>
      </c>
      <c r="L315">
        <v>0.6</v>
      </c>
      <c r="M315" t="s">
        <v>36</v>
      </c>
      <c r="N315">
        <v>320</v>
      </c>
      <c r="P315" t="s">
        <v>59</v>
      </c>
      <c r="Q315" t="str">
        <f>VLOOKUP(B315,'Player Register'!$B$6:$D$125,3,FALSE())</f>
        <v>45–64</v>
      </c>
    </row>
    <row r="316" spans="2:17" x14ac:dyDescent="0.2">
      <c r="B316">
        <v>3063</v>
      </c>
      <c r="C316">
        <v>6</v>
      </c>
      <c r="D316" t="s">
        <v>92</v>
      </c>
      <c r="E316">
        <v>0.31</v>
      </c>
      <c r="F316">
        <v>200</v>
      </c>
      <c r="G316">
        <v>4</v>
      </c>
      <c r="H316">
        <v>1</v>
      </c>
      <c r="I316">
        <v>0</v>
      </c>
      <c r="J316">
        <v>45.2</v>
      </c>
      <c r="K316">
        <v>10.8</v>
      </c>
      <c r="L316">
        <v>0.6</v>
      </c>
      <c r="M316" t="s">
        <v>36</v>
      </c>
      <c r="N316">
        <v>290</v>
      </c>
      <c r="P316" t="s">
        <v>61</v>
      </c>
      <c r="Q316" t="str">
        <f>VLOOKUP(B316,'Player Register'!$B$6:$D$125,3,FALSE())</f>
        <v>45–64</v>
      </c>
    </row>
    <row r="317" spans="2:17" x14ac:dyDescent="0.2">
      <c r="B317">
        <v>3063</v>
      </c>
      <c r="C317">
        <v>7</v>
      </c>
      <c r="D317" t="s">
        <v>95</v>
      </c>
      <c r="E317">
        <v>0.31</v>
      </c>
      <c r="F317">
        <v>201</v>
      </c>
      <c r="G317">
        <v>9</v>
      </c>
      <c r="H317">
        <v>1</v>
      </c>
      <c r="I317">
        <v>0</v>
      </c>
      <c r="J317">
        <v>49</v>
      </c>
      <c r="K317">
        <v>12.6</v>
      </c>
      <c r="L317">
        <v>0.7</v>
      </c>
      <c r="M317" t="s">
        <v>36</v>
      </c>
      <c r="N317">
        <v>341</v>
      </c>
      <c r="P317" t="s">
        <v>61</v>
      </c>
      <c r="Q317" t="str">
        <f>VLOOKUP(B317,'Player Register'!$B$6:$D$125,3,FALSE())</f>
        <v>45–64</v>
      </c>
    </row>
    <row r="318" spans="2:17" x14ac:dyDescent="0.2">
      <c r="B318">
        <v>3064</v>
      </c>
      <c r="C318">
        <v>1</v>
      </c>
      <c r="D318" t="s">
        <v>88</v>
      </c>
      <c r="E318">
        <v>0.28999999999999998</v>
      </c>
      <c r="F318">
        <v>200</v>
      </c>
      <c r="G318">
        <v>12</v>
      </c>
      <c r="H318">
        <v>1</v>
      </c>
      <c r="I318">
        <v>0</v>
      </c>
      <c r="J318">
        <v>59.4</v>
      </c>
      <c r="K318">
        <v>12.6</v>
      </c>
      <c r="L318">
        <v>0.7</v>
      </c>
      <c r="M318" t="s">
        <v>36</v>
      </c>
      <c r="N318">
        <v>370</v>
      </c>
      <c r="P318" t="s">
        <v>73</v>
      </c>
      <c r="Q318" t="str">
        <f>VLOOKUP(B318,'Player Register'!$B$6:$D$125,3,FALSE())</f>
        <v>45–64</v>
      </c>
    </row>
    <row r="319" spans="2:17" x14ac:dyDescent="0.2">
      <c r="B319">
        <v>3064</v>
      </c>
      <c r="C319">
        <v>2</v>
      </c>
      <c r="D319" t="s">
        <v>89</v>
      </c>
      <c r="E319">
        <v>0.31</v>
      </c>
      <c r="F319">
        <v>200</v>
      </c>
      <c r="G319">
        <v>6</v>
      </c>
      <c r="H319">
        <v>2</v>
      </c>
      <c r="I319">
        <v>0</v>
      </c>
      <c r="J319">
        <v>54.6</v>
      </c>
      <c r="K319">
        <v>10.8</v>
      </c>
      <c r="L319">
        <v>0.6</v>
      </c>
      <c r="M319" t="s">
        <v>36</v>
      </c>
      <c r="N319">
        <v>310</v>
      </c>
      <c r="P319" t="s">
        <v>59</v>
      </c>
      <c r="Q319" t="str">
        <f>VLOOKUP(B319,'Player Register'!$B$6:$D$125,3,FALSE())</f>
        <v>45–64</v>
      </c>
    </row>
    <row r="320" spans="2:17" x14ac:dyDescent="0.2">
      <c r="B320">
        <v>3064</v>
      </c>
      <c r="C320">
        <v>3</v>
      </c>
      <c r="D320" t="s">
        <v>82</v>
      </c>
      <c r="E320">
        <v>0.31</v>
      </c>
      <c r="F320">
        <v>200</v>
      </c>
      <c r="G320">
        <v>9</v>
      </c>
      <c r="H320">
        <v>1</v>
      </c>
      <c r="I320">
        <v>0</v>
      </c>
      <c r="J320">
        <v>42.6</v>
      </c>
      <c r="K320">
        <v>10.8</v>
      </c>
      <c r="L320">
        <v>0.6</v>
      </c>
      <c r="M320" t="s">
        <v>36</v>
      </c>
      <c r="N320">
        <v>340</v>
      </c>
      <c r="P320" t="s">
        <v>61</v>
      </c>
      <c r="Q320" t="str">
        <f>VLOOKUP(B320,'Player Register'!$B$6:$D$125,3,FALSE())</f>
        <v>45–64</v>
      </c>
    </row>
    <row r="321" spans="2:17" x14ac:dyDescent="0.2">
      <c r="B321">
        <v>3064</v>
      </c>
      <c r="C321">
        <v>4</v>
      </c>
      <c r="D321" t="s">
        <v>77</v>
      </c>
      <c r="E321">
        <v>0.28999999999999998</v>
      </c>
      <c r="F321">
        <v>200</v>
      </c>
      <c r="G321">
        <v>5</v>
      </c>
      <c r="H321">
        <v>0</v>
      </c>
      <c r="I321">
        <v>0</v>
      </c>
      <c r="J321">
        <v>71.900000000000006</v>
      </c>
      <c r="K321">
        <v>12.6</v>
      </c>
      <c r="L321">
        <v>0.7</v>
      </c>
      <c r="M321" t="s">
        <v>36</v>
      </c>
      <c r="N321">
        <v>300</v>
      </c>
      <c r="P321" t="s">
        <v>68</v>
      </c>
      <c r="Q321" t="str">
        <f>VLOOKUP(B321,'Player Register'!$B$6:$D$125,3,FALSE())</f>
        <v>45–64</v>
      </c>
    </row>
    <row r="322" spans="2:17" x14ac:dyDescent="0.2">
      <c r="B322">
        <v>3064</v>
      </c>
      <c r="C322">
        <v>5</v>
      </c>
      <c r="D322" t="s">
        <v>78</v>
      </c>
      <c r="E322">
        <v>0.31</v>
      </c>
      <c r="F322">
        <v>200</v>
      </c>
      <c r="G322">
        <v>13</v>
      </c>
      <c r="H322">
        <v>2</v>
      </c>
      <c r="I322">
        <v>0</v>
      </c>
      <c r="J322">
        <v>61</v>
      </c>
      <c r="K322">
        <v>10.8</v>
      </c>
      <c r="L322">
        <v>0.6</v>
      </c>
      <c r="M322" t="s">
        <v>36</v>
      </c>
      <c r="N322">
        <v>380</v>
      </c>
      <c r="P322" t="s">
        <v>59</v>
      </c>
      <c r="Q322" t="str">
        <f>VLOOKUP(B322,'Player Register'!$B$6:$D$125,3,FALSE())</f>
        <v>45–64</v>
      </c>
    </row>
    <row r="323" spans="2:17" x14ac:dyDescent="0.2">
      <c r="B323">
        <v>3065</v>
      </c>
      <c r="C323">
        <v>1</v>
      </c>
      <c r="D323" t="s">
        <v>76</v>
      </c>
      <c r="E323">
        <v>0.35</v>
      </c>
      <c r="F323">
        <v>200</v>
      </c>
      <c r="G323">
        <v>4</v>
      </c>
      <c r="H323">
        <v>2</v>
      </c>
      <c r="I323">
        <v>0</v>
      </c>
      <c r="J323">
        <v>49.9</v>
      </c>
      <c r="K323">
        <v>10.8</v>
      </c>
      <c r="L323">
        <v>0.45</v>
      </c>
      <c r="M323" t="s">
        <v>36</v>
      </c>
      <c r="N323">
        <v>290</v>
      </c>
      <c r="P323" t="s">
        <v>59</v>
      </c>
      <c r="Q323" t="str">
        <f>VLOOKUP(B323,'Player Register'!$B$6:$D$125,3,FALSE())</f>
        <v>45–64</v>
      </c>
    </row>
    <row r="324" spans="2:17" x14ac:dyDescent="0.2">
      <c r="B324">
        <v>3066</v>
      </c>
      <c r="C324">
        <v>1</v>
      </c>
      <c r="D324" t="s">
        <v>66</v>
      </c>
      <c r="E324">
        <v>0.34</v>
      </c>
      <c r="F324">
        <v>200</v>
      </c>
      <c r="G324">
        <v>7</v>
      </c>
      <c r="H324">
        <v>3</v>
      </c>
      <c r="I324">
        <v>0</v>
      </c>
      <c r="J324">
        <v>46.5</v>
      </c>
      <c r="K324">
        <v>10.8</v>
      </c>
      <c r="L324">
        <v>0.55000000000000004</v>
      </c>
      <c r="M324" t="s">
        <v>36</v>
      </c>
      <c r="N324">
        <v>320</v>
      </c>
      <c r="P324" t="s">
        <v>64</v>
      </c>
      <c r="Q324" t="str">
        <f>VLOOKUP(B324,'Player Register'!$B$6:$D$125,3,FALSE())</f>
        <v>45–64</v>
      </c>
    </row>
    <row r="325" spans="2:17" x14ac:dyDescent="0.2">
      <c r="B325">
        <v>3066</v>
      </c>
      <c r="C325">
        <v>2</v>
      </c>
      <c r="D325" t="s">
        <v>83</v>
      </c>
      <c r="E325">
        <v>0.31</v>
      </c>
      <c r="F325">
        <v>200</v>
      </c>
      <c r="G325">
        <v>8</v>
      </c>
      <c r="H325">
        <v>2</v>
      </c>
      <c r="I325">
        <v>0</v>
      </c>
      <c r="J325">
        <v>37.700000000000003</v>
      </c>
      <c r="K325">
        <v>10.8</v>
      </c>
      <c r="L325">
        <v>0.6</v>
      </c>
      <c r="M325" t="s">
        <v>36</v>
      </c>
      <c r="N325">
        <v>330</v>
      </c>
      <c r="P325" t="s">
        <v>59</v>
      </c>
      <c r="Q325" t="str">
        <f>VLOOKUP(B325,'Player Register'!$B$6:$D$125,3,FALSE())</f>
        <v>45–64</v>
      </c>
    </row>
    <row r="326" spans="2:17" x14ac:dyDescent="0.2">
      <c r="B326">
        <v>3066</v>
      </c>
      <c r="C326">
        <v>3</v>
      </c>
      <c r="D326" t="s">
        <v>67</v>
      </c>
      <c r="E326">
        <v>0.28999999999999998</v>
      </c>
      <c r="F326">
        <v>200</v>
      </c>
      <c r="G326">
        <v>4</v>
      </c>
      <c r="H326">
        <v>1</v>
      </c>
      <c r="I326">
        <v>0</v>
      </c>
      <c r="J326">
        <v>51</v>
      </c>
      <c r="K326">
        <v>12.6</v>
      </c>
      <c r="L326">
        <v>0.7</v>
      </c>
      <c r="M326" t="s">
        <v>36</v>
      </c>
      <c r="N326">
        <v>290</v>
      </c>
      <c r="P326" t="s">
        <v>73</v>
      </c>
      <c r="Q326" t="str">
        <f>VLOOKUP(B326,'Player Register'!$B$6:$D$125,3,FALSE())</f>
        <v>45–64</v>
      </c>
    </row>
    <row r="327" spans="2:17" x14ac:dyDescent="0.2">
      <c r="B327">
        <v>3066</v>
      </c>
      <c r="C327">
        <v>4</v>
      </c>
      <c r="D327" t="s">
        <v>69</v>
      </c>
      <c r="E327">
        <v>0.31</v>
      </c>
      <c r="F327">
        <v>200</v>
      </c>
      <c r="G327">
        <v>8</v>
      </c>
      <c r="H327">
        <v>2</v>
      </c>
      <c r="I327">
        <v>0</v>
      </c>
      <c r="J327">
        <v>50</v>
      </c>
      <c r="K327">
        <v>10.8</v>
      </c>
      <c r="L327">
        <v>0.6</v>
      </c>
      <c r="M327" t="s">
        <v>36</v>
      </c>
      <c r="N327">
        <v>330</v>
      </c>
      <c r="P327" t="s">
        <v>59</v>
      </c>
      <c r="Q327" t="str">
        <f>VLOOKUP(B327,'Player Register'!$B$6:$D$125,3,FALSE())</f>
        <v>45–64</v>
      </c>
    </row>
    <row r="328" spans="2:17" x14ac:dyDescent="0.2">
      <c r="B328">
        <v>3066</v>
      </c>
      <c r="C328">
        <v>5</v>
      </c>
      <c r="D328" t="s">
        <v>60</v>
      </c>
      <c r="E328">
        <v>0.34</v>
      </c>
      <c r="F328">
        <v>200</v>
      </c>
      <c r="G328">
        <v>6</v>
      </c>
      <c r="H328">
        <v>2</v>
      </c>
      <c r="I328">
        <v>0</v>
      </c>
      <c r="J328">
        <v>55.1</v>
      </c>
      <c r="K328">
        <v>10.8</v>
      </c>
      <c r="L328">
        <v>0.55000000000000004</v>
      </c>
      <c r="M328" t="s">
        <v>36</v>
      </c>
      <c r="N328">
        <v>310</v>
      </c>
      <c r="P328" t="s">
        <v>59</v>
      </c>
      <c r="Q328" t="str">
        <f>VLOOKUP(B328,'Player Register'!$B$6:$D$125,3,FALSE())</f>
        <v>45–64</v>
      </c>
    </row>
    <row r="329" spans="2:17" x14ac:dyDescent="0.2">
      <c r="B329">
        <v>3067</v>
      </c>
      <c r="C329">
        <v>1</v>
      </c>
      <c r="D329" t="s">
        <v>77</v>
      </c>
      <c r="E329">
        <v>0.35</v>
      </c>
      <c r="F329">
        <v>200</v>
      </c>
      <c r="G329">
        <v>5</v>
      </c>
      <c r="H329">
        <v>2</v>
      </c>
      <c r="I329">
        <v>0</v>
      </c>
      <c r="J329">
        <v>53.3</v>
      </c>
      <c r="K329">
        <v>10.8</v>
      </c>
      <c r="L329">
        <v>0.45</v>
      </c>
      <c r="M329" t="s">
        <v>36</v>
      </c>
      <c r="N329">
        <v>300</v>
      </c>
      <c r="P329" t="s">
        <v>59</v>
      </c>
      <c r="Q329" t="str">
        <f>VLOOKUP(B329,'Player Register'!$B$6:$D$125,3,FALSE())</f>
        <v>45–64</v>
      </c>
    </row>
    <row r="330" spans="2:17" x14ac:dyDescent="0.2">
      <c r="B330">
        <v>3067</v>
      </c>
      <c r="C330">
        <v>2</v>
      </c>
      <c r="D330" t="s">
        <v>83</v>
      </c>
      <c r="E330">
        <v>0.31</v>
      </c>
      <c r="F330">
        <v>200</v>
      </c>
      <c r="G330">
        <v>9</v>
      </c>
      <c r="H330">
        <v>1</v>
      </c>
      <c r="I330">
        <v>0</v>
      </c>
      <c r="J330">
        <v>54.6</v>
      </c>
      <c r="K330">
        <v>10.8</v>
      </c>
      <c r="L330">
        <v>0.6</v>
      </c>
      <c r="M330" t="s">
        <v>36</v>
      </c>
      <c r="N330">
        <v>340</v>
      </c>
      <c r="P330" t="s">
        <v>61</v>
      </c>
      <c r="Q330" t="str">
        <f>VLOOKUP(B330,'Player Register'!$B$6:$D$125,3,FALSE())</f>
        <v>45–64</v>
      </c>
    </row>
    <row r="331" spans="2:17" x14ac:dyDescent="0.2">
      <c r="B331">
        <v>3067</v>
      </c>
      <c r="C331">
        <v>3</v>
      </c>
      <c r="D331" t="s">
        <v>67</v>
      </c>
      <c r="E331">
        <v>0.31</v>
      </c>
      <c r="F331">
        <v>200</v>
      </c>
      <c r="G331">
        <v>4</v>
      </c>
      <c r="H331">
        <v>2</v>
      </c>
      <c r="I331">
        <v>0</v>
      </c>
      <c r="J331">
        <v>43.5</v>
      </c>
      <c r="K331">
        <v>10.8</v>
      </c>
      <c r="L331">
        <v>0.6</v>
      </c>
      <c r="M331" t="s">
        <v>36</v>
      </c>
      <c r="N331">
        <v>290</v>
      </c>
      <c r="P331" t="s">
        <v>59</v>
      </c>
      <c r="Q331" t="str">
        <f>VLOOKUP(B331,'Player Register'!$B$6:$D$125,3,FALSE())</f>
        <v>45–64</v>
      </c>
    </row>
    <row r="332" spans="2:17" x14ac:dyDescent="0.2">
      <c r="B332">
        <v>3067</v>
      </c>
      <c r="C332">
        <v>4</v>
      </c>
      <c r="D332" t="s">
        <v>69</v>
      </c>
      <c r="E332">
        <v>0.31</v>
      </c>
      <c r="F332">
        <v>200</v>
      </c>
      <c r="G332">
        <v>6</v>
      </c>
      <c r="H332">
        <v>1</v>
      </c>
      <c r="I332">
        <v>0</v>
      </c>
      <c r="J332">
        <v>56.2</v>
      </c>
      <c r="K332">
        <v>10.8</v>
      </c>
      <c r="L332">
        <v>0.6</v>
      </c>
      <c r="M332" t="s">
        <v>36</v>
      </c>
      <c r="N332">
        <v>310</v>
      </c>
      <c r="P332" t="s">
        <v>61</v>
      </c>
      <c r="Q332" t="str">
        <f>VLOOKUP(B332,'Player Register'!$B$6:$D$125,3,FALSE())</f>
        <v>45–64</v>
      </c>
    </row>
    <row r="333" spans="2:17" x14ac:dyDescent="0.2">
      <c r="B333">
        <v>3067</v>
      </c>
      <c r="C333">
        <v>5</v>
      </c>
      <c r="D333" t="s">
        <v>58</v>
      </c>
      <c r="E333">
        <v>0.28999999999999998</v>
      </c>
      <c r="F333">
        <v>200</v>
      </c>
      <c r="G333">
        <v>2</v>
      </c>
      <c r="H333">
        <v>2</v>
      </c>
      <c r="I333">
        <v>0</v>
      </c>
      <c r="J333">
        <v>54.6</v>
      </c>
      <c r="K333">
        <v>12.6</v>
      </c>
      <c r="L333">
        <v>0.7</v>
      </c>
      <c r="M333" t="s">
        <v>36</v>
      </c>
      <c r="N333">
        <v>270</v>
      </c>
      <c r="P333" t="s">
        <v>61</v>
      </c>
      <c r="Q333" t="str">
        <f>VLOOKUP(B333,'Player Register'!$B$6:$D$125,3,FALSE())</f>
        <v>45–64</v>
      </c>
    </row>
    <row r="334" spans="2:17" x14ac:dyDescent="0.2">
      <c r="B334">
        <v>3068</v>
      </c>
      <c r="C334">
        <v>1</v>
      </c>
      <c r="D334" t="s">
        <v>71</v>
      </c>
      <c r="E334">
        <v>0.31</v>
      </c>
      <c r="F334">
        <v>201</v>
      </c>
      <c r="G334">
        <v>9</v>
      </c>
      <c r="H334">
        <v>1</v>
      </c>
      <c r="I334">
        <v>0</v>
      </c>
      <c r="J334">
        <v>53</v>
      </c>
      <c r="K334">
        <v>12.6</v>
      </c>
      <c r="L334">
        <v>0.7</v>
      </c>
      <c r="M334" t="s">
        <v>36</v>
      </c>
      <c r="N334">
        <v>341</v>
      </c>
      <c r="P334" t="s">
        <v>61</v>
      </c>
      <c r="Q334" t="str">
        <f>VLOOKUP(B334,'Player Register'!$B$6:$D$125,3,FALSE())</f>
        <v>45–64</v>
      </c>
    </row>
    <row r="335" spans="2:17" x14ac:dyDescent="0.2">
      <c r="B335">
        <v>3068</v>
      </c>
      <c r="C335">
        <v>2</v>
      </c>
      <c r="D335" t="s">
        <v>72</v>
      </c>
      <c r="E335">
        <v>0.31</v>
      </c>
      <c r="F335">
        <v>201</v>
      </c>
      <c r="G335">
        <v>12</v>
      </c>
      <c r="H335">
        <v>2</v>
      </c>
      <c r="I335">
        <v>0</v>
      </c>
      <c r="J335">
        <v>57.6</v>
      </c>
      <c r="K335">
        <v>12.6</v>
      </c>
      <c r="L335">
        <v>0.7</v>
      </c>
      <c r="M335" t="s">
        <v>36</v>
      </c>
      <c r="N335">
        <v>371</v>
      </c>
      <c r="P335" t="s">
        <v>59</v>
      </c>
      <c r="Q335" t="str">
        <f>VLOOKUP(B335,'Player Register'!$B$6:$D$125,3,FALSE())</f>
        <v>45–64</v>
      </c>
    </row>
    <row r="336" spans="2:17" x14ac:dyDescent="0.2">
      <c r="B336">
        <v>3068</v>
      </c>
      <c r="C336">
        <v>3</v>
      </c>
      <c r="D336" t="s">
        <v>91</v>
      </c>
      <c r="E336">
        <v>0.28999999999999998</v>
      </c>
      <c r="F336">
        <v>200</v>
      </c>
      <c r="G336">
        <v>6</v>
      </c>
      <c r="H336">
        <v>1</v>
      </c>
      <c r="I336">
        <v>0</v>
      </c>
      <c r="J336">
        <v>76.599999999999994</v>
      </c>
      <c r="K336">
        <v>12.6</v>
      </c>
      <c r="L336">
        <v>0.7</v>
      </c>
      <c r="M336" t="s">
        <v>36</v>
      </c>
      <c r="N336">
        <v>310</v>
      </c>
      <c r="P336" t="s">
        <v>73</v>
      </c>
      <c r="Q336" t="str">
        <f>VLOOKUP(B336,'Player Register'!$B$6:$D$125,3,FALSE())</f>
        <v>45–64</v>
      </c>
    </row>
    <row r="337" spans="2:17" x14ac:dyDescent="0.2">
      <c r="B337">
        <v>3068</v>
      </c>
      <c r="C337">
        <v>4</v>
      </c>
      <c r="D337" t="s">
        <v>86</v>
      </c>
      <c r="E337">
        <v>0.31</v>
      </c>
      <c r="F337">
        <v>201</v>
      </c>
      <c r="G337">
        <v>9</v>
      </c>
      <c r="H337">
        <v>2</v>
      </c>
      <c r="I337">
        <v>0</v>
      </c>
      <c r="J337">
        <v>59.2</v>
      </c>
      <c r="K337">
        <v>12.6</v>
      </c>
      <c r="L337">
        <v>0.7</v>
      </c>
      <c r="M337" t="s">
        <v>36</v>
      </c>
      <c r="N337">
        <v>341</v>
      </c>
      <c r="P337" t="s">
        <v>59</v>
      </c>
      <c r="Q337" t="str">
        <f>VLOOKUP(B337,'Player Register'!$B$6:$D$125,3,FALSE())</f>
        <v>45–64</v>
      </c>
    </row>
    <row r="338" spans="2:17" x14ac:dyDescent="0.2">
      <c r="B338">
        <v>3068</v>
      </c>
      <c r="C338">
        <v>5</v>
      </c>
      <c r="D338" t="s">
        <v>75</v>
      </c>
      <c r="E338">
        <v>0.28999999999999998</v>
      </c>
      <c r="F338">
        <v>200</v>
      </c>
      <c r="G338">
        <v>7</v>
      </c>
      <c r="H338">
        <v>1</v>
      </c>
      <c r="I338">
        <v>0</v>
      </c>
      <c r="J338">
        <v>75.5</v>
      </c>
      <c r="K338">
        <v>12.6</v>
      </c>
      <c r="L338">
        <v>0.7</v>
      </c>
      <c r="M338" t="s">
        <v>36</v>
      </c>
      <c r="N338">
        <v>320</v>
      </c>
      <c r="P338" t="s">
        <v>73</v>
      </c>
      <c r="Q338" t="str">
        <f>VLOOKUP(B338,'Player Register'!$B$6:$D$125,3,FALSE())</f>
        <v>45–64</v>
      </c>
    </row>
    <row r="339" spans="2:17" x14ac:dyDescent="0.2">
      <c r="B339">
        <v>3069</v>
      </c>
      <c r="C339">
        <v>1</v>
      </c>
      <c r="D339" t="s">
        <v>67</v>
      </c>
      <c r="E339">
        <v>0.31</v>
      </c>
      <c r="F339">
        <v>201</v>
      </c>
      <c r="G339">
        <v>8</v>
      </c>
      <c r="H339">
        <v>1</v>
      </c>
      <c r="I339">
        <v>0</v>
      </c>
      <c r="J339">
        <v>62</v>
      </c>
      <c r="K339">
        <v>12.6</v>
      </c>
      <c r="L339">
        <v>0.7</v>
      </c>
      <c r="M339" t="s">
        <v>36</v>
      </c>
      <c r="N339">
        <v>331</v>
      </c>
      <c r="P339" t="s">
        <v>61</v>
      </c>
      <c r="Q339" t="str">
        <f>VLOOKUP(B339,'Player Register'!$B$6:$D$125,3,FALSE())</f>
        <v>45–64</v>
      </c>
    </row>
    <row r="340" spans="2:17" x14ac:dyDescent="0.2">
      <c r="B340">
        <v>3069</v>
      </c>
      <c r="C340">
        <v>2</v>
      </c>
      <c r="D340" t="s">
        <v>60</v>
      </c>
      <c r="E340">
        <v>0.31</v>
      </c>
      <c r="F340">
        <v>200</v>
      </c>
      <c r="G340">
        <v>8</v>
      </c>
      <c r="H340">
        <v>2</v>
      </c>
      <c r="I340">
        <v>0</v>
      </c>
      <c r="J340">
        <v>56.4</v>
      </c>
      <c r="K340">
        <v>10.8</v>
      </c>
      <c r="L340">
        <v>0.6</v>
      </c>
      <c r="M340" t="s">
        <v>36</v>
      </c>
      <c r="N340">
        <v>330</v>
      </c>
      <c r="P340" t="s">
        <v>59</v>
      </c>
      <c r="Q340" t="str">
        <f>VLOOKUP(B340,'Player Register'!$B$6:$D$125,3,FALSE())</f>
        <v>45–64</v>
      </c>
    </row>
    <row r="341" spans="2:17" x14ac:dyDescent="0.2">
      <c r="B341">
        <v>3069</v>
      </c>
      <c r="C341">
        <v>3</v>
      </c>
      <c r="D341" t="s">
        <v>84</v>
      </c>
      <c r="E341">
        <v>0.28999999999999998</v>
      </c>
      <c r="F341">
        <v>200</v>
      </c>
      <c r="G341">
        <v>3</v>
      </c>
      <c r="H341">
        <v>1</v>
      </c>
      <c r="I341">
        <v>0</v>
      </c>
      <c r="J341">
        <v>72.5</v>
      </c>
      <c r="K341">
        <v>12.6</v>
      </c>
      <c r="L341">
        <v>0.7</v>
      </c>
      <c r="M341" t="s">
        <v>36</v>
      </c>
      <c r="N341">
        <v>280</v>
      </c>
      <c r="P341" t="s">
        <v>73</v>
      </c>
      <c r="Q341" t="str">
        <f>VLOOKUP(B341,'Player Register'!$B$6:$D$125,3,FALSE())</f>
        <v>45–64</v>
      </c>
    </row>
    <row r="342" spans="2:17" x14ac:dyDescent="0.2">
      <c r="B342">
        <v>3069</v>
      </c>
      <c r="C342">
        <v>4</v>
      </c>
      <c r="D342" t="s">
        <v>63</v>
      </c>
      <c r="E342">
        <v>0.31</v>
      </c>
      <c r="F342">
        <v>200</v>
      </c>
      <c r="G342">
        <v>5</v>
      </c>
      <c r="H342">
        <v>1</v>
      </c>
      <c r="I342">
        <v>0</v>
      </c>
      <c r="J342">
        <v>54.9</v>
      </c>
      <c r="K342">
        <v>10.8</v>
      </c>
      <c r="L342">
        <v>0.6</v>
      </c>
      <c r="M342" t="s">
        <v>36</v>
      </c>
      <c r="N342">
        <v>300</v>
      </c>
      <c r="P342" t="s">
        <v>61</v>
      </c>
      <c r="Q342" t="str">
        <f>VLOOKUP(B342,'Player Register'!$B$6:$D$125,3,FALSE())</f>
        <v>45–64</v>
      </c>
    </row>
    <row r="343" spans="2:17" x14ac:dyDescent="0.2">
      <c r="B343">
        <v>3069</v>
      </c>
      <c r="C343">
        <v>5</v>
      </c>
      <c r="D343" t="s">
        <v>85</v>
      </c>
      <c r="E343">
        <v>0.31</v>
      </c>
      <c r="F343">
        <v>201</v>
      </c>
      <c r="G343">
        <v>6</v>
      </c>
      <c r="H343">
        <v>0</v>
      </c>
      <c r="I343">
        <v>0</v>
      </c>
      <c r="J343">
        <v>57.3</v>
      </c>
      <c r="K343">
        <v>12.6</v>
      </c>
      <c r="L343">
        <v>0.7</v>
      </c>
      <c r="M343" t="s">
        <v>36</v>
      </c>
      <c r="N343">
        <v>311</v>
      </c>
      <c r="P343" t="s">
        <v>73</v>
      </c>
      <c r="Q343" t="str">
        <f>VLOOKUP(B343,'Player Register'!$B$6:$D$125,3,FALSE())</f>
        <v>45–64</v>
      </c>
    </row>
    <row r="344" spans="2:17" x14ac:dyDescent="0.2">
      <c r="B344">
        <v>3070</v>
      </c>
      <c r="C344">
        <v>1</v>
      </c>
      <c r="D344" t="s">
        <v>81</v>
      </c>
      <c r="E344">
        <v>0.31</v>
      </c>
      <c r="F344">
        <v>200</v>
      </c>
      <c r="G344">
        <v>7</v>
      </c>
      <c r="H344">
        <v>2</v>
      </c>
      <c r="I344">
        <v>0</v>
      </c>
      <c r="J344">
        <v>58.3</v>
      </c>
      <c r="K344">
        <v>10.8</v>
      </c>
      <c r="L344">
        <v>0.6</v>
      </c>
      <c r="M344" t="s">
        <v>36</v>
      </c>
      <c r="N344">
        <v>320</v>
      </c>
      <c r="P344" t="s">
        <v>59</v>
      </c>
      <c r="Q344" t="str">
        <f>VLOOKUP(B344,'Player Register'!$B$6:$D$125,3,FALSE())</f>
        <v>45–64</v>
      </c>
    </row>
    <row r="345" spans="2:17" x14ac:dyDescent="0.2">
      <c r="B345">
        <v>3070</v>
      </c>
      <c r="C345">
        <v>2</v>
      </c>
      <c r="D345" t="s">
        <v>89</v>
      </c>
      <c r="E345">
        <v>0.31</v>
      </c>
      <c r="F345">
        <v>200</v>
      </c>
      <c r="G345">
        <v>8</v>
      </c>
      <c r="H345">
        <v>2</v>
      </c>
      <c r="I345">
        <v>0</v>
      </c>
      <c r="J345">
        <v>48.1</v>
      </c>
      <c r="K345">
        <v>10.8</v>
      </c>
      <c r="L345">
        <v>0.6</v>
      </c>
      <c r="M345" t="s">
        <v>36</v>
      </c>
      <c r="N345">
        <v>330</v>
      </c>
      <c r="P345" t="s">
        <v>59</v>
      </c>
      <c r="Q345" t="str">
        <f>VLOOKUP(B345,'Player Register'!$B$6:$D$125,3,FALSE())</f>
        <v>45–64</v>
      </c>
    </row>
    <row r="346" spans="2:17" x14ac:dyDescent="0.2">
      <c r="B346">
        <v>3070</v>
      </c>
      <c r="C346">
        <v>3</v>
      </c>
      <c r="D346" t="s">
        <v>82</v>
      </c>
      <c r="E346">
        <v>0.35</v>
      </c>
      <c r="F346">
        <v>200</v>
      </c>
      <c r="G346">
        <v>6</v>
      </c>
      <c r="H346">
        <v>3</v>
      </c>
      <c r="I346">
        <v>0</v>
      </c>
      <c r="J346">
        <v>45.8</v>
      </c>
      <c r="K346">
        <v>10.8</v>
      </c>
      <c r="L346">
        <v>0.45</v>
      </c>
      <c r="M346" t="s">
        <v>36</v>
      </c>
      <c r="N346">
        <v>310</v>
      </c>
      <c r="P346" t="s">
        <v>64</v>
      </c>
      <c r="Q346" t="str">
        <f>VLOOKUP(B346,'Player Register'!$B$6:$D$125,3,FALSE())</f>
        <v>45–64</v>
      </c>
    </row>
    <row r="347" spans="2:17" x14ac:dyDescent="0.2">
      <c r="B347">
        <v>3070</v>
      </c>
      <c r="C347">
        <v>4</v>
      </c>
      <c r="D347" t="s">
        <v>76</v>
      </c>
      <c r="E347">
        <v>0.31</v>
      </c>
      <c r="F347">
        <v>200</v>
      </c>
      <c r="G347">
        <v>5</v>
      </c>
      <c r="H347">
        <v>3</v>
      </c>
      <c r="I347">
        <v>0</v>
      </c>
      <c r="J347">
        <v>64.2</v>
      </c>
      <c r="K347">
        <v>10.8</v>
      </c>
      <c r="L347">
        <v>0.6</v>
      </c>
      <c r="M347" t="s">
        <v>36</v>
      </c>
      <c r="N347">
        <v>300</v>
      </c>
      <c r="P347" t="s">
        <v>64</v>
      </c>
      <c r="Q347" t="str">
        <f>VLOOKUP(B347,'Player Register'!$B$6:$D$125,3,FALSE())</f>
        <v>45–64</v>
      </c>
    </row>
    <row r="348" spans="2:17" x14ac:dyDescent="0.2">
      <c r="B348">
        <v>3070</v>
      </c>
      <c r="C348">
        <v>5</v>
      </c>
      <c r="D348" t="s">
        <v>77</v>
      </c>
      <c r="E348">
        <v>0.31</v>
      </c>
      <c r="F348">
        <v>200</v>
      </c>
      <c r="G348">
        <v>7</v>
      </c>
      <c r="H348">
        <v>3</v>
      </c>
      <c r="I348">
        <v>0</v>
      </c>
      <c r="J348">
        <v>53</v>
      </c>
      <c r="K348">
        <v>10.8</v>
      </c>
      <c r="L348">
        <v>0.45</v>
      </c>
      <c r="M348" t="s">
        <v>36</v>
      </c>
      <c r="N348">
        <v>320</v>
      </c>
      <c r="P348" t="s">
        <v>64</v>
      </c>
      <c r="Q348" t="str">
        <f>VLOOKUP(B348,'Player Register'!$B$6:$D$125,3,FALSE())</f>
        <v>45–64</v>
      </c>
    </row>
    <row r="349" spans="2:17" x14ac:dyDescent="0.2">
      <c r="B349">
        <v>3071</v>
      </c>
      <c r="C349">
        <v>1</v>
      </c>
      <c r="D349" t="s">
        <v>63</v>
      </c>
      <c r="E349">
        <v>0.28999999999999998</v>
      </c>
      <c r="F349">
        <v>200</v>
      </c>
      <c r="G349">
        <v>10</v>
      </c>
      <c r="H349">
        <v>1</v>
      </c>
      <c r="I349">
        <v>0</v>
      </c>
      <c r="J349">
        <v>64.900000000000006</v>
      </c>
      <c r="K349">
        <v>12.6</v>
      </c>
      <c r="L349">
        <v>0.7</v>
      </c>
      <c r="M349" t="s">
        <v>36</v>
      </c>
      <c r="N349">
        <v>350</v>
      </c>
      <c r="P349" t="s">
        <v>73</v>
      </c>
      <c r="Q349" t="str">
        <f>VLOOKUP(B349,'Player Register'!$B$6:$D$125,3,FALSE())</f>
        <v>45–64</v>
      </c>
    </row>
    <row r="350" spans="2:17" x14ac:dyDescent="0.2">
      <c r="B350">
        <v>3071</v>
      </c>
      <c r="C350">
        <v>2</v>
      </c>
      <c r="D350" t="s">
        <v>65</v>
      </c>
      <c r="E350">
        <v>0.28999999999999998</v>
      </c>
      <c r="F350">
        <v>200</v>
      </c>
      <c r="G350">
        <v>15</v>
      </c>
      <c r="H350">
        <v>0</v>
      </c>
      <c r="I350">
        <v>0</v>
      </c>
      <c r="J350">
        <v>73.7</v>
      </c>
      <c r="K350">
        <v>12.6</v>
      </c>
      <c r="L350">
        <v>0.7</v>
      </c>
      <c r="M350" t="s">
        <v>36</v>
      </c>
      <c r="N350">
        <v>400</v>
      </c>
      <c r="P350" t="s">
        <v>68</v>
      </c>
      <c r="Q350" t="str">
        <f>VLOOKUP(B350,'Player Register'!$B$6:$D$125,3,FALSE())</f>
        <v>45–64</v>
      </c>
    </row>
    <row r="351" spans="2:17" x14ac:dyDescent="0.2">
      <c r="B351">
        <v>3071</v>
      </c>
      <c r="C351">
        <v>3</v>
      </c>
      <c r="D351" t="s">
        <v>91</v>
      </c>
      <c r="E351">
        <v>0.31</v>
      </c>
      <c r="F351">
        <v>201</v>
      </c>
      <c r="G351">
        <v>8</v>
      </c>
      <c r="H351">
        <v>0</v>
      </c>
      <c r="I351">
        <v>0</v>
      </c>
      <c r="J351">
        <v>43.1</v>
      </c>
      <c r="K351">
        <v>12.6</v>
      </c>
      <c r="L351">
        <v>0.7</v>
      </c>
      <c r="M351" t="s">
        <v>36</v>
      </c>
      <c r="N351">
        <v>331</v>
      </c>
      <c r="P351" t="s">
        <v>73</v>
      </c>
      <c r="Q351" t="str">
        <f>VLOOKUP(B351,'Player Register'!$B$6:$D$125,3,FALSE())</f>
        <v>45–64</v>
      </c>
    </row>
    <row r="352" spans="2:17" x14ac:dyDescent="0.2">
      <c r="B352">
        <v>3071</v>
      </c>
      <c r="C352">
        <v>4</v>
      </c>
      <c r="D352" t="s">
        <v>74</v>
      </c>
      <c r="E352">
        <v>0.31</v>
      </c>
      <c r="F352">
        <v>201</v>
      </c>
      <c r="G352">
        <v>8</v>
      </c>
      <c r="H352">
        <v>0</v>
      </c>
      <c r="I352">
        <v>0</v>
      </c>
      <c r="J352">
        <v>76.400000000000006</v>
      </c>
      <c r="K352">
        <v>12.6</v>
      </c>
      <c r="L352">
        <v>0.7</v>
      </c>
      <c r="M352" t="s">
        <v>36</v>
      </c>
      <c r="N352">
        <v>331</v>
      </c>
      <c r="P352" t="s">
        <v>73</v>
      </c>
      <c r="Q352" t="str">
        <f>VLOOKUP(B352,'Player Register'!$B$6:$D$125,3,FALSE())</f>
        <v>45–64</v>
      </c>
    </row>
    <row r="353" spans="2:17" x14ac:dyDescent="0.2">
      <c r="B353">
        <v>3071</v>
      </c>
      <c r="C353">
        <v>5</v>
      </c>
      <c r="D353" t="s">
        <v>90</v>
      </c>
      <c r="E353">
        <v>0.28999999999999998</v>
      </c>
      <c r="F353">
        <v>200</v>
      </c>
      <c r="G353">
        <v>10</v>
      </c>
      <c r="H353">
        <v>1</v>
      </c>
      <c r="I353">
        <v>0</v>
      </c>
      <c r="J353">
        <v>66.900000000000006</v>
      </c>
      <c r="K353">
        <v>12.6</v>
      </c>
      <c r="L353">
        <v>0.7</v>
      </c>
      <c r="M353" t="s">
        <v>36</v>
      </c>
      <c r="N353">
        <v>350</v>
      </c>
      <c r="P353" t="s">
        <v>73</v>
      </c>
      <c r="Q353" t="str">
        <f>VLOOKUP(B353,'Player Register'!$B$6:$D$125,3,FALSE())</f>
        <v>45–64</v>
      </c>
    </row>
    <row r="354" spans="2:17" x14ac:dyDescent="0.2">
      <c r="B354">
        <v>3072</v>
      </c>
      <c r="C354">
        <v>1</v>
      </c>
      <c r="D354" t="s">
        <v>89</v>
      </c>
      <c r="E354">
        <v>0.31</v>
      </c>
      <c r="F354">
        <v>200</v>
      </c>
      <c r="G354">
        <v>9</v>
      </c>
      <c r="H354">
        <v>2</v>
      </c>
      <c r="I354">
        <v>0</v>
      </c>
      <c r="J354">
        <v>36</v>
      </c>
      <c r="K354">
        <v>10.8</v>
      </c>
      <c r="L354">
        <v>0.6</v>
      </c>
      <c r="M354" t="s">
        <v>36</v>
      </c>
      <c r="N354">
        <v>340</v>
      </c>
      <c r="P354" t="s">
        <v>59</v>
      </c>
      <c r="Q354" t="str">
        <f>VLOOKUP(B354,'Player Register'!$B$6:$D$125,3,FALSE())</f>
        <v>45–64</v>
      </c>
    </row>
    <row r="355" spans="2:17" x14ac:dyDescent="0.2">
      <c r="B355">
        <v>3072</v>
      </c>
      <c r="C355">
        <v>2</v>
      </c>
      <c r="D355" t="s">
        <v>77</v>
      </c>
      <c r="E355">
        <v>0.35</v>
      </c>
      <c r="F355">
        <v>200</v>
      </c>
      <c r="G355">
        <v>5</v>
      </c>
      <c r="H355">
        <v>2</v>
      </c>
      <c r="I355">
        <v>0</v>
      </c>
      <c r="J355">
        <v>37.1</v>
      </c>
      <c r="K355">
        <v>10.8</v>
      </c>
      <c r="L355">
        <v>0.45</v>
      </c>
      <c r="M355" t="s">
        <v>36</v>
      </c>
      <c r="N355">
        <v>300</v>
      </c>
      <c r="P355" t="s">
        <v>59</v>
      </c>
      <c r="Q355" t="str">
        <f>VLOOKUP(B355,'Player Register'!$B$6:$D$125,3,FALSE())</f>
        <v>45–64</v>
      </c>
    </row>
    <row r="356" spans="2:17" x14ac:dyDescent="0.2">
      <c r="B356">
        <v>3072</v>
      </c>
      <c r="C356">
        <v>3</v>
      </c>
      <c r="D356" t="s">
        <v>66</v>
      </c>
      <c r="E356">
        <v>0.31</v>
      </c>
      <c r="F356">
        <v>200</v>
      </c>
      <c r="G356">
        <v>3</v>
      </c>
      <c r="H356">
        <v>4</v>
      </c>
      <c r="I356">
        <v>0</v>
      </c>
      <c r="J356">
        <v>57.6</v>
      </c>
      <c r="K356">
        <v>10.8</v>
      </c>
      <c r="L356">
        <v>0.6</v>
      </c>
      <c r="M356" t="s">
        <v>36</v>
      </c>
      <c r="N356">
        <v>280</v>
      </c>
      <c r="P356" t="s">
        <v>70</v>
      </c>
      <c r="Q356" t="str">
        <f>VLOOKUP(B356,'Player Register'!$B$6:$D$125,3,FALSE())</f>
        <v>45–64</v>
      </c>
    </row>
    <row r="357" spans="2:17" x14ac:dyDescent="0.2">
      <c r="B357">
        <v>3072</v>
      </c>
      <c r="C357">
        <v>4</v>
      </c>
      <c r="D357" t="s">
        <v>83</v>
      </c>
      <c r="E357">
        <v>0.35</v>
      </c>
      <c r="F357">
        <v>200</v>
      </c>
      <c r="G357">
        <v>5</v>
      </c>
      <c r="H357">
        <v>2</v>
      </c>
      <c r="I357">
        <v>0</v>
      </c>
      <c r="J357">
        <v>43.7</v>
      </c>
      <c r="K357">
        <v>10.8</v>
      </c>
      <c r="L357">
        <v>0.45</v>
      </c>
      <c r="M357" t="s">
        <v>36</v>
      </c>
      <c r="N357">
        <v>300</v>
      </c>
      <c r="P357" t="s">
        <v>59</v>
      </c>
      <c r="Q357" t="str">
        <f>VLOOKUP(B357,'Player Register'!$B$6:$D$125,3,FALSE())</f>
        <v>45–64</v>
      </c>
    </row>
    <row r="358" spans="2:17" x14ac:dyDescent="0.2">
      <c r="B358">
        <v>3072</v>
      </c>
      <c r="C358">
        <v>5</v>
      </c>
      <c r="D358" t="s">
        <v>79</v>
      </c>
      <c r="E358">
        <v>0.28999999999999998</v>
      </c>
      <c r="F358">
        <v>200</v>
      </c>
      <c r="G358">
        <v>9</v>
      </c>
      <c r="H358">
        <v>1</v>
      </c>
      <c r="I358">
        <v>0</v>
      </c>
      <c r="J358">
        <v>68.099999999999994</v>
      </c>
      <c r="K358">
        <v>12.6</v>
      </c>
      <c r="L358">
        <v>0.7</v>
      </c>
      <c r="M358" t="s">
        <v>36</v>
      </c>
      <c r="N358">
        <v>340</v>
      </c>
      <c r="P358" t="s">
        <v>73</v>
      </c>
      <c r="Q358" t="str">
        <f>VLOOKUP(B358,'Player Register'!$B$6:$D$125,3,FALSE())</f>
        <v>45–64</v>
      </c>
    </row>
    <row r="359" spans="2:17" x14ac:dyDescent="0.2">
      <c r="B359">
        <v>3073</v>
      </c>
      <c r="C359">
        <v>1</v>
      </c>
      <c r="D359" t="s">
        <v>84</v>
      </c>
      <c r="E359">
        <v>0.31</v>
      </c>
      <c r="F359">
        <v>200</v>
      </c>
      <c r="G359">
        <v>5</v>
      </c>
      <c r="H359">
        <v>0</v>
      </c>
      <c r="I359">
        <v>0</v>
      </c>
      <c r="J359">
        <v>44</v>
      </c>
      <c r="K359">
        <v>10.8</v>
      </c>
      <c r="L359">
        <v>0.6</v>
      </c>
      <c r="M359" t="s">
        <v>36</v>
      </c>
      <c r="N359">
        <v>300</v>
      </c>
      <c r="P359" t="s">
        <v>73</v>
      </c>
      <c r="Q359" t="str">
        <f>VLOOKUP(B359,'Player Register'!$B$6:$D$125,3,FALSE())</f>
        <v>45–64</v>
      </c>
    </row>
    <row r="360" spans="2:17" x14ac:dyDescent="0.2">
      <c r="B360">
        <v>3073</v>
      </c>
      <c r="C360">
        <v>6</v>
      </c>
      <c r="D360" t="s">
        <v>87</v>
      </c>
      <c r="E360">
        <v>0.31</v>
      </c>
      <c r="F360">
        <v>201</v>
      </c>
      <c r="G360">
        <v>9</v>
      </c>
      <c r="H360">
        <v>1</v>
      </c>
      <c r="I360">
        <v>0</v>
      </c>
      <c r="J360">
        <v>52</v>
      </c>
      <c r="K360">
        <v>12.6</v>
      </c>
      <c r="L360">
        <v>0.7</v>
      </c>
      <c r="M360" t="s">
        <v>36</v>
      </c>
      <c r="N360">
        <v>341</v>
      </c>
      <c r="P360" t="s">
        <v>61</v>
      </c>
      <c r="Q360" t="str">
        <f>VLOOKUP(B360,'Player Register'!$B$6:$D$125,3,FALSE())</f>
        <v>45–64</v>
      </c>
    </row>
    <row r="361" spans="2:17" x14ac:dyDescent="0.2">
      <c r="B361">
        <v>3073</v>
      </c>
      <c r="C361">
        <v>7</v>
      </c>
      <c r="D361" t="s">
        <v>97</v>
      </c>
      <c r="E361">
        <v>0.35</v>
      </c>
      <c r="F361">
        <v>200</v>
      </c>
      <c r="G361">
        <v>18</v>
      </c>
      <c r="H361">
        <v>2</v>
      </c>
      <c r="I361">
        <v>0</v>
      </c>
      <c r="J361">
        <v>60.5</v>
      </c>
      <c r="K361">
        <v>10.8</v>
      </c>
      <c r="L361">
        <v>0.45</v>
      </c>
      <c r="M361" t="s">
        <v>36</v>
      </c>
      <c r="N361">
        <v>430</v>
      </c>
      <c r="P361" t="s">
        <v>59</v>
      </c>
      <c r="Q361" t="str">
        <f>VLOOKUP(B361,'Player Register'!$B$6:$D$125,3,FALSE())</f>
        <v>45–64</v>
      </c>
    </row>
    <row r="362" spans="2:17" x14ac:dyDescent="0.2">
      <c r="B362">
        <v>3074</v>
      </c>
      <c r="C362">
        <v>1</v>
      </c>
      <c r="D362" t="s">
        <v>89</v>
      </c>
      <c r="E362">
        <v>0.31</v>
      </c>
      <c r="F362">
        <v>201</v>
      </c>
      <c r="G362">
        <v>10</v>
      </c>
      <c r="H362">
        <v>0</v>
      </c>
      <c r="I362">
        <v>0</v>
      </c>
      <c r="J362">
        <v>76.3</v>
      </c>
      <c r="K362">
        <v>12.6</v>
      </c>
      <c r="L362">
        <v>0.7</v>
      </c>
      <c r="M362" t="s">
        <v>36</v>
      </c>
      <c r="N362">
        <v>351</v>
      </c>
      <c r="P362" t="s">
        <v>73</v>
      </c>
      <c r="Q362" t="str">
        <f>VLOOKUP(B362,'Player Register'!$B$6:$D$125,3,FALSE())</f>
        <v>45–64</v>
      </c>
    </row>
    <row r="363" spans="2:17" x14ac:dyDescent="0.2">
      <c r="B363">
        <v>3074</v>
      </c>
      <c r="C363">
        <v>2</v>
      </c>
      <c r="D363" t="s">
        <v>77</v>
      </c>
      <c r="E363">
        <v>0.31</v>
      </c>
      <c r="F363">
        <v>200</v>
      </c>
      <c r="G363">
        <v>8</v>
      </c>
      <c r="H363">
        <v>2</v>
      </c>
      <c r="I363">
        <v>0</v>
      </c>
      <c r="J363">
        <v>48.5</v>
      </c>
      <c r="K363">
        <v>10.8</v>
      </c>
      <c r="L363">
        <v>0.6</v>
      </c>
      <c r="M363" t="s">
        <v>36</v>
      </c>
      <c r="N363">
        <v>330</v>
      </c>
      <c r="P363" t="s">
        <v>59</v>
      </c>
      <c r="Q363" t="str">
        <f>VLOOKUP(B363,'Player Register'!$B$6:$D$125,3,FALSE())</f>
        <v>45–64</v>
      </c>
    </row>
    <row r="364" spans="2:17" x14ac:dyDescent="0.2">
      <c r="B364">
        <v>3074</v>
      </c>
      <c r="C364">
        <v>3</v>
      </c>
      <c r="D364" t="s">
        <v>78</v>
      </c>
      <c r="E364">
        <v>0.28999999999999998</v>
      </c>
      <c r="F364">
        <v>200</v>
      </c>
      <c r="G364">
        <v>10</v>
      </c>
      <c r="H364">
        <v>1</v>
      </c>
      <c r="I364">
        <v>0</v>
      </c>
      <c r="J364">
        <v>70.400000000000006</v>
      </c>
      <c r="K364">
        <v>12.6</v>
      </c>
      <c r="L364">
        <v>0.7</v>
      </c>
      <c r="M364" t="s">
        <v>36</v>
      </c>
      <c r="N364">
        <v>350</v>
      </c>
      <c r="P364" t="s">
        <v>73</v>
      </c>
      <c r="Q364" t="str">
        <f>VLOOKUP(B364,'Player Register'!$B$6:$D$125,3,FALSE())</f>
        <v>45–64</v>
      </c>
    </row>
    <row r="365" spans="2:17" x14ac:dyDescent="0.2">
      <c r="B365">
        <v>3074</v>
      </c>
      <c r="C365">
        <v>4</v>
      </c>
      <c r="D365" t="s">
        <v>83</v>
      </c>
      <c r="E365">
        <v>0.28999999999999998</v>
      </c>
      <c r="F365">
        <v>200</v>
      </c>
      <c r="G365">
        <v>5</v>
      </c>
      <c r="H365">
        <v>1</v>
      </c>
      <c r="I365">
        <v>0</v>
      </c>
      <c r="J365">
        <v>67.900000000000006</v>
      </c>
      <c r="K365">
        <v>12.6</v>
      </c>
      <c r="L365">
        <v>0.7</v>
      </c>
      <c r="M365" t="s">
        <v>36</v>
      </c>
      <c r="N365">
        <v>300</v>
      </c>
      <c r="P365" t="s">
        <v>73</v>
      </c>
      <c r="Q365" t="str">
        <f>VLOOKUP(B365,'Player Register'!$B$6:$D$125,3,FALSE())</f>
        <v>45–64</v>
      </c>
    </row>
    <row r="366" spans="2:17" x14ac:dyDescent="0.2">
      <c r="B366">
        <v>3074</v>
      </c>
      <c r="C366">
        <v>5</v>
      </c>
      <c r="D366" t="s">
        <v>67</v>
      </c>
      <c r="E366">
        <v>0.31</v>
      </c>
      <c r="F366">
        <v>200</v>
      </c>
      <c r="G366">
        <v>7</v>
      </c>
      <c r="H366">
        <v>2</v>
      </c>
      <c r="I366">
        <v>0</v>
      </c>
      <c r="J366">
        <v>59.3</v>
      </c>
      <c r="K366">
        <v>10.8</v>
      </c>
      <c r="L366">
        <v>0.6</v>
      </c>
      <c r="M366" t="s">
        <v>36</v>
      </c>
      <c r="N366">
        <v>320</v>
      </c>
      <c r="P366" t="s">
        <v>59</v>
      </c>
      <c r="Q366" t="str">
        <f>VLOOKUP(B366,'Player Register'!$B$6:$D$125,3,FALSE())</f>
        <v>45–64</v>
      </c>
    </row>
    <row r="367" spans="2:17" x14ac:dyDescent="0.2">
      <c r="B367">
        <v>3075</v>
      </c>
      <c r="C367">
        <v>1</v>
      </c>
      <c r="D367" t="s">
        <v>89</v>
      </c>
      <c r="E367">
        <v>0.28999999999999998</v>
      </c>
      <c r="F367">
        <v>200</v>
      </c>
      <c r="G367">
        <v>10</v>
      </c>
      <c r="H367">
        <v>1</v>
      </c>
      <c r="I367">
        <v>0</v>
      </c>
      <c r="J367">
        <v>67.8</v>
      </c>
      <c r="K367">
        <v>12.6</v>
      </c>
      <c r="L367">
        <v>0.7</v>
      </c>
      <c r="M367" t="s">
        <v>36</v>
      </c>
      <c r="N367">
        <v>350</v>
      </c>
      <c r="P367" t="s">
        <v>73</v>
      </c>
      <c r="Q367" t="str">
        <f>VLOOKUP(B367,'Player Register'!$B$6:$D$125,3,FALSE())</f>
        <v>45–64</v>
      </c>
    </row>
    <row r="368" spans="2:17" x14ac:dyDescent="0.2">
      <c r="B368">
        <v>3075</v>
      </c>
      <c r="C368">
        <v>2</v>
      </c>
      <c r="D368" t="s">
        <v>76</v>
      </c>
      <c r="E368">
        <v>0.31</v>
      </c>
      <c r="F368">
        <v>200</v>
      </c>
      <c r="G368">
        <v>8</v>
      </c>
      <c r="H368">
        <v>3</v>
      </c>
      <c r="I368">
        <v>0</v>
      </c>
      <c r="J368">
        <v>63.2</v>
      </c>
      <c r="K368">
        <v>10.8</v>
      </c>
      <c r="L368">
        <v>0.45</v>
      </c>
      <c r="M368" t="s">
        <v>36</v>
      </c>
      <c r="N368">
        <v>330</v>
      </c>
      <c r="P368" t="s">
        <v>64</v>
      </c>
      <c r="Q368" t="str">
        <f>VLOOKUP(B368,'Player Register'!$B$6:$D$125,3,FALSE())</f>
        <v>45–64</v>
      </c>
    </row>
    <row r="369" spans="2:17" x14ac:dyDescent="0.2">
      <c r="B369">
        <v>3075</v>
      </c>
      <c r="C369">
        <v>3</v>
      </c>
      <c r="D369" t="s">
        <v>66</v>
      </c>
      <c r="E369">
        <v>0.31</v>
      </c>
      <c r="F369">
        <v>201</v>
      </c>
      <c r="G369">
        <v>7</v>
      </c>
      <c r="H369">
        <v>1</v>
      </c>
      <c r="I369">
        <v>0</v>
      </c>
      <c r="J369">
        <v>48</v>
      </c>
      <c r="K369">
        <v>12.6</v>
      </c>
      <c r="L369">
        <v>0.7</v>
      </c>
      <c r="M369" t="s">
        <v>36</v>
      </c>
      <c r="N369">
        <v>321</v>
      </c>
      <c r="P369" t="s">
        <v>61</v>
      </c>
      <c r="Q369" t="str">
        <f>VLOOKUP(B369,'Player Register'!$B$6:$D$125,3,FALSE())</f>
        <v>45–64</v>
      </c>
    </row>
    <row r="370" spans="2:17" x14ac:dyDescent="0.2">
      <c r="B370">
        <v>3075</v>
      </c>
      <c r="C370">
        <v>4</v>
      </c>
      <c r="D370" t="s">
        <v>67</v>
      </c>
      <c r="E370">
        <v>0.28999999999999998</v>
      </c>
      <c r="F370">
        <v>200</v>
      </c>
      <c r="G370">
        <v>12</v>
      </c>
      <c r="H370">
        <v>0</v>
      </c>
      <c r="I370">
        <v>0</v>
      </c>
      <c r="J370">
        <v>76.5</v>
      </c>
      <c r="K370">
        <v>12.6</v>
      </c>
      <c r="L370">
        <v>0.7</v>
      </c>
      <c r="M370" t="s">
        <v>36</v>
      </c>
      <c r="N370">
        <v>370</v>
      </c>
      <c r="P370" t="s">
        <v>68</v>
      </c>
      <c r="Q370" t="str">
        <f>VLOOKUP(B370,'Player Register'!$B$6:$D$125,3,FALSE())</f>
        <v>45–64</v>
      </c>
    </row>
    <row r="371" spans="2:17" x14ac:dyDescent="0.2">
      <c r="B371">
        <v>3075</v>
      </c>
      <c r="C371">
        <v>5</v>
      </c>
      <c r="D371" t="s">
        <v>69</v>
      </c>
      <c r="E371">
        <v>0.31</v>
      </c>
      <c r="F371">
        <v>201</v>
      </c>
      <c r="G371">
        <v>14</v>
      </c>
      <c r="H371">
        <v>1</v>
      </c>
      <c r="I371">
        <v>0</v>
      </c>
      <c r="J371">
        <v>63.2</v>
      </c>
      <c r="K371">
        <v>12.6</v>
      </c>
      <c r="L371">
        <v>0.7</v>
      </c>
      <c r="M371" t="s">
        <v>36</v>
      </c>
      <c r="N371">
        <v>391</v>
      </c>
      <c r="P371" t="s">
        <v>61</v>
      </c>
      <c r="Q371" t="str">
        <f>VLOOKUP(B371,'Player Register'!$B$6:$D$125,3,FALSE())</f>
        <v>45–64</v>
      </c>
    </row>
    <row r="372" spans="2:17" x14ac:dyDescent="0.2">
      <c r="B372">
        <v>3076</v>
      </c>
      <c r="C372">
        <v>1</v>
      </c>
      <c r="D372" t="s">
        <v>63</v>
      </c>
      <c r="E372">
        <v>0.31</v>
      </c>
      <c r="F372">
        <v>200</v>
      </c>
      <c r="G372">
        <v>8</v>
      </c>
      <c r="H372">
        <v>1</v>
      </c>
      <c r="I372">
        <v>0</v>
      </c>
      <c r="J372">
        <v>37.200000000000003</v>
      </c>
      <c r="K372">
        <v>10.8</v>
      </c>
      <c r="L372">
        <v>0.6</v>
      </c>
      <c r="M372" t="s">
        <v>36</v>
      </c>
      <c r="N372">
        <v>330</v>
      </c>
      <c r="P372" t="s">
        <v>61</v>
      </c>
      <c r="Q372" t="str">
        <f>VLOOKUP(B372,'Player Register'!$B$6:$D$125,3,FALSE())</f>
        <v>45–64</v>
      </c>
    </row>
    <row r="373" spans="2:17" x14ac:dyDescent="0.2">
      <c r="B373">
        <v>3076</v>
      </c>
      <c r="C373">
        <v>2</v>
      </c>
      <c r="D373" t="s">
        <v>65</v>
      </c>
      <c r="E373">
        <v>0.31</v>
      </c>
      <c r="F373">
        <v>200</v>
      </c>
      <c r="G373">
        <v>9</v>
      </c>
      <c r="H373">
        <v>3</v>
      </c>
      <c r="I373">
        <v>0</v>
      </c>
      <c r="J373">
        <v>43</v>
      </c>
      <c r="K373">
        <v>10.8</v>
      </c>
      <c r="L373">
        <v>0.6</v>
      </c>
      <c r="M373" t="s">
        <v>36</v>
      </c>
      <c r="N373">
        <v>340</v>
      </c>
      <c r="P373" t="s">
        <v>64</v>
      </c>
      <c r="Q373" t="str">
        <f>VLOOKUP(B373,'Player Register'!$B$6:$D$125,3,FALSE())</f>
        <v>45–64</v>
      </c>
    </row>
    <row r="374" spans="2:17" x14ac:dyDescent="0.2">
      <c r="B374">
        <v>3076</v>
      </c>
      <c r="C374">
        <v>3</v>
      </c>
      <c r="D374" t="s">
        <v>91</v>
      </c>
      <c r="E374">
        <v>0.28999999999999998</v>
      </c>
      <c r="F374">
        <v>200</v>
      </c>
      <c r="G374">
        <v>10</v>
      </c>
      <c r="H374">
        <v>1</v>
      </c>
      <c r="I374">
        <v>0</v>
      </c>
      <c r="J374">
        <v>70.099999999999994</v>
      </c>
      <c r="K374">
        <v>12.6</v>
      </c>
      <c r="L374">
        <v>0.7</v>
      </c>
      <c r="M374" t="s">
        <v>36</v>
      </c>
      <c r="N374">
        <v>350</v>
      </c>
      <c r="P374" t="s">
        <v>73</v>
      </c>
      <c r="Q374" t="str">
        <f>VLOOKUP(B374,'Player Register'!$B$6:$D$125,3,FALSE())</f>
        <v>45–64</v>
      </c>
    </row>
    <row r="375" spans="2:17" x14ac:dyDescent="0.2">
      <c r="B375">
        <v>3076</v>
      </c>
      <c r="C375">
        <v>4</v>
      </c>
      <c r="D375" t="s">
        <v>75</v>
      </c>
      <c r="E375">
        <v>0.31</v>
      </c>
      <c r="F375">
        <v>201</v>
      </c>
      <c r="G375">
        <v>7</v>
      </c>
      <c r="H375">
        <v>0</v>
      </c>
      <c r="I375">
        <v>0</v>
      </c>
      <c r="J375">
        <v>60</v>
      </c>
      <c r="K375">
        <v>12.6</v>
      </c>
      <c r="L375">
        <v>0.7</v>
      </c>
      <c r="M375" t="s">
        <v>36</v>
      </c>
      <c r="N375">
        <v>321</v>
      </c>
      <c r="P375" t="s">
        <v>73</v>
      </c>
      <c r="Q375" t="str">
        <f>VLOOKUP(B375,'Player Register'!$B$6:$D$125,3,FALSE())</f>
        <v>45–64</v>
      </c>
    </row>
    <row r="376" spans="2:17" x14ac:dyDescent="0.2">
      <c r="B376">
        <v>3076</v>
      </c>
      <c r="C376">
        <v>5</v>
      </c>
      <c r="D376" t="s">
        <v>87</v>
      </c>
      <c r="E376">
        <v>0.31</v>
      </c>
      <c r="F376">
        <v>200</v>
      </c>
      <c r="G376">
        <v>5</v>
      </c>
      <c r="H376">
        <v>1</v>
      </c>
      <c r="I376">
        <v>0</v>
      </c>
      <c r="J376">
        <v>67</v>
      </c>
      <c r="K376">
        <v>10.8</v>
      </c>
      <c r="L376">
        <v>0.6</v>
      </c>
      <c r="M376" t="s">
        <v>36</v>
      </c>
      <c r="N376">
        <v>300</v>
      </c>
      <c r="P376" t="s">
        <v>61</v>
      </c>
      <c r="Q376" t="str">
        <f>VLOOKUP(B376,'Player Register'!$B$6:$D$125,3,FALSE())</f>
        <v>45–64</v>
      </c>
    </row>
    <row r="377" spans="2:17" x14ac:dyDescent="0.2">
      <c r="B377">
        <v>3077</v>
      </c>
      <c r="C377">
        <v>1</v>
      </c>
      <c r="D377" t="s">
        <v>71</v>
      </c>
      <c r="E377">
        <v>0.31</v>
      </c>
      <c r="F377">
        <v>200</v>
      </c>
      <c r="G377">
        <v>3</v>
      </c>
      <c r="H377">
        <v>2</v>
      </c>
      <c r="I377">
        <v>0</v>
      </c>
      <c r="J377">
        <v>60.7</v>
      </c>
      <c r="K377">
        <v>10.8</v>
      </c>
      <c r="L377">
        <v>0.45</v>
      </c>
      <c r="M377" t="s">
        <v>36</v>
      </c>
      <c r="N377">
        <v>280</v>
      </c>
      <c r="P377" t="s">
        <v>59</v>
      </c>
      <c r="Q377" t="str">
        <f>VLOOKUP(B377,'Player Register'!$B$6:$D$125,3,FALSE())</f>
        <v>45–64</v>
      </c>
    </row>
    <row r="378" spans="2:17" x14ac:dyDescent="0.2">
      <c r="B378">
        <v>3077</v>
      </c>
      <c r="C378">
        <v>2</v>
      </c>
      <c r="D378" t="s">
        <v>63</v>
      </c>
      <c r="E378">
        <v>0.28999999999999998</v>
      </c>
      <c r="F378">
        <v>200</v>
      </c>
      <c r="G378">
        <v>5</v>
      </c>
      <c r="H378">
        <v>1</v>
      </c>
      <c r="I378">
        <v>0</v>
      </c>
      <c r="J378">
        <v>66.900000000000006</v>
      </c>
      <c r="K378">
        <v>12.6</v>
      </c>
      <c r="L378">
        <v>0.7</v>
      </c>
      <c r="M378" t="s">
        <v>36</v>
      </c>
      <c r="N378">
        <v>300</v>
      </c>
      <c r="P378" t="s">
        <v>73</v>
      </c>
      <c r="Q378" t="str">
        <f>VLOOKUP(B378,'Player Register'!$B$6:$D$125,3,FALSE())</f>
        <v>45–64</v>
      </c>
    </row>
    <row r="379" spans="2:17" x14ac:dyDescent="0.2">
      <c r="B379">
        <v>3077</v>
      </c>
      <c r="C379">
        <v>3</v>
      </c>
      <c r="D379" t="s">
        <v>85</v>
      </c>
      <c r="E379">
        <v>0.31</v>
      </c>
      <c r="F379">
        <v>200</v>
      </c>
      <c r="G379">
        <v>5</v>
      </c>
      <c r="H379">
        <v>2</v>
      </c>
      <c r="I379">
        <v>0</v>
      </c>
      <c r="J379">
        <v>64.7</v>
      </c>
      <c r="K379">
        <v>10.8</v>
      </c>
      <c r="L379">
        <v>0.6</v>
      </c>
      <c r="M379" t="s">
        <v>36</v>
      </c>
      <c r="N379">
        <v>300</v>
      </c>
      <c r="P379" t="s">
        <v>59</v>
      </c>
      <c r="Q379" t="str">
        <f>VLOOKUP(B379,'Player Register'!$B$6:$D$125,3,FALSE())</f>
        <v>45–64</v>
      </c>
    </row>
    <row r="380" spans="2:17" x14ac:dyDescent="0.2">
      <c r="B380">
        <v>3077</v>
      </c>
      <c r="C380">
        <v>4</v>
      </c>
      <c r="D380" t="s">
        <v>91</v>
      </c>
      <c r="E380">
        <v>0.31</v>
      </c>
      <c r="F380">
        <v>200</v>
      </c>
      <c r="G380">
        <v>8</v>
      </c>
      <c r="H380">
        <v>2</v>
      </c>
      <c r="I380">
        <v>0</v>
      </c>
      <c r="J380">
        <v>50.3</v>
      </c>
      <c r="K380">
        <v>10.8</v>
      </c>
      <c r="L380">
        <v>0.6</v>
      </c>
      <c r="M380" t="s">
        <v>36</v>
      </c>
      <c r="N380">
        <v>330</v>
      </c>
      <c r="P380" t="s">
        <v>59</v>
      </c>
      <c r="Q380" t="str">
        <f>VLOOKUP(B380,'Player Register'!$B$6:$D$125,3,FALSE())</f>
        <v>45–64</v>
      </c>
    </row>
    <row r="381" spans="2:17" x14ac:dyDescent="0.2">
      <c r="B381">
        <v>3077</v>
      </c>
      <c r="C381">
        <v>5</v>
      </c>
      <c r="D381" t="s">
        <v>74</v>
      </c>
      <c r="E381">
        <v>0.28999999999999998</v>
      </c>
      <c r="F381">
        <v>200</v>
      </c>
      <c r="G381">
        <v>11</v>
      </c>
      <c r="H381">
        <v>2</v>
      </c>
      <c r="I381">
        <v>0</v>
      </c>
      <c r="J381">
        <v>70.099999999999994</v>
      </c>
      <c r="K381">
        <v>12.6</v>
      </c>
      <c r="L381">
        <v>0.7</v>
      </c>
      <c r="M381" t="s">
        <v>36</v>
      </c>
      <c r="N381">
        <v>360</v>
      </c>
      <c r="P381" t="s">
        <v>61</v>
      </c>
      <c r="Q381" t="str">
        <f>VLOOKUP(B381,'Player Register'!$B$6:$D$125,3,FALSE())</f>
        <v>45–64</v>
      </c>
    </row>
    <row r="382" spans="2:17" x14ac:dyDescent="0.2">
      <c r="B382">
        <v>3078</v>
      </c>
      <c r="C382">
        <v>1</v>
      </c>
      <c r="D382" t="s">
        <v>58</v>
      </c>
      <c r="E382">
        <v>0.28999999999999998</v>
      </c>
      <c r="F382">
        <v>200</v>
      </c>
      <c r="G382">
        <v>9</v>
      </c>
      <c r="H382">
        <v>0</v>
      </c>
      <c r="I382">
        <v>0</v>
      </c>
      <c r="J382">
        <v>76.599999999999994</v>
      </c>
      <c r="K382">
        <v>12.6</v>
      </c>
      <c r="L382">
        <v>0.7</v>
      </c>
      <c r="M382" t="s">
        <v>36</v>
      </c>
      <c r="N382">
        <v>340</v>
      </c>
      <c r="P382" t="s">
        <v>68</v>
      </c>
      <c r="Q382" t="str">
        <f>VLOOKUP(B382,'Player Register'!$B$6:$D$125,3,FALSE())</f>
        <v>45–64</v>
      </c>
    </row>
    <row r="383" spans="2:17" x14ac:dyDescent="0.2">
      <c r="B383">
        <v>3078</v>
      </c>
      <c r="C383">
        <v>2</v>
      </c>
      <c r="D383" t="s">
        <v>62</v>
      </c>
      <c r="E383">
        <v>0.31</v>
      </c>
      <c r="F383">
        <v>200</v>
      </c>
      <c r="G383">
        <v>12</v>
      </c>
      <c r="H383">
        <v>1</v>
      </c>
      <c r="I383">
        <v>0</v>
      </c>
      <c r="J383">
        <v>66</v>
      </c>
      <c r="K383">
        <v>10.8</v>
      </c>
      <c r="L383">
        <v>0.6</v>
      </c>
      <c r="M383" t="s">
        <v>36</v>
      </c>
      <c r="N383">
        <v>370</v>
      </c>
      <c r="P383" t="s">
        <v>61</v>
      </c>
      <c r="Q383" t="str">
        <f>VLOOKUP(B383,'Player Register'!$B$6:$D$125,3,FALSE())</f>
        <v>45–64</v>
      </c>
    </row>
    <row r="384" spans="2:17" x14ac:dyDescent="0.2">
      <c r="B384">
        <v>3078</v>
      </c>
      <c r="C384">
        <v>3</v>
      </c>
      <c r="D384" t="s">
        <v>71</v>
      </c>
      <c r="E384">
        <v>0.28999999999999998</v>
      </c>
      <c r="F384">
        <v>200</v>
      </c>
      <c r="G384">
        <v>6</v>
      </c>
      <c r="H384">
        <v>0</v>
      </c>
      <c r="I384">
        <v>0</v>
      </c>
      <c r="J384">
        <v>77.5</v>
      </c>
      <c r="K384">
        <v>12.6</v>
      </c>
      <c r="L384">
        <v>0.7</v>
      </c>
      <c r="M384" t="s">
        <v>36</v>
      </c>
      <c r="N384">
        <v>310</v>
      </c>
      <c r="P384" t="s">
        <v>68</v>
      </c>
      <c r="Q384" t="str">
        <f>VLOOKUP(B384,'Player Register'!$B$6:$D$125,3,FALSE())</f>
        <v>45–64</v>
      </c>
    </row>
    <row r="385" spans="2:17" x14ac:dyDescent="0.2">
      <c r="B385">
        <v>3078</v>
      </c>
      <c r="C385">
        <v>4</v>
      </c>
      <c r="D385" t="s">
        <v>72</v>
      </c>
      <c r="E385">
        <v>0.31</v>
      </c>
      <c r="F385">
        <v>200</v>
      </c>
      <c r="G385">
        <v>12</v>
      </c>
      <c r="H385">
        <v>1</v>
      </c>
      <c r="I385">
        <v>0</v>
      </c>
      <c r="J385">
        <v>51.5</v>
      </c>
      <c r="K385">
        <v>10.8</v>
      </c>
      <c r="L385">
        <v>0.6</v>
      </c>
      <c r="M385" t="s">
        <v>36</v>
      </c>
      <c r="N385">
        <v>370</v>
      </c>
      <c r="P385" t="s">
        <v>61</v>
      </c>
      <c r="Q385" t="str">
        <f>VLOOKUP(B385,'Player Register'!$B$6:$D$125,3,FALSE())</f>
        <v>45–64</v>
      </c>
    </row>
    <row r="386" spans="2:17" x14ac:dyDescent="0.2">
      <c r="B386">
        <v>3078</v>
      </c>
      <c r="C386">
        <v>5</v>
      </c>
      <c r="D386" t="s">
        <v>65</v>
      </c>
      <c r="E386">
        <v>0.28999999999999998</v>
      </c>
      <c r="F386">
        <v>200</v>
      </c>
      <c r="G386">
        <v>11</v>
      </c>
      <c r="H386">
        <v>0</v>
      </c>
      <c r="I386">
        <v>0</v>
      </c>
      <c r="J386">
        <v>77.599999999999994</v>
      </c>
      <c r="K386">
        <v>12.6</v>
      </c>
      <c r="L386">
        <v>0.7</v>
      </c>
      <c r="M386" t="s">
        <v>36</v>
      </c>
      <c r="N386">
        <v>360</v>
      </c>
      <c r="P386" t="s">
        <v>68</v>
      </c>
      <c r="Q386" t="str">
        <f>VLOOKUP(B386,'Player Register'!$B$6:$D$125,3,FALSE())</f>
        <v>45–64</v>
      </c>
    </row>
    <row r="387" spans="2:17" x14ac:dyDescent="0.2">
      <c r="B387">
        <v>3079</v>
      </c>
      <c r="C387">
        <v>1</v>
      </c>
      <c r="D387" t="s">
        <v>71</v>
      </c>
      <c r="E387">
        <v>0.31</v>
      </c>
      <c r="F387">
        <v>200</v>
      </c>
      <c r="G387">
        <v>6</v>
      </c>
      <c r="H387">
        <v>2</v>
      </c>
      <c r="I387">
        <v>0</v>
      </c>
      <c r="J387">
        <v>32.200000000000003</v>
      </c>
      <c r="K387">
        <v>10.8</v>
      </c>
      <c r="L387">
        <v>0.6</v>
      </c>
      <c r="M387" t="s">
        <v>36</v>
      </c>
      <c r="N387">
        <v>310</v>
      </c>
      <c r="P387" t="s">
        <v>59</v>
      </c>
      <c r="Q387" t="str">
        <f>VLOOKUP(B387,'Player Register'!$B$6:$D$125,3,FALSE())</f>
        <v>45–64</v>
      </c>
    </row>
    <row r="388" spans="2:17" x14ac:dyDescent="0.2">
      <c r="B388">
        <v>3079</v>
      </c>
      <c r="C388">
        <v>2</v>
      </c>
      <c r="D388" t="s">
        <v>63</v>
      </c>
      <c r="E388">
        <v>0.31</v>
      </c>
      <c r="F388">
        <v>200</v>
      </c>
      <c r="G388">
        <v>4</v>
      </c>
      <c r="H388">
        <v>3</v>
      </c>
      <c r="I388">
        <v>0</v>
      </c>
      <c r="J388">
        <v>36.6</v>
      </c>
      <c r="K388">
        <v>10.8</v>
      </c>
      <c r="L388">
        <v>0.45</v>
      </c>
      <c r="M388" t="s">
        <v>36</v>
      </c>
      <c r="N388">
        <v>290</v>
      </c>
      <c r="P388" t="s">
        <v>64</v>
      </c>
      <c r="Q388" t="str">
        <f>VLOOKUP(B388,'Player Register'!$B$6:$D$125,3,FALSE())</f>
        <v>45–64</v>
      </c>
    </row>
    <row r="389" spans="2:17" x14ac:dyDescent="0.2">
      <c r="B389">
        <v>3079</v>
      </c>
      <c r="C389">
        <v>3</v>
      </c>
      <c r="D389" t="s">
        <v>65</v>
      </c>
      <c r="E389">
        <v>0.35</v>
      </c>
      <c r="F389">
        <v>200</v>
      </c>
      <c r="G389">
        <v>6</v>
      </c>
      <c r="H389">
        <v>3</v>
      </c>
      <c r="I389">
        <v>0</v>
      </c>
      <c r="J389">
        <v>53.8</v>
      </c>
      <c r="K389">
        <v>10.8</v>
      </c>
      <c r="L389">
        <v>0.45</v>
      </c>
      <c r="M389" t="s">
        <v>36</v>
      </c>
      <c r="N389">
        <v>310</v>
      </c>
      <c r="P389" t="s">
        <v>64</v>
      </c>
      <c r="Q389" t="str">
        <f>VLOOKUP(B389,'Player Register'!$B$6:$D$125,3,FALSE())</f>
        <v>45–64</v>
      </c>
    </row>
    <row r="390" spans="2:17" x14ac:dyDescent="0.2">
      <c r="B390">
        <v>3079</v>
      </c>
      <c r="C390">
        <v>4</v>
      </c>
      <c r="D390" t="s">
        <v>91</v>
      </c>
      <c r="E390">
        <v>0.31</v>
      </c>
      <c r="F390">
        <v>200</v>
      </c>
      <c r="G390">
        <v>9</v>
      </c>
      <c r="H390">
        <v>1</v>
      </c>
      <c r="I390">
        <v>0</v>
      </c>
      <c r="J390">
        <v>56.1</v>
      </c>
      <c r="K390">
        <v>10.8</v>
      </c>
      <c r="L390">
        <v>0.6</v>
      </c>
      <c r="M390" t="s">
        <v>36</v>
      </c>
      <c r="N390">
        <v>340</v>
      </c>
      <c r="P390" t="s">
        <v>61</v>
      </c>
      <c r="Q390" t="str">
        <f>VLOOKUP(B390,'Player Register'!$B$6:$D$125,3,FALSE())</f>
        <v>45–64</v>
      </c>
    </row>
    <row r="391" spans="2:17" x14ac:dyDescent="0.2">
      <c r="B391">
        <v>3079</v>
      </c>
      <c r="C391">
        <v>5</v>
      </c>
      <c r="D391" t="s">
        <v>74</v>
      </c>
      <c r="E391">
        <v>0.31</v>
      </c>
      <c r="F391">
        <v>200</v>
      </c>
      <c r="G391">
        <v>5</v>
      </c>
      <c r="H391">
        <v>2</v>
      </c>
      <c r="I391">
        <v>0</v>
      </c>
      <c r="J391">
        <v>53.1</v>
      </c>
      <c r="K391">
        <v>10.8</v>
      </c>
      <c r="L391">
        <v>0.6</v>
      </c>
      <c r="M391" t="s">
        <v>36</v>
      </c>
      <c r="N391">
        <v>300</v>
      </c>
      <c r="P391" t="s">
        <v>59</v>
      </c>
      <c r="Q391" t="str">
        <f>VLOOKUP(B391,'Player Register'!$B$6:$D$125,3,FALSE())</f>
        <v>45–64</v>
      </c>
    </row>
    <row r="392" spans="2:17" x14ac:dyDescent="0.2">
      <c r="B392">
        <v>3080</v>
      </c>
      <c r="C392">
        <v>1</v>
      </c>
      <c r="D392" t="s">
        <v>58</v>
      </c>
      <c r="E392">
        <v>0.35</v>
      </c>
      <c r="F392">
        <v>200</v>
      </c>
      <c r="G392">
        <v>1</v>
      </c>
      <c r="H392">
        <v>2</v>
      </c>
      <c r="I392">
        <v>0</v>
      </c>
      <c r="J392">
        <v>36.1</v>
      </c>
      <c r="K392">
        <v>10.8</v>
      </c>
      <c r="L392">
        <v>0.45</v>
      </c>
      <c r="M392" t="s">
        <v>36</v>
      </c>
      <c r="N392">
        <v>260</v>
      </c>
      <c r="P392" t="s">
        <v>59</v>
      </c>
      <c r="Q392" t="str">
        <f>VLOOKUP(B392,'Player Register'!$B$6:$D$125,3,FALSE())</f>
        <v>65–80</v>
      </c>
    </row>
    <row r="393" spans="2:17" x14ac:dyDescent="0.2">
      <c r="B393">
        <v>3080</v>
      </c>
      <c r="C393">
        <v>2</v>
      </c>
      <c r="D393" t="s">
        <v>60</v>
      </c>
      <c r="E393">
        <v>0.31</v>
      </c>
      <c r="F393">
        <v>200</v>
      </c>
      <c r="G393">
        <v>8</v>
      </c>
      <c r="H393">
        <v>1</v>
      </c>
      <c r="I393">
        <v>0</v>
      </c>
      <c r="J393">
        <v>32.299999999999997</v>
      </c>
      <c r="K393">
        <v>10.8</v>
      </c>
      <c r="L393">
        <v>0.6</v>
      </c>
      <c r="M393" t="s">
        <v>36</v>
      </c>
      <c r="N393">
        <v>330</v>
      </c>
      <c r="P393" t="s">
        <v>61</v>
      </c>
      <c r="Q393" t="str">
        <f>VLOOKUP(B393,'Player Register'!$B$6:$D$125,3,FALSE())</f>
        <v>65–80</v>
      </c>
    </row>
    <row r="394" spans="2:17" x14ac:dyDescent="0.2">
      <c r="B394">
        <v>3080</v>
      </c>
      <c r="C394">
        <v>3</v>
      </c>
      <c r="D394" t="s">
        <v>71</v>
      </c>
      <c r="E394">
        <v>0.31</v>
      </c>
      <c r="F394">
        <v>200</v>
      </c>
      <c r="G394">
        <v>4</v>
      </c>
      <c r="H394">
        <v>3</v>
      </c>
      <c r="I394">
        <v>0</v>
      </c>
      <c r="J394">
        <v>48.5</v>
      </c>
      <c r="K394">
        <v>10.8</v>
      </c>
      <c r="L394">
        <v>0.45</v>
      </c>
      <c r="M394" t="s">
        <v>36</v>
      </c>
      <c r="N394">
        <v>290</v>
      </c>
      <c r="P394" t="s">
        <v>64</v>
      </c>
      <c r="Q394" t="str">
        <f>VLOOKUP(B394,'Player Register'!$B$6:$D$125,3,FALSE())</f>
        <v>65–80</v>
      </c>
    </row>
    <row r="395" spans="2:17" x14ac:dyDescent="0.2">
      <c r="B395">
        <v>3080</v>
      </c>
      <c r="C395">
        <v>4</v>
      </c>
      <c r="D395" t="s">
        <v>85</v>
      </c>
      <c r="E395">
        <v>0.31</v>
      </c>
      <c r="F395">
        <v>200</v>
      </c>
      <c r="G395">
        <v>5</v>
      </c>
      <c r="H395">
        <v>2</v>
      </c>
      <c r="I395">
        <v>0</v>
      </c>
      <c r="J395">
        <v>34.200000000000003</v>
      </c>
      <c r="K395">
        <v>10.8</v>
      </c>
      <c r="L395">
        <v>0.6</v>
      </c>
      <c r="M395" t="s">
        <v>36</v>
      </c>
      <c r="N395">
        <v>300</v>
      </c>
      <c r="P395" t="s">
        <v>59</v>
      </c>
      <c r="Q395" t="str">
        <f>VLOOKUP(B395,'Player Register'!$B$6:$D$125,3,FALSE())</f>
        <v>65–80</v>
      </c>
    </row>
    <row r="396" spans="2:17" x14ac:dyDescent="0.2">
      <c r="B396">
        <v>3080</v>
      </c>
      <c r="C396">
        <v>5</v>
      </c>
      <c r="D396" t="s">
        <v>86</v>
      </c>
      <c r="E396">
        <v>0.31</v>
      </c>
      <c r="F396">
        <v>200</v>
      </c>
      <c r="G396">
        <v>5</v>
      </c>
      <c r="H396">
        <v>1</v>
      </c>
      <c r="I396">
        <v>0</v>
      </c>
      <c r="J396">
        <v>38</v>
      </c>
      <c r="K396">
        <v>10.8</v>
      </c>
      <c r="L396">
        <v>0.6</v>
      </c>
      <c r="M396" t="s">
        <v>36</v>
      </c>
      <c r="N396">
        <v>300</v>
      </c>
      <c r="P396" t="s">
        <v>61</v>
      </c>
      <c r="Q396" t="str">
        <f>VLOOKUP(B396,'Player Register'!$B$6:$D$125,3,FALSE())</f>
        <v>65–80</v>
      </c>
    </row>
    <row r="397" spans="2:17" x14ac:dyDescent="0.2">
      <c r="B397">
        <v>3081</v>
      </c>
      <c r="C397">
        <v>1</v>
      </c>
      <c r="D397" t="s">
        <v>76</v>
      </c>
      <c r="E397">
        <v>0.31</v>
      </c>
      <c r="F397">
        <v>200</v>
      </c>
      <c r="G397">
        <v>5</v>
      </c>
      <c r="H397">
        <v>3</v>
      </c>
      <c r="I397">
        <v>0</v>
      </c>
      <c r="J397">
        <v>42.9</v>
      </c>
      <c r="K397">
        <v>10.8</v>
      </c>
      <c r="L397">
        <v>0.45</v>
      </c>
      <c r="M397" t="s">
        <v>36</v>
      </c>
      <c r="N397">
        <v>300</v>
      </c>
      <c r="P397" t="s">
        <v>64</v>
      </c>
      <c r="Q397" t="str">
        <f>VLOOKUP(B397,'Player Register'!$B$6:$D$125,3,FALSE())</f>
        <v>65–80</v>
      </c>
    </row>
    <row r="398" spans="2:17" x14ac:dyDescent="0.2">
      <c r="B398">
        <v>3081</v>
      </c>
      <c r="C398">
        <v>2</v>
      </c>
      <c r="D398" t="s">
        <v>77</v>
      </c>
      <c r="E398">
        <v>0.31</v>
      </c>
      <c r="F398">
        <v>200</v>
      </c>
      <c r="G398">
        <v>8</v>
      </c>
      <c r="H398">
        <v>3</v>
      </c>
      <c r="I398">
        <v>0</v>
      </c>
      <c r="J398">
        <v>36.1</v>
      </c>
      <c r="K398">
        <v>10.8</v>
      </c>
      <c r="L398">
        <v>0.45</v>
      </c>
      <c r="M398" t="s">
        <v>36</v>
      </c>
      <c r="N398">
        <v>330</v>
      </c>
      <c r="P398" t="s">
        <v>64</v>
      </c>
      <c r="Q398" t="str">
        <f>VLOOKUP(B398,'Player Register'!$B$6:$D$125,3,FALSE())</f>
        <v>65–80</v>
      </c>
    </row>
    <row r="399" spans="2:17" x14ac:dyDescent="0.2">
      <c r="B399">
        <v>3081</v>
      </c>
      <c r="C399">
        <v>3</v>
      </c>
      <c r="D399" t="s">
        <v>66</v>
      </c>
      <c r="E399">
        <v>0.35</v>
      </c>
      <c r="F399">
        <v>200</v>
      </c>
      <c r="G399">
        <v>12</v>
      </c>
      <c r="H399">
        <v>3</v>
      </c>
      <c r="I399">
        <v>0</v>
      </c>
      <c r="J399">
        <v>44.1</v>
      </c>
      <c r="K399">
        <v>10.8</v>
      </c>
      <c r="L399">
        <v>0.45</v>
      </c>
      <c r="M399" t="s">
        <v>36</v>
      </c>
      <c r="N399">
        <v>370</v>
      </c>
      <c r="P399" t="s">
        <v>64</v>
      </c>
      <c r="Q399" t="str">
        <f>VLOOKUP(B399,'Player Register'!$B$6:$D$125,3,FALSE())</f>
        <v>65–80</v>
      </c>
    </row>
    <row r="400" spans="2:17" x14ac:dyDescent="0.2">
      <c r="B400">
        <v>3081</v>
      </c>
      <c r="C400">
        <v>4</v>
      </c>
      <c r="D400" t="s">
        <v>83</v>
      </c>
      <c r="E400">
        <v>0.34</v>
      </c>
      <c r="F400">
        <v>200</v>
      </c>
      <c r="G400">
        <v>8</v>
      </c>
      <c r="H400">
        <v>2</v>
      </c>
      <c r="I400">
        <v>0</v>
      </c>
      <c r="J400">
        <v>54.5</v>
      </c>
      <c r="K400">
        <v>10.8</v>
      </c>
      <c r="L400">
        <v>0.55000000000000004</v>
      </c>
      <c r="M400" t="s">
        <v>36</v>
      </c>
      <c r="N400">
        <v>330</v>
      </c>
      <c r="P400" t="s">
        <v>59</v>
      </c>
      <c r="Q400" t="str">
        <f>VLOOKUP(B400,'Player Register'!$B$6:$D$125,3,FALSE())</f>
        <v>65–80</v>
      </c>
    </row>
    <row r="401" spans="2:17" x14ac:dyDescent="0.2">
      <c r="B401">
        <v>3081</v>
      </c>
      <c r="C401">
        <v>5</v>
      </c>
      <c r="D401" t="s">
        <v>67</v>
      </c>
      <c r="E401">
        <v>0.31</v>
      </c>
      <c r="F401">
        <v>200</v>
      </c>
      <c r="G401">
        <v>7</v>
      </c>
      <c r="H401">
        <v>2</v>
      </c>
      <c r="I401">
        <v>0</v>
      </c>
      <c r="J401">
        <v>52.9</v>
      </c>
      <c r="K401">
        <v>10.8</v>
      </c>
      <c r="L401">
        <v>0.6</v>
      </c>
      <c r="M401" t="s">
        <v>36</v>
      </c>
      <c r="N401">
        <v>320</v>
      </c>
      <c r="P401" t="s">
        <v>59</v>
      </c>
      <c r="Q401" t="str">
        <f>VLOOKUP(B401,'Player Register'!$B$6:$D$125,3,FALSE())</f>
        <v>65–80</v>
      </c>
    </row>
    <row r="402" spans="2:17" x14ac:dyDescent="0.2">
      <c r="B402">
        <v>3082</v>
      </c>
      <c r="C402">
        <v>1</v>
      </c>
      <c r="D402" t="s">
        <v>78</v>
      </c>
      <c r="E402">
        <v>0.31</v>
      </c>
      <c r="F402">
        <v>200</v>
      </c>
      <c r="G402">
        <v>2</v>
      </c>
      <c r="H402">
        <v>3</v>
      </c>
      <c r="I402">
        <v>0</v>
      </c>
      <c r="J402">
        <v>57.3</v>
      </c>
      <c r="K402">
        <v>10.8</v>
      </c>
      <c r="L402">
        <v>0.6</v>
      </c>
      <c r="M402" t="s">
        <v>36</v>
      </c>
      <c r="N402">
        <v>270</v>
      </c>
      <c r="P402" t="s">
        <v>64</v>
      </c>
      <c r="Q402" t="str">
        <f>VLOOKUP(B402,'Player Register'!$B$6:$D$125,3,FALSE())</f>
        <v>65–80</v>
      </c>
    </row>
    <row r="403" spans="2:17" x14ac:dyDescent="0.2">
      <c r="B403">
        <v>3082</v>
      </c>
      <c r="C403">
        <v>2</v>
      </c>
      <c r="D403" t="s">
        <v>83</v>
      </c>
      <c r="E403">
        <v>0.31</v>
      </c>
      <c r="F403">
        <v>200</v>
      </c>
      <c r="G403">
        <v>11</v>
      </c>
      <c r="H403">
        <v>2</v>
      </c>
      <c r="I403">
        <v>0</v>
      </c>
      <c r="J403">
        <v>61.5</v>
      </c>
      <c r="K403">
        <v>10.8</v>
      </c>
      <c r="L403">
        <v>0.6</v>
      </c>
      <c r="M403" t="s">
        <v>36</v>
      </c>
      <c r="N403">
        <v>360</v>
      </c>
      <c r="P403" t="s">
        <v>59</v>
      </c>
      <c r="Q403" t="str">
        <f>VLOOKUP(B403,'Player Register'!$B$6:$D$125,3,FALSE())</f>
        <v>65–80</v>
      </c>
    </row>
    <row r="404" spans="2:17" x14ac:dyDescent="0.2">
      <c r="B404">
        <v>3082</v>
      </c>
      <c r="C404">
        <v>3</v>
      </c>
      <c r="D404" t="s">
        <v>69</v>
      </c>
      <c r="E404">
        <v>0.31</v>
      </c>
      <c r="F404">
        <v>200</v>
      </c>
      <c r="G404">
        <v>8</v>
      </c>
      <c r="H404">
        <v>2</v>
      </c>
      <c r="I404">
        <v>0</v>
      </c>
      <c r="J404">
        <v>61.5</v>
      </c>
      <c r="K404">
        <v>10.8</v>
      </c>
      <c r="L404">
        <v>0.6</v>
      </c>
      <c r="M404" t="s">
        <v>36</v>
      </c>
      <c r="N404">
        <v>330</v>
      </c>
      <c r="P404" t="s">
        <v>59</v>
      </c>
      <c r="Q404" t="str">
        <f>VLOOKUP(B404,'Player Register'!$B$6:$D$125,3,FALSE())</f>
        <v>65–80</v>
      </c>
    </row>
    <row r="405" spans="2:17" x14ac:dyDescent="0.2">
      <c r="B405">
        <v>3082</v>
      </c>
      <c r="C405">
        <v>4</v>
      </c>
      <c r="D405" t="s">
        <v>62</v>
      </c>
      <c r="E405">
        <v>0.35</v>
      </c>
      <c r="F405">
        <v>200</v>
      </c>
      <c r="G405">
        <v>9</v>
      </c>
      <c r="H405">
        <v>2</v>
      </c>
      <c r="I405">
        <v>0</v>
      </c>
      <c r="J405">
        <v>59.4</v>
      </c>
      <c r="K405">
        <v>10.8</v>
      </c>
      <c r="L405">
        <v>0.45</v>
      </c>
      <c r="M405" t="s">
        <v>36</v>
      </c>
      <c r="N405">
        <v>340</v>
      </c>
      <c r="P405" t="s">
        <v>59</v>
      </c>
      <c r="Q405" t="str">
        <f>VLOOKUP(B405,'Player Register'!$B$6:$D$125,3,FALSE())</f>
        <v>65–80</v>
      </c>
    </row>
    <row r="406" spans="2:17" x14ac:dyDescent="0.2">
      <c r="B406">
        <v>3082</v>
      </c>
      <c r="C406">
        <v>5</v>
      </c>
      <c r="D406" t="s">
        <v>71</v>
      </c>
      <c r="E406">
        <v>0.31</v>
      </c>
      <c r="F406">
        <v>200</v>
      </c>
      <c r="G406">
        <v>8</v>
      </c>
      <c r="H406">
        <v>1</v>
      </c>
      <c r="I406">
        <v>0</v>
      </c>
      <c r="J406">
        <v>72.5</v>
      </c>
      <c r="K406">
        <v>10.8</v>
      </c>
      <c r="L406">
        <v>0.6</v>
      </c>
      <c r="M406" t="s">
        <v>36</v>
      </c>
      <c r="N406">
        <v>330</v>
      </c>
      <c r="P406" t="s">
        <v>61</v>
      </c>
      <c r="Q406" t="str">
        <f>VLOOKUP(B406,'Player Register'!$B$6:$D$125,3,FALSE())</f>
        <v>65–80</v>
      </c>
    </row>
    <row r="407" spans="2:17" x14ac:dyDescent="0.2">
      <c r="B407">
        <v>3083</v>
      </c>
      <c r="C407">
        <v>1</v>
      </c>
      <c r="D407" t="s">
        <v>80</v>
      </c>
      <c r="E407">
        <v>0.31</v>
      </c>
      <c r="F407">
        <v>200</v>
      </c>
      <c r="G407">
        <v>5</v>
      </c>
      <c r="H407">
        <v>3</v>
      </c>
      <c r="I407">
        <v>0</v>
      </c>
      <c r="J407">
        <v>58.7</v>
      </c>
      <c r="K407">
        <v>10.8</v>
      </c>
      <c r="L407">
        <v>0.45</v>
      </c>
      <c r="M407" t="s">
        <v>36</v>
      </c>
      <c r="N407">
        <v>300</v>
      </c>
      <c r="P407" t="s">
        <v>64</v>
      </c>
      <c r="Q407" t="str">
        <f>VLOOKUP(B407,'Player Register'!$B$6:$D$125,3,FALSE())</f>
        <v>65–80</v>
      </c>
    </row>
    <row r="408" spans="2:17" x14ac:dyDescent="0.2">
      <c r="B408">
        <v>3083</v>
      </c>
      <c r="C408">
        <v>2</v>
      </c>
      <c r="D408" t="s">
        <v>89</v>
      </c>
      <c r="E408">
        <v>0.31</v>
      </c>
      <c r="F408">
        <v>200</v>
      </c>
      <c r="G408">
        <v>8</v>
      </c>
      <c r="H408">
        <v>3</v>
      </c>
      <c r="I408">
        <v>0</v>
      </c>
      <c r="J408">
        <v>58.5</v>
      </c>
      <c r="K408">
        <v>10.8</v>
      </c>
      <c r="L408">
        <v>0.6</v>
      </c>
      <c r="M408" t="s">
        <v>36</v>
      </c>
      <c r="N408">
        <v>330</v>
      </c>
      <c r="P408" t="s">
        <v>64</v>
      </c>
      <c r="Q408" t="str">
        <f>VLOOKUP(B408,'Player Register'!$B$6:$D$125,3,FALSE())</f>
        <v>65–80</v>
      </c>
    </row>
    <row r="409" spans="2:17" x14ac:dyDescent="0.2">
      <c r="B409">
        <v>3083</v>
      </c>
      <c r="C409">
        <v>3</v>
      </c>
      <c r="D409" t="s">
        <v>76</v>
      </c>
      <c r="E409">
        <v>0.31</v>
      </c>
      <c r="F409">
        <v>201</v>
      </c>
      <c r="G409">
        <v>11</v>
      </c>
      <c r="H409">
        <v>1</v>
      </c>
      <c r="I409">
        <v>0</v>
      </c>
      <c r="J409">
        <v>57.3</v>
      </c>
      <c r="K409">
        <v>12.6</v>
      </c>
      <c r="L409">
        <v>0.7</v>
      </c>
      <c r="M409" t="s">
        <v>36</v>
      </c>
      <c r="N409">
        <v>361</v>
      </c>
      <c r="P409" t="s">
        <v>61</v>
      </c>
      <c r="Q409" t="str">
        <f>VLOOKUP(B409,'Player Register'!$B$6:$D$125,3,FALSE())</f>
        <v>65–80</v>
      </c>
    </row>
    <row r="410" spans="2:17" x14ac:dyDescent="0.2">
      <c r="B410">
        <v>3083</v>
      </c>
      <c r="C410">
        <v>4</v>
      </c>
      <c r="D410" t="s">
        <v>77</v>
      </c>
      <c r="E410">
        <v>0.31</v>
      </c>
      <c r="F410">
        <v>200</v>
      </c>
      <c r="G410">
        <v>8</v>
      </c>
      <c r="H410">
        <v>2</v>
      </c>
      <c r="I410">
        <v>0</v>
      </c>
      <c r="J410">
        <v>63.8</v>
      </c>
      <c r="K410">
        <v>10.8</v>
      </c>
      <c r="L410">
        <v>0.6</v>
      </c>
      <c r="M410" t="s">
        <v>36</v>
      </c>
      <c r="N410">
        <v>330</v>
      </c>
      <c r="P410" t="s">
        <v>59</v>
      </c>
      <c r="Q410" t="str">
        <f>VLOOKUP(B410,'Player Register'!$B$6:$D$125,3,FALSE())</f>
        <v>65–80</v>
      </c>
    </row>
    <row r="411" spans="2:17" x14ac:dyDescent="0.2">
      <c r="B411">
        <v>3083</v>
      </c>
      <c r="C411">
        <v>5</v>
      </c>
      <c r="D411" t="s">
        <v>83</v>
      </c>
      <c r="E411">
        <v>0.28999999999999998</v>
      </c>
      <c r="F411">
        <v>200</v>
      </c>
      <c r="G411">
        <v>8</v>
      </c>
      <c r="H411">
        <v>0</v>
      </c>
      <c r="I411">
        <v>0</v>
      </c>
      <c r="J411">
        <v>70.400000000000006</v>
      </c>
      <c r="K411">
        <v>12.6</v>
      </c>
      <c r="L411">
        <v>0.7</v>
      </c>
      <c r="M411" t="s">
        <v>36</v>
      </c>
      <c r="N411">
        <v>330</v>
      </c>
      <c r="P411" t="s">
        <v>68</v>
      </c>
      <c r="Q411" t="str">
        <f>VLOOKUP(B411,'Player Register'!$B$6:$D$125,3,FALSE())</f>
        <v>65–80</v>
      </c>
    </row>
    <row r="412" spans="2:17" x14ac:dyDescent="0.2">
      <c r="B412">
        <v>3084</v>
      </c>
      <c r="C412">
        <v>1</v>
      </c>
      <c r="D412" t="s">
        <v>89</v>
      </c>
      <c r="E412">
        <v>0.31</v>
      </c>
      <c r="F412">
        <v>201</v>
      </c>
      <c r="G412">
        <v>10</v>
      </c>
      <c r="H412">
        <v>1</v>
      </c>
      <c r="I412">
        <v>0</v>
      </c>
      <c r="J412">
        <v>65.7</v>
      </c>
      <c r="K412">
        <v>12.6</v>
      </c>
      <c r="L412">
        <v>0.7</v>
      </c>
      <c r="M412" t="s">
        <v>36</v>
      </c>
      <c r="N412">
        <v>351</v>
      </c>
      <c r="P412" t="s">
        <v>61</v>
      </c>
      <c r="Q412" t="str">
        <f>VLOOKUP(B412,'Player Register'!$B$6:$D$125,3,FALSE())</f>
        <v>65–80</v>
      </c>
    </row>
    <row r="413" spans="2:17" x14ac:dyDescent="0.2">
      <c r="B413">
        <v>3084</v>
      </c>
      <c r="C413">
        <v>2</v>
      </c>
      <c r="D413" t="s">
        <v>76</v>
      </c>
      <c r="E413">
        <v>0.31</v>
      </c>
      <c r="F413">
        <v>200</v>
      </c>
      <c r="G413">
        <v>4</v>
      </c>
      <c r="H413">
        <v>2</v>
      </c>
      <c r="I413">
        <v>0</v>
      </c>
      <c r="J413">
        <v>65.900000000000006</v>
      </c>
      <c r="K413">
        <v>10.8</v>
      </c>
      <c r="L413">
        <v>0.6</v>
      </c>
      <c r="M413" t="s">
        <v>36</v>
      </c>
      <c r="N413">
        <v>290</v>
      </c>
      <c r="P413" t="s">
        <v>59</v>
      </c>
      <c r="Q413" t="str">
        <f>VLOOKUP(B413,'Player Register'!$B$6:$D$125,3,FALSE())</f>
        <v>65–80</v>
      </c>
    </row>
    <row r="414" spans="2:17" x14ac:dyDescent="0.2">
      <c r="B414">
        <v>3084</v>
      </c>
      <c r="C414">
        <v>3</v>
      </c>
      <c r="D414" t="s">
        <v>78</v>
      </c>
      <c r="E414">
        <v>0.31</v>
      </c>
      <c r="F414">
        <v>200</v>
      </c>
      <c r="G414">
        <v>5</v>
      </c>
      <c r="H414">
        <v>1</v>
      </c>
      <c r="I414">
        <v>0</v>
      </c>
      <c r="J414">
        <v>65.3</v>
      </c>
      <c r="K414">
        <v>10.8</v>
      </c>
      <c r="L414">
        <v>0.6</v>
      </c>
      <c r="M414" t="s">
        <v>36</v>
      </c>
      <c r="N414">
        <v>300</v>
      </c>
      <c r="P414" t="s">
        <v>61</v>
      </c>
      <c r="Q414" t="str">
        <f>VLOOKUP(B414,'Player Register'!$B$6:$D$125,3,FALSE())</f>
        <v>65–80</v>
      </c>
    </row>
    <row r="415" spans="2:17" x14ac:dyDescent="0.2">
      <c r="B415">
        <v>3084</v>
      </c>
      <c r="C415">
        <v>4</v>
      </c>
      <c r="D415" t="s">
        <v>66</v>
      </c>
      <c r="E415">
        <v>0.31</v>
      </c>
      <c r="F415">
        <v>201</v>
      </c>
      <c r="G415">
        <v>3</v>
      </c>
      <c r="H415">
        <v>1</v>
      </c>
      <c r="I415">
        <v>0</v>
      </c>
      <c r="J415">
        <v>69.099999999999994</v>
      </c>
      <c r="K415">
        <v>12.6</v>
      </c>
      <c r="L415">
        <v>0.7</v>
      </c>
      <c r="M415" t="s">
        <v>36</v>
      </c>
      <c r="N415">
        <v>281</v>
      </c>
      <c r="P415" t="s">
        <v>61</v>
      </c>
      <c r="Q415" t="str">
        <f>VLOOKUP(B415,'Player Register'!$B$6:$D$125,3,FALSE())</f>
        <v>65–80</v>
      </c>
    </row>
    <row r="416" spans="2:17" x14ac:dyDescent="0.2">
      <c r="B416">
        <v>3084</v>
      </c>
      <c r="C416">
        <v>5</v>
      </c>
      <c r="D416" t="s">
        <v>79</v>
      </c>
      <c r="E416">
        <v>0.31</v>
      </c>
      <c r="F416">
        <v>201</v>
      </c>
      <c r="G416">
        <v>8</v>
      </c>
      <c r="H416">
        <v>0</v>
      </c>
      <c r="I416">
        <v>0</v>
      </c>
      <c r="J416">
        <v>59.9</v>
      </c>
      <c r="K416">
        <v>12.6</v>
      </c>
      <c r="L416">
        <v>0.7</v>
      </c>
      <c r="M416" t="s">
        <v>36</v>
      </c>
      <c r="N416">
        <v>331</v>
      </c>
      <c r="P416" t="s">
        <v>73</v>
      </c>
      <c r="Q416" t="str">
        <f>VLOOKUP(B416,'Player Register'!$B$6:$D$125,3,FALSE())</f>
        <v>65–80</v>
      </c>
    </row>
    <row r="417" spans="2:17" x14ac:dyDescent="0.2">
      <c r="B417">
        <v>3085</v>
      </c>
      <c r="C417">
        <v>1</v>
      </c>
      <c r="D417" t="s">
        <v>76</v>
      </c>
      <c r="E417">
        <v>0.31</v>
      </c>
      <c r="F417">
        <v>200</v>
      </c>
      <c r="G417">
        <v>4</v>
      </c>
      <c r="H417">
        <v>2</v>
      </c>
      <c r="I417">
        <v>0</v>
      </c>
      <c r="J417">
        <v>36.700000000000003</v>
      </c>
      <c r="K417">
        <v>10.8</v>
      </c>
      <c r="L417">
        <v>0.45</v>
      </c>
      <c r="M417" t="s">
        <v>36</v>
      </c>
      <c r="N417">
        <v>290</v>
      </c>
      <c r="P417" t="s">
        <v>59</v>
      </c>
      <c r="Q417" t="str">
        <f>VLOOKUP(B417,'Player Register'!$B$6:$D$125,3,FALSE())</f>
        <v>65–80</v>
      </c>
    </row>
    <row r="418" spans="2:17" x14ac:dyDescent="0.2">
      <c r="B418">
        <v>3085</v>
      </c>
      <c r="C418">
        <v>2</v>
      </c>
      <c r="D418" t="s">
        <v>77</v>
      </c>
      <c r="E418">
        <v>0.31</v>
      </c>
      <c r="F418">
        <v>200</v>
      </c>
      <c r="G418">
        <v>3</v>
      </c>
      <c r="H418">
        <v>1</v>
      </c>
      <c r="I418">
        <v>0</v>
      </c>
      <c r="J418">
        <v>63.9</v>
      </c>
      <c r="K418">
        <v>10.8</v>
      </c>
      <c r="L418">
        <v>0.6</v>
      </c>
      <c r="M418" t="s">
        <v>36</v>
      </c>
      <c r="N418">
        <v>280</v>
      </c>
      <c r="P418" t="s">
        <v>61</v>
      </c>
      <c r="Q418" t="str">
        <f>VLOOKUP(B418,'Player Register'!$B$6:$D$125,3,FALSE())</f>
        <v>65–80</v>
      </c>
    </row>
    <row r="419" spans="2:17" x14ac:dyDescent="0.2">
      <c r="B419">
        <v>3085</v>
      </c>
      <c r="C419">
        <v>3</v>
      </c>
      <c r="D419" t="s">
        <v>83</v>
      </c>
      <c r="E419">
        <v>0.31</v>
      </c>
      <c r="F419">
        <v>200</v>
      </c>
      <c r="G419">
        <v>5</v>
      </c>
      <c r="H419">
        <v>2</v>
      </c>
      <c r="I419">
        <v>0</v>
      </c>
      <c r="J419">
        <v>42.7</v>
      </c>
      <c r="K419">
        <v>10.8</v>
      </c>
      <c r="L419">
        <v>0.6</v>
      </c>
      <c r="M419" t="s">
        <v>36</v>
      </c>
      <c r="N419">
        <v>300</v>
      </c>
      <c r="P419" t="s">
        <v>59</v>
      </c>
      <c r="Q419" t="str">
        <f>VLOOKUP(B419,'Player Register'!$B$6:$D$125,3,FALSE())</f>
        <v>65–80</v>
      </c>
    </row>
    <row r="420" spans="2:17" x14ac:dyDescent="0.2">
      <c r="B420">
        <v>3085</v>
      </c>
      <c r="C420">
        <v>4</v>
      </c>
      <c r="D420" t="s">
        <v>79</v>
      </c>
      <c r="E420">
        <v>0.31</v>
      </c>
      <c r="F420">
        <v>200</v>
      </c>
      <c r="G420">
        <v>7</v>
      </c>
      <c r="H420">
        <v>1</v>
      </c>
      <c r="I420">
        <v>0</v>
      </c>
      <c r="J420">
        <v>40.200000000000003</v>
      </c>
      <c r="K420">
        <v>10.8</v>
      </c>
      <c r="L420">
        <v>0.6</v>
      </c>
      <c r="M420" t="s">
        <v>36</v>
      </c>
      <c r="N420">
        <v>320</v>
      </c>
      <c r="P420" t="s">
        <v>61</v>
      </c>
      <c r="Q420" t="str">
        <f>VLOOKUP(B420,'Player Register'!$B$6:$D$125,3,FALSE())</f>
        <v>65–80</v>
      </c>
    </row>
    <row r="421" spans="2:17" x14ac:dyDescent="0.2">
      <c r="B421">
        <v>3085</v>
      </c>
      <c r="C421">
        <v>5</v>
      </c>
      <c r="D421" t="s">
        <v>58</v>
      </c>
      <c r="E421">
        <v>0.3</v>
      </c>
      <c r="F421">
        <v>200</v>
      </c>
      <c r="G421">
        <v>9</v>
      </c>
      <c r="H421">
        <v>2</v>
      </c>
      <c r="I421">
        <v>0</v>
      </c>
      <c r="J421">
        <v>62.2</v>
      </c>
      <c r="K421">
        <v>12.6</v>
      </c>
      <c r="L421">
        <v>0.55000000000000004</v>
      </c>
      <c r="M421" t="s">
        <v>36</v>
      </c>
      <c r="N421">
        <v>340</v>
      </c>
      <c r="P421" t="s">
        <v>59</v>
      </c>
      <c r="Q421" t="str">
        <f>VLOOKUP(B421,'Player Register'!$B$6:$D$125,3,FALSE())</f>
        <v>65–80</v>
      </c>
    </row>
    <row r="422" spans="2:17" x14ac:dyDescent="0.2">
      <c r="B422">
        <v>3086</v>
      </c>
      <c r="C422">
        <v>1</v>
      </c>
      <c r="D422" t="s">
        <v>67</v>
      </c>
      <c r="E422">
        <v>0.28999999999999998</v>
      </c>
      <c r="F422">
        <v>200</v>
      </c>
      <c r="G422">
        <v>9</v>
      </c>
      <c r="H422">
        <v>2</v>
      </c>
      <c r="I422">
        <v>0</v>
      </c>
      <c r="J422">
        <v>69.400000000000006</v>
      </c>
      <c r="K422">
        <v>12.6</v>
      </c>
      <c r="L422">
        <v>0.7</v>
      </c>
      <c r="M422" t="s">
        <v>36</v>
      </c>
      <c r="N422">
        <v>340</v>
      </c>
      <c r="P422" t="s">
        <v>61</v>
      </c>
      <c r="Q422" t="str">
        <f>VLOOKUP(B422,'Player Register'!$B$6:$D$125,3,FALSE())</f>
        <v>65–80</v>
      </c>
    </row>
    <row r="423" spans="2:17" x14ac:dyDescent="0.2">
      <c r="B423">
        <v>3086</v>
      </c>
      <c r="C423">
        <v>6</v>
      </c>
      <c r="D423" t="s">
        <v>94</v>
      </c>
      <c r="E423">
        <v>0.31</v>
      </c>
      <c r="F423">
        <v>201</v>
      </c>
      <c r="G423">
        <v>8</v>
      </c>
      <c r="H423">
        <v>1</v>
      </c>
      <c r="I423">
        <v>0</v>
      </c>
      <c r="J423">
        <v>45.8</v>
      </c>
      <c r="K423">
        <v>12.6</v>
      </c>
      <c r="L423">
        <v>0.7</v>
      </c>
      <c r="M423" t="s">
        <v>36</v>
      </c>
      <c r="N423">
        <v>331</v>
      </c>
      <c r="P423" t="s">
        <v>61</v>
      </c>
      <c r="Q423" t="str">
        <f>VLOOKUP(B423,'Player Register'!$B$6:$D$125,3,FALSE())</f>
        <v>65–80</v>
      </c>
    </row>
    <row r="424" spans="2:17" x14ac:dyDescent="0.2">
      <c r="B424">
        <v>3086</v>
      </c>
      <c r="C424">
        <v>7</v>
      </c>
      <c r="D424" t="s">
        <v>95</v>
      </c>
      <c r="E424">
        <v>0.35</v>
      </c>
      <c r="F424">
        <v>200</v>
      </c>
      <c r="G424">
        <v>7</v>
      </c>
      <c r="H424">
        <v>2</v>
      </c>
      <c r="I424">
        <v>0</v>
      </c>
      <c r="J424">
        <v>65.099999999999994</v>
      </c>
      <c r="K424">
        <v>10.8</v>
      </c>
      <c r="L424">
        <v>0.45</v>
      </c>
      <c r="M424" t="s">
        <v>36</v>
      </c>
      <c r="N424">
        <v>320</v>
      </c>
      <c r="P424" t="s">
        <v>59</v>
      </c>
      <c r="Q424" t="str">
        <f>VLOOKUP(B424,'Player Register'!$B$6:$D$125,3,FALSE())</f>
        <v>65–80</v>
      </c>
    </row>
    <row r="425" spans="2:17" x14ac:dyDescent="0.2">
      <c r="B425">
        <v>3087</v>
      </c>
      <c r="C425">
        <v>1</v>
      </c>
      <c r="D425" t="s">
        <v>62</v>
      </c>
      <c r="E425">
        <v>0.35</v>
      </c>
      <c r="F425">
        <v>200</v>
      </c>
      <c r="G425">
        <v>6</v>
      </c>
      <c r="H425">
        <v>2</v>
      </c>
      <c r="I425">
        <v>0</v>
      </c>
      <c r="J425">
        <v>37.1</v>
      </c>
      <c r="K425">
        <v>10.8</v>
      </c>
      <c r="L425">
        <v>0.45</v>
      </c>
      <c r="M425" t="s">
        <v>36</v>
      </c>
      <c r="N425">
        <v>310</v>
      </c>
      <c r="P425" t="s">
        <v>59</v>
      </c>
      <c r="Q425" t="str">
        <f>VLOOKUP(B425,'Player Register'!$B$6:$D$125,3,FALSE())</f>
        <v>65–80</v>
      </c>
    </row>
    <row r="426" spans="2:17" x14ac:dyDescent="0.2">
      <c r="B426">
        <v>3088</v>
      </c>
      <c r="C426">
        <v>1</v>
      </c>
      <c r="D426" t="s">
        <v>79</v>
      </c>
      <c r="E426">
        <v>0.31</v>
      </c>
      <c r="F426">
        <v>200</v>
      </c>
      <c r="G426">
        <v>4</v>
      </c>
      <c r="H426">
        <v>3</v>
      </c>
      <c r="I426">
        <v>0</v>
      </c>
      <c r="J426">
        <v>48.4</v>
      </c>
      <c r="K426">
        <v>10.8</v>
      </c>
      <c r="L426">
        <v>0.6</v>
      </c>
      <c r="M426" t="s">
        <v>36</v>
      </c>
      <c r="N426">
        <v>290</v>
      </c>
      <c r="P426" t="s">
        <v>64</v>
      </c>
      <c r="Q426" t="str">
        <f>VLOOKUP(B426,'Player Register'!$B$6:$D$125,3,FALSE())</f>
        <v>65–80</v>
      </c>
    </row>
    <row r="427" spans="2:17" x14ac:dyDescent="0.2">
      <c r="B427">
        <v>3088</v>
      </c>
      <c r="C427">
        <v>2</v>
      </c>
      <c r="D427" t="s">
        <v>67</v>
      </c>
      <c r="E427">
        <v>0.31</v>
      </c>
      <c r="F427">
        <v>200</v>
      </c>
      <c r="G427">
        <v>7</v>
      </c>
      <c r="H427">
        <v>2</v>
      </c>
      <c r="I427">
        <v>0</v>
      </c>
      <c r="J427">
        <v>63.2</v>
      </c>
      <c r="K427">
        <v>10.8</v>
      </c>
      <c r="L427">
        <v>0.6</v>
      </c>
      <c r="M427" t="s">
        <v>36</v>
      </c>
      <c r="N427">
        <v>320</v>
      </c>
      <c r="P427" t="s">
        <v>59</v>
      </c>
      <c r="Q427" t="str">
        <f>VLOOKUP(B427,'Player Register'!$B$6:$D$125,3,FALSE())</f>
        <v>65–80</v>
      </c>
    </row>
    <row r="428" spans="2:17" x14ac:dyDescent="0.2">
      <c r="B428">
        <v>3088</v>
      </c>
      <c r="C428">
        <v>3</v>
      </c>
      <c r="D428" t="s">
        <v>69</v>
      </c>
      <c r="E428">
        <v>0.31</v>
      </c>
      <c r="F428">
        <v>200</v>
      </c>
      <c r="G428">
        <v>6</v>
      </c>
      <c r="H428">
        <v>3</v>
      </c>
      <c r="I428">
        <v>0</v>
      </c>
      <c r="J428">
        <v>57.6</v>
      </c>
      <c r="K428">
        <v>10.8</v>
      </c>
      <c r="L428">
        <v>0.6</v>
      </c>
      <c r="M428" t="s">
        <v>36</v>
      </c>
      <c r="N428">
        <v>310</v>
      </c>
      <c r="P428" t="s">
        <v>64</v>
      </c>
      <c r="Q428" t="str">
        <f>VLOOKUP(B428,'Player Register'!$B$6:$D$125,3,FALSE())</f>
        <v>65–80</v>
      </c>
    </row>
    <row r="429" spans="2:17" x14ac:dyDescent="0.2">
      <c r="B429">
        <v>3088</v>
      </c>
      <c r="C429">
        <v>4</v>
      </c>
      <c r="D429" t="s">
        <v>58</v>
      </c>
      <c r="E429">
        <v>0.35</v>
      </c>
      <c r="F429">
        <v>200</v>
      </c>
      <c r="G429">
        <v>6</v>
      </c>
      <c r="H429">
        <v>4</v>
      </c>
      <c r="I429">
        <v>0</v>
      </c>
      <c r="J429">
        <v>43.1</v>
      </c>
      <c r="K429">
        <v>10.8</v>
      </c>
      <c r="L429">
        <v>0.45</v>
      </c>
      <c r="M429" t="s">
        <v>36</v>
      </c>
      <c r="N429">
        <v>310</v>
      </c>
      <c r="P429" t="s">
        <v>70</v>
      </c>
      <c r="Q429" t="str">
        <f>VLOOKUP(B429,'Player Register'!$B$6:$D$125,3,FALSE())</f>
        <v>65–80</v>
      </c>
    </row>
    <row r="430" spans="2:17" x14ac:dyDescent="0.2">
      <c r="B430">
        <v>3088</v>
      </c>
      <c r="C430">
        <v>5</v>
      </c>
      <c r="D430" t="s">
        <v>84</v>
      </c>
      <c r="E430">
        <v>0.28999999999999998</v>
      </c>
      <c r="F430">
        <v>200</v>
      </c>
      <c r="G430">
        <v>5</v>
      </c>
      <c r="H430">
        <v>1</v>
      </c>
      <c r="I430">
        <v>0</v>
      </c>
      <c r="J430">
        <v>57.7</v>
      </c>
      <c r="K430">
        <v>12.6</v>
      </c>
      <c r="L430">
        <v>0.7</v>
      </c>
      <c r="M430" t="s">
        <v>36</v>
      </c>
      <c r="N430">
        <v>300</v>
      </c>
      <c r="P430" t="s">
        <v>73</v>
      </c>
      <c r="Q430" t="str">
        <f>VLOOKUP(B430,'Player Register'!$B$6:$D$125,3,FALSE())</f>
        <v>65–80</v>
      </c>
    </row>
    <row r="431" spans="2:17" x14ac:dyDescent="0.2">
      <c r="B431">
        <v>3089</v>
      </c>
      <c r="C431">
        <v>1</v>
      </c>
      <c r="D431" t="s">
        <v>84</v>
      </c>
      <c r="E431">
        <v>0.35</v>
      </c>
      <c r="F431">
        <v>200</v>
      </c>
      <c r="G431">
        <v>9</v>
      </c>
      <c r="H431">
        <v>3</v>
      </c>
      <c r="I431">
        <v>0</v>
      </c>
      <c r="J431">
        <v>40.1</v>
      </c>
      <c r="K431">
        <v>10.8</v>
      </c>
      <c r="L431">
        <v>0.45</v>
      </c>
      <c r="M431" t="s">
        <v>36</v>
      </c>
      <c r="N431">
        <v>340</v>
      </c>
      <c r="P431" t="s">
        <v>64</v>
      </c>
      <c r="Q431" t="str">
        <f>VLOOKUP(B431,'Player Register'!$B$6:$D$125,3,FALSE())</f>
        <v>65–80</v>
      </c>
    </row>
    <row r="432" spans="2:17" x14ac:dyDescent="0.2">
      <c r="B432">
        <v>3089</v>
      </c>
      <c r="C432">
        <v>2</v>
      </c>
      <c r="D432" t="s">
        <v>63</v>
      </c>
      <c r="E432">
        <v>0.31</v>
      </c>
      <c r="F432">
        <v>200</v>
      </c>
      <c r="G432">
        <v>5</v>
      </c>
      <c r="H432">
        <v>2</v>
      </c>
      <c r="I432">
        <v>0</v>
      </c>
      <c r="J432">
        <v>57</v>
      </c>
      <c r="K432">
        <v>10.8</v>
      </c>
      <c r="L432">
        <v>0.6</v>
      </c>
      <c r="M432" t="s">
        <v>36</v>
      </c>
      <c r="N432">
        <v>300</v>
      </c>
      <c r="P432" t="s">
        <v>59</v>
      </c>
      <c r="Q432" t="str">
        <f>VLOOKUP(B432,'Player Register'!$B$6:$D$125,3,FALSE())</f>
        <v>65–80</v>
      </c>
    </row>
    <row r="433" spans="2:17" x14ac:dyDescent="0.2">
      <c r="B433">
        <v>3089</v>
      </c>
      <c r="C433">
        <v>3</v>
      </c>
      <c r="D433" t="s">
        <v>72</v>
      </c>
      <c r="E433">
        <v>0.31</v>
      </c>
      <c r="F433">
        <v>200</v>
      </c>
      <c r="G433">
        <v>10</v>
      </c>
      <c r="H433">
        <v>2</v>
      </c>
      <c r="I433">
        <v>0</v>
      </c>
      <c r="J433">
        <v>42</v>
      </c>
      <c r="K433">
        <v>10.8</v>
      </c>
      <c r="L433">
        <v>0.6</v>
      </c>
      <c r="M433" t="s">
        <v>36</v>
      </c>
      <c r="N433">
        <v>350</v>
      </c>
      <c r="P433" t="s">
        <v>59</v>
      </c>
      <c r="Q433" t="str">
        <f>VLOOKUP(B433,'Player Register'!$B$6:$D$125,3,FALSE())</f>
        <v>65–80</v>
      </c>
    </row>
    <row r="434" spans="2:17" x14ac:dyDescent="0.2">
      <c r="B434">
        <v>3089</v>
      </c>
      <c r="C434">
        <v>6</v>
      </c>
      <c r="D434" t="s">
        <v>95</v>
      </c>
      <c r="E434">
        <v>0.28999999999999998</v>
      </c>
      <c r="F434">
        <v>200</v>
      </c>
      <c r="G434">
        <v>10</v>
      </c>
      <c r="H434">
        <v>0</v>
      </c>
      <c r="I434">
        <v>0</v>
      </c>
      <c r="J434">
        <v>72</v>
      </c>
      <c r="K434">
        <v>12.6</v>
      </c>
      <c r="L434">
        <v>0.7</v>
      </c>
      <c r="M434" t="s">
        <v>36</v>
      </c>
      <c r="N434">
        <v>350</v>
      </c>
      <c r="P434" t="s">
        <v>68</v>
      </c>
      <c r="Q434" t="str">
        <f>VLOOKUP(B434,'Player Register'!$B$6:$D$125,3,FALSE())</f>
        <v>65–80</v>
      </c>
    </row>
    <row r="435" spans="2:17" x14ac:dyDescent="0.2">
      <c r="B435">
        <v>3090</v>
      </c>
      <c r="C435">
        <v>1</v>
      </c>
      <c r="D435" t="s">
        <v>66</v>
      </c>
      <c r="E435">
        <v>0.31</v>
      </c>
      <c r="F435">
        <v>200</v>
      </c>
      <c r="G435">
        <v>2</v>
      </c>
      <c r="H435">
        <v>3</v>
      </c>
      <c r="I435">
        <v>0</v>
      </c>
      <c r="J435">
        <v>34.700000000000003</v>
      </c>
      <c r="K435">
        <v>10.8</v>
      </c>
      <c r="L435">
        <v>0.6</v>
      </c>
      <c r="M435" t="s">
        <v>36</v>
      </c>
      <c r="N435">
        <v>270</v>
      </c>
      <c r="P435" t="s">
        <v>64</v>
      </c>
      <c r="Q435" t="str">
        <f>VLOOKUP(B435,'Player Register'!$B$6:$D$125,3,FALSE())</f>
        <v>65–80</v>
      </c>
    </row>
    <row r="436" spans="2:17" x14ac:dyDescent="0.2">
      <c r="B436">
        <v>3090</v>
      </c>
      <c r="C436">
        <v>2</v>
      </c>
      <c r="D436" t="s">
        <v>79</v>
      </c>
      <c r="E436">
        <v>0.35</v>
      </c>
      <c r="F436">
        <v>200</v>
      </c>
      <c r="G436">
        <v>8</v>
      </c>
      <c r="H436">
        <v>2</v>
      </c>
      <c r="I436">
        <v>0</v>
      </c>
      <c r="J436">
        <v>34.700000000000003</v>
      </c>
      <c r="K436">
        <v>10.8</v>
      </c>
      <c r="L436">
        <v>0.45</v>
      </c>
      <c r="M436" t="s">
        <v>36</v>
      </c>
      <c r="N436">
        <v>330</v>
      </c>
      <c r="P436" t="s">
        <v>59</v>
      </c>
      <c r="Q436" t="str">
        <f>VLOOKUP(B436,'Player Register'!$B$6:$D$125,3,FALSE())</f>
        <v>65–80</v>
      </c>
    </row>
    <row r="437" spans="2:17" x14ac:dyDescent="0.2">
      <c r="B437">
        <v>3090</v>
      </c>
      <c r="C437">
        <v>3</v>
      </c>
      <c r="D437" t="s">
        <v>58</v>
      </c>
      <c r="E437">
        <v>0.31</v>
      </c>
      <c r="F437">
        <v>200</v>
      </c>
      <c r="G437">
        <v>10</v>
      </c>
      <c r="H437">
        <v>4</v>
      </c>
      <c r="I437">
        <v>0</v>
      </c>
      <c r="J437">
        <v>55.6</v>
      </c>
      <c r="K437">
        <v>10.8</v>
      </c>
      <c r="L437">
        <v>0.6</v>
      </c>
      <c r="M437" t="s">
        <v>36</v>
      </c>
      <c r="N437">
        <v>350</v>
      </c>
      <c r="P437" t="s">
        <v>70</v>
      </c>
      <c r="Q437" t="str">
        <f>VLOOKUP(B437,'Player Register'!$B$6:$D$125,3,FALSE())</f>
        <v>65–80</v>
      </c>
    </row>
    <row r="438" spans="2:17" x14ac:dyDescent="0.2">
      <c r="B438">
        <v>3090</v>
      </c>
      <c r="C438">
        <v>4</v>
      </c>
      <c r="D438" t="s">
        <v>84</v>
      </c>
      <c r="E438">
        <v>0.31</v>
      </c>
      <c r="F438">
        <v>200</v>
      </c>
      <c r="G438">
        <v>4</v>
      </c>
      <c r="H438">
        <v>2</v>
      </c>
      <c r="I438">
        <v>0</v>
      </c>
      <c r="J438">
        <v>40.200000000000003</v>
      </c>
      <c r="K438">
        <v>10.8</v>
      </c>
      <c r="L438">
        <v>0.6</v>
      </c>
      <c r="M438" t="s">
        <v>36</v>
      </c>
      <c r="N438">
        <v>290</v>
      </c>
      <c r="P438" t="s">
        <v>59</v>
      </c>
      <c r="Q438" t="str">
        <f>VLOOKUP(B438,'Player Register'!$B$6:$D$125,3,FALSE())</f>
        <v>65–80</v>
      </c>
    </row>
    <row r="439" spans="2:17" x14ac:dyDescent="0.2">
      <c r="B439">
        <v>3090</v>
      </c>
      <c r="C439">
        <v>5</v>
      </c>
      <c r="D439" t="s">
        <v>63</v>
      </c>
      <c r="E439">
        <v>0.28999999999999998</v>
      </c>
      <c r="F439">
        <v>200</v>
      </c>
      <c r="G439">
        <v>9</v>
      </c>
      <c r="H439">
        <v>1</v>
      </c>
      <c r="I439">
        <v>0</v>
      </c>
      <c r="J439">
        <v>56.6</v>
      </c>
      <c r="K439">
        <v>12.6</v>
      </c>
      <c r="L439">
        <v>0.7</v>
      </c>
      <c r="M439" t="s">
        <v>36</v>
      </c>
      <c r="N439">
        <v>340</v>
      </c>
      <c r="P439" t="s">
        <v>73</v>
      </c>
      <c r="Q439" t="str">
        <f>VLOOKUP(B439,'Player Register'!$B$6:$D$125,3,FALSE())</f>
        <v>65–80</v>
      </c>
    </row>
    <row r="440" spans="2:17" x14ac:dyDescent="0.2">
      <c r="B440">
        <v>3091</v>
      </c>
      <c r="C440">
        <v>1</v>
      </c>
      <c r="D440" t="s">
        <v>66</v>
      </c>
      <c r="E440">
        <v>0.31</v>
      </c>
      <c r="F440">
        <v>200</v>
      </c>
      <c r="G440">
        <v>5</v>
      </c>
      <c r="H440">
        <v>2</v>
      </c>
      <c r="I440">
        <v>0</v>
      </c>
      <c r="J440">
        <v>46.2</v>
      </c>
      <c r="K440">
        <v>10.8</v>
      </c>
      <c r="L440">
        <v>0.6</v>
      </c>
      <c r="M440" t="s">
        <v>36</v>
      </c>
      <c r="N440">
        <v>300</v>
      </c>
      <c r="P440" t="s">
        <v>59</v>
      </c>
      <c r="Q440" t="str">
        <f>VLOOKUP(B440,'Player Register'!$B$6:$D$125,3,FALSE())</f>
        <v>65–80</v>
      </c>
    </row>
    <row r="441" spans="2:17" x14ac:dyDescent="0.2">
      <c r="B441">
        <v>3091</v>
      </c>
      <c r="C441">
        <v>2</v>
      </c>
      <c r="D441" t="s">
        <v>83</v>
      </c>
      <c r="E441">
        <v>0.35</v>
      </c>
      <c r="F441">
        <v>200</v>
      </c>
      <c r="G441">
        <v>5</v>
      </c>
      <c r="H441">
        <v>3</v>
      </c>
      <c r="I441">
        <v>0</v>
      </c>
      <c r="J441">
        <v>40.6</v>
      </c>
      <c r="K441">
        <v>10.8</v>
      </c>
      <c r="L441">
        <v>0.45</v>
      </c>
      <c r="M441" t="s">
        <v>36</v>
      </c>
      <c r="N441">
        <v>300</v>
      </c>
      <c r="P441" t="s">
        <v>64</v>
      </c>
      <c r="Q441" t="str">
        <f>VLOOKUP(B441,'Player Register'!$B$6:$D$125,3,FALSE())</f>
        <v>65–80</v>
      </c>
    </row>
    <row r="442" spans="2:17" x14ac:dyDescent="0.2">
      <c r="B442">
        <v>3091</v>
      </c>
      <c r="C442">
        <v>3</v>
      </c>
      <c r="D442" t="s">
        <v>67</v>
      </c>
      <c r="E442">
        <v>0.31</v>
      </c>
      <c r="F442">
        <v>200</v>
      </c>
      <c r="G442">
        <v>6</v>
      </c>
      <c r="H442">
        <v>1</v>
      </c>
      <c r="I442">
        <v>0</v>
      </c>
      <c r="J442">
        <v>47.5</v>
      </c>
      <c r="K442">
        <v>10.8</v>
      </c>
      <c r="L442">
        <v>0.6</v>
      </c>
      <c r="M442" t="s">
        <v>36</v>
      </c>
      <c r="N442">
        <v>310</v>
      </c>
      <c r="P442" t="s">
        <v>61</v>
      </c>
      <c r="Q442" t="str">
        <f>VLOOKUP(B442,'Player Register'!$B$6:$D$125,3,FALSE())</f>
        <v>65–80</v>
      </c>
    </row>
    <row r="443" spans="2:17" x14ac:dyDescent="0.2">
      <c r="B443">
        <v>3091</v>
      </c>
      <c r="C443">
        <v>4</v>
      </c>
      <c r="D443" t="s">
        <v>58</v>
      </c>
      <c r="E443">
        <v>0.31</v>
      </c>
      <c r="F443">
        <v>200</v>
      </c>
      <c r="G443">
        <v>8</v>
      </c>
      <c r="H443">
        <v>3</v>
      </c>
      <c r="I443">
        <v>0</v>
      </c>
      <c r="J443">
        <v>55.5</v>
      </c>
      <c r="K443">
        <v>10.8</v>
      </c>
      <c r="L443">
        <v>0.45</v>
      </c>
      <c r="M443" t="s">
        <v>36</v>
      </c>
      <c r="N443">
        <v>330</v>
      </c>
      <c r="P443" t="s">
        <v>64</v>
      </c>
      <c r="Q443" t="str">
        <f>VLOOKUP(B443,'Player Register'!$B$6:$D$125,3,FALSE())</f>
        <v>65–80</v>
      </c>
    </row>
    <row r="444" spans="2:17" x14ac:dyDescent="0.2">
      <c r="B444">
        <v>3091</v>
      </c>
      <c r="C444">
        <v>5</v>
      </c>
      <c r="D444" t="s">
        <v>62</v>
      </c>
      <c r="E444">
        <v>0.31</v>
      </c>
      <c r="F444">
        <v>200</v>
      </c>
      <c r="G444">
        <v>9</v>
      </c>
      <c r="H444">
        <v>2</v>
      </c>
      <c r="I444">
        <v>0</v>
      </c>
      <c r="J444">
        <v>43.3</v>
      </c>
      <c r="K444">
        <v>10.8</v>
      </c>
      <c r="L444">
        <v>0.6</v>
      </c>
      <c r="M444" t="s">
        <v>36</v>
      </c>
      <c r="N444">
        <v>340</v>
      </c>
      <c r="P444" t="s">
        <v>59</v>
      </c>
      <c r="Q444" t="str">
        <f>VLOOKUP(B444,'Player Register'!$B$6:$D$125,3,FALSE())</f>
        <v>65–80</v>
      </c>
    </row>
    <row r="445" spans="2:17" x14ac:dyDescent="0.2">
      <c r="B445">
        <v>3092</v>
      </c>
      <c r="C445">
        <v>1</v>
      </c>
      <c r="D445" t="s">
        <v>80</v>
      </c>
      <c r="E445">
        <v>0.35</v>
      </c>
      <c r="F445">
        <v>200</v>
      </c>
      <c r="G445">
        <v>4</v>
      </c>
      <c r="H445">
        <v>4</v>
      </c>
      <c r="I445">
        <v>0</v>
      </c>
      <c r="J445">
        <v>30</v>
      </c>
      <c r="K445">
        <v>10.8</v>
      </c>
      <c r="L445">
        <v>0.45</v>
      </c>
      <c r="M445" t="s">
        <v>36</v>
      </c>
      <c r="N445">
        <v>290</v>
      </c>
      <c r="P445" t="s">
        <v>70</v>
      </c>
      <c r="Q445" t="str">
        <f>VLOOKUP(B445,'Player Register'!$B$6:$D$125,3,FALSE())</f>
        <v>65–80</v>
      </c>
    </row>
    <row r="446" spans="2:17" x14ac:dyDescent="0.2">
      <c r="B446">
        <v>3092</v>
      </c>
      <c r="C446">
        <v>2</v>
      </c>
      <c r="D446" t="s">
        <v>89</v>
      </c>
      <c r="E446">
        <v>0.31</v>
      </c>
      <c r="F446">
        <v>200</v>
      </c>
      <c r="G446">
        <v>1</v>
      </c>
      <c r="H446">
        <v>4</v>
      </c>
      <c r="I446">
        <v>0</v>
      </c>
      <c r="J446">
        <v>44.5</v>
      </c>
      <c r="K446">
        <v>10.8</v>
      </c>
      <c r="L446">
        <v>0.6</v>
      </c>
      <c r="M446" t="s">
        <v>36</v>
      </c>
      <c r="N446">
        <v>260</v>
      </c>
      <c r="P446" t="s">
        <v>70</v>
      </c>
      <c r="Q446" t="str">
        <f>VLOOKUP(B446,'Player Register'!$B$6:$D$125,3,FALSE())</f>
        <v>65–80</v>
      </c>
    </row>
    <row r="447" spans="2:17" x14ac:dyDescent="0.2">
      <c r="B447">
        <v>3092</v>
      </c>
      <c r="C447">
        <v>3</v>
      </c>
      <c r="D447" t="s">
        <v>82</v>
      </c>
      <c r="E447">
        <v>0.31</v>
      </c>
      <c r="F447">
        <v>200</v>
      </c>
      <c r="G447">
        <v>2</v>
      </c>
      <c r="H447">
        <v>2</v>
      </c>
      <c r="I447">
        <v>0</v>
      </c>
      <c r="J447">
        <v>41</v>
      </c>
      <c r="K447">
        <v>10.8</v>
      </c>
      <c r="L447">
        <v>0.6</v>
      </c>
      <c r="M447" t="s">
        <v>36</v>
      </c>
      <c r="N447">
        <v>270</v>
      </c>
      <c r="P447" t="s">
        <v>59</v>
      </c>
      <c r="Q447" t="str">
        <f>VLOOKUP(B447,'Player Register'!$B$6:$D$125,3,FALSE())</f>
        <v>65–80</v>
      </c>
    </row>
    <row r="448" spans="2:17" x14ac:dyDescent="0.2">
      <c r="B448">
        <v>3092</v>
      </c>
      <c r="C448">
        <v>4</v>
      </c>
      <c r="D448" t="s">
        <v>78</v>
      </c>
      <c r="E448">
        <v>0.35</v>
      </c>
      <c r="F448">
        <v>200</v>
      </c>
      <c r="G448">
        <v>1</v>
      </c>
      <c r="H448">
        <v>2</v>
      </c>
      <c r="I448">
        <v>0</v>
      </c>
      <c r="J448">
        <v>32.799999999999997</v>
      </c>
      <c r="K448">
        <v>10.8</v>
      </c>
      <c r="L448">
        <v>0.45</v>
      </c>
      <c r="M448" t="s">
        <v>36</v>
      </c>
      <c r="N448">
        <v>260</v>
      </c>
      <c r="P448" t="s">
        <v>59</v>
      </c>
      <c r="Q448" t="str">
        <f>VLOOKUP(B448,'Player Register'!$B$6:$D$125,3,FALSE())</f>
        <v>65–80</v>
      </c>
    </row>
    <row r="449" spans="2:17" x14ac:dyDescent="0.2">
      <c r="B449">
        <v>3092</v>
      </c>
      <c r="C449">
        <v>5</v>
      </c>
      <c r="D449" t="s">
        <v>66</v>
      </c>
      <c r="E449">
        <v>0.31</v>
      </c>
      <c r="F449">
        <v>200</v>
      </c>
      <c r="G449">
        <v>10</v>
      </c>
      <c r="H449">
        <v>3</v>
      </c>
      <c r="I449">
        <v>0</v>
      </c>
      <c r="J449">
        <v>34.5</v>
      </c>
      <c r="K449">
        <v>10.8</v>
      </c>
      <c r="L449">
        <v>0.45</v>
      </c>
      <c r="M449" t="s">
        <v>36</v>
      </c>
      <c r="N449">
        <v>350</v>
      </c>
      <c r="P449" t="s">
        <v>64</v>
      </c>
      <c r="Q449" t="str">
        <f>VLOOKUP(B449,'Player Register'!$B$6:$D$125,3,FALSE())</f>
        <v>65–80</v>
      </c>
    </row>
    <row r="450" spans="2:17" x14ac:dyDescent="0.2">
      <c r="B450">
        <v>3093</v>
      </c>
      <c r="C450">
        <v>1</v>
      </c>
      <c r="D450" t="s">
        <v>76</v>
      </c>
      <c r="E450">
        <v>0.31</v>
      </c>
      <c r="F450">
        <v>200</v>
      </c>
      <c r="G450">
        <v>8</v>
      </c>
      <c r="H450">
        <v>2</v>
      </c>
      <c r="I450">
        <v>0</v>
      </c>
      <c r="J450">
        <v>62.3</v>
      </c>
      <c r="K450">
        <v>10.8</v>
      </c>
      <c r="L450">
        <v>0.6</v>
      </c>
      <c r="M450" t="s">
        <v>36</v>
      </c>
      <c r="N450">
        <v>330</v>
      </c>
      <c r="P450" t="s">
        <v>59</v>
      </c>
      <c r="Q450" t="str">
        <f>VLOOKUP(B450,'Player Register'!$B$6:$D$125,3,FALSE())</f>
        <v>65–80</v>
      </c>
    </row>
    <row r="451" spans="2:17" x14ac:dyDescent="0.2">
      <c r="B451">
        <v>3093</v>
      </c>
      <c r="C451">
        <v>2</v>
      </c>
      <c r="D451" t="s">
        <v>66</v>
      </c>
      <c r="E451">
        <v>0.35</v>
      </c>
      <c r="F451">
        <v>200</v>
      </c>
      <c r="G451">
        <v>11</v>
      </c>
      <c r="H451">
        <v>2</v>
      </c>
      <c r="I451">
        <v>0</v>
      </c>
      <c r="J451">
        <v>41.3</v>
      </c>
      <c r="K451">
        <v>10.8</v>
      </c>
      <c r="L451">
        <v>0.45</v>
      </c>
      <c r="M451" t="s">
        <v>36</v>
      </c>
      <c r="N451">
        <v>360</v>
      </c>
      <c r="P451" t="s">
        <v>59</v>
      </c>
      <c r="Q451" t="str">
        <f>VLOOKUP(B451,'Player Register'!$B$6:$D$125,3,FALSE())</f>
        <v>65–80</v>
      </c>
    </row>
    <row r="452" spans="2:17" x14ac:dyDescent="0.2">
      <c r="B452">
        <v>3093</v>
      </c>
      <c r="C452">
        <v>3</v>
      </c>
      <c r="D452" t="s">
        <v>67</v>
      </c>
      <c r="E452">
        <v>0.31</v>
      </c>
      <c r="F452">
        <v>200</v>
      </c>
      <c r="G452">
        <v>10</v>
      </c>
      <c r="H452">
        <v>3</v>
      </c>
      <c r="I452">
        <v>0</v>
      </c>
      <c r="J452">
        <v>53.7</v>
      </c>
      <c r="K452">
        <v>10.8</v>
      </c>
      <c r="L452">
        <v>0.6</v>
      </c>
      <c r="M452" t="s">
        <v>36</v>
      </c>
      <c r="N452">
        <v>350</v>
      </c>
      <c r="P452" t="s">
        <v>64</v>
      </c>
      <c r="Q452" t="str">
        <f>VLOOKUP(B452,'Player Register'!$B$6:$D$125,3,FALSE())</f>
        <v>65–80</v>
      </c>
    </row>
    <row r="453" spans="2:17" x14ac:dyDescent="0.2">
      <c r="B453">
        <v>3093</v>
      </c>
      <c r="C453">
        <v>4</v>
      </c>
      <c r="D453" t="s">
        <v>60</v>
      </c>
      <c r="E453">
        <v>0.28999999999999998</v>
      </c>
      <c r="F453">
        <v>200</v>
      </c>
      <c r="G453">
        <v>6</v>
      </c>
      <c r="H453">
        <v>0</v>
      </c>
      <c r="I453">
        <v>0</v>
      </c>
      <c r="J453">
        <v>72.900000000000006</v>
      </c>
      <c r="K453">
        <v>12.6</v>
      </c>
      <c r="L453">
        <v>0.7</v>
      </c>
      <c r="M453" t="s">
        <v>36</v>
      </c>
      <c r="N453">
        <v>310</v>
      </c>
      <c r="P453" t="s">
        <v>68</v>
      </c>
      <c r="Q453" t="str">
        <f>VLOOKUP(B453,'Player Register'!$B$6:$D$125,3,FALSE())</f>
        <v>65–80</v>
      </c>
    </row>
    <row r="454" spans="2:17" x14ac:dyDescent="0.2">
      <c r="B454">
        <v>3093</v>
      </c>
      <c r="C454">
        <v>5</v>
      </c>
      <c r="D454" t="s">
        <v>71</v>
      </c>
      <c r="E454">
        <v>0.31</v>
      </c>
      <c r="F454">
        <v>200</v>
      </c>
      <c r="G454">
        <v>4</v>
      </c>
      <c r="H454">
        <v>1</v>
      </c>
      <c r="I454">
        <v>0</v>
      </c>
      <c r="J454">
        <v>75.900000000000006</v>
      </c>
      <c r="K454">
        <v>10.8</v>
      </c>
      <c r="L454">
        <v>0.6</v>
      </c>
      <c r="M454" t="s">
        <v>36</v>
      </c>
      <c r="N454">
        <v>290</v>
      </c>
      <c r="P454" t="s">
        <v>61</v>
      </c>
      <c r="Q454" t="str">
        <f>VLOOKUP(B454,'Player Register'!$B$6:$D$125,3,FALSE())</f>
        <v>65–80</v>
      </c>
    </row>
    <row r="455" spans="2:17" x14ac:dyDescent="0.2">
      <c r="B455">
        <v>3094</v>
      </c>
      <c r="C455">
        <v>1</v>
      </c>
      <c r="D455" t="s">
        <v>80</v>
      </c>
      <c r="E455">
        <v>0.35</v>
      </c>
      <c r="F455">
        <v>200</v>
      </c>
      <c r="G455">
        <v>4</v>
      </c>
      <c r="H455">
        <v>3</v>
      </c>
      <c r="I455">
        <v>0</v>
      </c>
      <c r="J455">
        <v>42</v>
      </c>
      <c r="K455">
        <v>10.8</v>
      </c>
      <c r="L455">
        <v>0.45</v>
      </c>
      <c r="M455" t="s">
        <v>36</v>
      </c>
      <c r="N455">
        <v>290</v>
      </c>
      <c r="P455" t="s">
        <v>64</v>
      </c>
      <c r="Q455" t="str">
        <f>VLOOKUP(B455,'Player Register'!$B$6:$D$125,3,FALSE())</f>
        <v>65–80</v>
      </c>
    </row>
    <row r="456" spans="2:17" x14ac:dyDescent="0.2">
      <c r="B456">
        <v>3094</v>
      </c>
      <c r="C456">
        <v>2</v>
      </c>
      <c r="D456" t="s">
        <v>88</v>
      </c>
      <c r="E456">
        <v>0.31</v>
      </c>
      <c r="F456">
        <v>200</v>
      </c>
      <c r="G456">
        <v>6</v>
      </c>
      <c r="H456">
        <v>3</v>
      </c>
      <c r="I456">
        <v>0</v>
      </c>
      <c r="J456">
        <v>45.9</v>
      </c>
      <c r="K456">
        <v>10.8</v>
      </c>
      <c r="L456">
        <v>0.6</v>
      </c>
      <c r="M456" t="s">
        <v>36</v>
      </c>
      <c r="N456">
        <v>310</v>
      </c>
      <c r="P456" t="s">
        <v>64</v>
      </c>
      <c r="Q456" t="str">
        <f>VLOOKUP(B456,'Player Register'!$B$6:$D$125,3,FALSE())</f>
        <v>65–80</v>
      </c>
    </row>
    <row r="457" spans="2:17" x14ac:dyDescent="0.2">
      <c r="B457">
        <v>3094</v>
      </c>
      <c r="C457">
        <v>3</v>
      </c>
      <c r="D457" t="s">
        <v>81</v>
      </c>
      <c r="E457">
        <v>0.34</v>
      </c>
      <c r="F457">
        <v>200</v>
      </c>
      <c r="G457">
        <v>6</v>
      </c>
      <c r="H457">
        <v>2</v>
      </c>
      <c r="I457">
        <v>0</v>
      </c>
      <c r="J457">
        <v>42.4</v>
      </c>
      <c r="K457">
        <v>10.8</v>
      </c>
      <c r="L457">
        <v>0.55000000000000004</v>
      </c>
      <c r="M457" t="s">
        <v>36</v>
      </c>
      <c r="N457">
        <v>310</v>
      </c>
      <c r="P457" t="s">
        <v>59</v>
      </c>
      <c r="Q457" t="str">
        <f>VLOOKUP(B457,'Player Register'!$B$6:$D$125,3,FALSE())</f>
        <v>65–80</v>
      </c>
    </row>
    <row r="458" spans="2:17" x14ac:dyDescent="0.2">
      <c r="B458">
        <v>3094</v>
      </c>
      <c r="C458">
        <v>4</v>
      </c>
      <c r="D458" t="s">
        <v>89</v>
      </c>
      <c r="E458">
        <v>0.31</v>
      </c>
      <c r="F458">
        <v>200</v>
      </c>
      <c r="G458">
        <v>6</v>
      </c>
      <c r="H458">
        <v>3</v>
      </c>
      <c r="I458">
        <v>0</v>
      </c>
      <c r="J458">
        <v>32.5</v>
      </c>
      <c r="K458">
        <v>10.8</v>
      </c>
      <c r="L458">
        <v>0.6</v>
      </c>
      <c r="M458" t="s">
        <v>36</v>
      </c>
      <c r="N458">
        <v>310</v>
      </c>
      <c r="P458" t="s">
        <v>64</v>
      </c>
      <c r="Q458" t="str">
        <f>VLOOKUP(B458,'Player Register'!$B$6:$D$125,3,FALSE())</f>
        <v>65–80</v>
      </c>
    </row>
    <row r="459" spans="2:17" x14ac:dyDescent="0.2">
      <c r="B459">
        <v>3094</v>
      </c>
      <c r="C459">
        <v>5</v>
      </c>
      <c r="D459" t="s">
        <v>82</v>
      </c>
      <c r="E459">
        <v>0.31</v>
      </c>
      <c r="F459">
        <v>200</v>
      </c>
      <c r="G459">
        <v>6</v>
      </c>
      <c r="H459">
        <v>1</v>
      </c>
      <c r="I459">
        <v>0</v>
      </c>
      <c r="J459">
        <v>48.7</v>
      </c>
      <c r="K459">
        <v>10.8</v>
      </c>
      <c r="L459">
        <v>0.6</v>
      </c>
      <c r="M459" t="s">
        <v>36</v>
      </c>
      <c r="N459">
        <v>310</v>
      </c>
      <c r="P459" t="s">
        <v>61</v>
      </c>
      <c r="Q459" t="str">
        <f>VLOOKUP(B459,'Player Register'!$B$6:$D$125,3,FALSE())</f>
        <v>65–80</v>
      </c>
    </row>
    <row r="460" spans="2:17" x14ac:dyDescent="0.2">
      <c r="B460">
        <v>3095</v>
      </c>
      <c r="C460">
        <v>1</v>
      </c>
      <c r="D460" t="s">
        <v>76</v>
      </c>
      <c r="E460">
        <v>0.31</v>
      </c>
      <c r="F460">
        <v>200</v>
      </c>
      <c r="G460">
        <v>11</v>
      </c>
      <c r="H460">
        <v>3</v>
      </c>
      <c r="I460">
        <v>0</v>
      </c>
      <c r="J460">
        <v>57.4</v>
      </c>
      <c r="K460">
        <v>10.8</v>
      </c>
      <c r="L460">
        <v>0.45</v>
      </c>
      <c r="M460" t="s">
        <v>36</v>
      </c>
      <c r="N460">
        <v>360</v>
      </c>
      <c r="P460" t="s">
        <v>64</v>
      </c>
      <c r="Q460" t="str">
        <f>VLOOKUP(B460,'Player Register'!$B$6:$D$125,3,FALSE())</f>
        <v>65–80</v>
      </c>
    </row>
    <row r="461" spans="2:17" x14ac:dyDescent="0.2">
      <c r="B461">
        <v>3095</v>
      </c>
      <c r="C461">
        <v>2</v>
      </c>
      <c r="D461" t="s">
        <v>77</v>
      </c>
      <c r="E461">
        <v>0.31</v>
      </c>
      <c r="F461">
        <v>200</v>
      </c>
      <c r="G461">
        <v>4</v>
      </c>
      <c r="H461">
        <v>2</v>
      </c>
      <c r="I461">
        <v>0</v>
      </c>
      <c r="J461">
        <v>50.1</v>
      </c>
      <c r="K461">
        <v>10.8</v>
      </c>
      <c r="L461">
        <v>0.6</v>
      </c>
      <c r="M461" t="s">
        <v>36</v>
      </c>
      <c r="N461">
        <v>290</v>
      </c>
      <c r="P461" t="s">
        <v>59</v>
      </c>
      <c r="Q461" t="str">
        <f>VLOOKUP(B461,'Player Register'!$B$6:$D$125,3,FALSE())</f>
        <v>65–80</v>
      </c>
    </row>
    <row r="462" spans="2:17" x14ac:dyDescent="0.2">
      <c r="B462">
        <v>3095</v>
      </c>
      <c r="C462">
        <v>3</v>
      </c>
      <c r="D462" t="s">
        <v>83</v>
      </c>
      <c r="E462">
        <v>0.28999999999999998</v>
      </c>
      <c r="F462">
        <v>200</v>
      </c>
      <c r="G462">
        <v>5</v>
      </c>
      <c r="H462">
        <v>1</v>
      </c>
      <c r="I462">
        <v>0</v>
      </c>
      <c r="J462">
        <v>66.3</v>
      </c>
      <c r="K462">
        <v>12.6</v>
      </c>
      <c r="L462">
        <v>0.7</v>
      </c>
      <c r="M462" t="s">
        <v>36</v>
      </c>
      <c r="N462">
        <v>300</v>
      </c>
      <c r="P462" t="s">
        <v>73</v>
      </c>
      <c r="Q462" t="str">
        <f>VLOOKUP(B462,'Player Register'!$B$6:$D$125,3,FALSE())</f>
        <v>65–80</v>
      </c>
    </row>
    <row r="463" spans="2:17" x14ac:dyDescent="0.2">
      <c r="B463">
        <v>3095</v>
      </c>
      <c r="C463">
        <v>6</v>
      </c>
      <c r="D463" t="s">
        <v>75</v>
      </c>
      <c r="E463">
        <v>0.31</v>
      </c>
      <c r="F463">
        <v>200</v>
      </c>
      <c r="G463">
        <v>11</v>
      </c>
      <c r="H463">
        <v>2</v>
      </c>
      <c r="I463">
        <v>0</v>
      </c>
      <c r="J463">
        <v>62.4</v>
      </c>
      <c r="K463">
        <v>10.8</v>
      </c>
      <c r="L463">
        <v>0.6</v>
      </c>
      <c r="M463" t="s">
        <v>36</v>
      </c>
      <c r="N463">
        <v>360</v>
      </c>
      <c r="P463" t="s">
        <v>59</v>
      </c>
      <c r="Q463" t="str">
        <f>VLOOKUP(B463,'Player Register'!$B$6:$D$125,3,FALSE())</f>
        <v>65–80</v>
      </c>
    </row>
    <row r="464" spans="2:17" x14ac:dyDescent="0.2">
      <c r="B464">
        <v>3095</v>
      </c>
      <c r="C464">
        <v>7</v>
      </c>
      <c r="D464" t="s">
        <v>90</v>
      </c>
      <c r="E464">
        <v>0.35</v>
      </c>
      <c r="F464">
        <v>200</v>
      </c>
      <c r="G464">
        <v>5</v>
      </c>
      <c r="H464">
        <v>2</v>
      </c>
      <c r="I464">
        <v>0</v>
      </c>
      <c r="J464">
        <v>46</v>
      </c>
      <c r="K464">
        <v>10.8</v>
      </c>
      <c r="L464">
        <v>0.45</v>
      </c>
      <c r="M464" t="s">
        <v>36</v>
      </c>
      <c r="N464">
        <v>300</v>
      </c>
      <c r="P464" t="s">
        <v>59</v>
      </c>
      <c r="Q464" t="str">
        <f>VLOOKUP(B464,'Player Register'!$B$6:$D$125,3,FALSE())</f>
        <v>65–80</v>
      </c>
    </row>
    <row r="465" spans="2:17" x14ac:dyDescent="0.2">
      <c r="B465">
        <v>3096</v>
      </c>
      <c r="C465">
        <v>1</v>
      </c>
      <c r="D465" t="s">
        <v>62</v>
      </c>
      <c r="E465">
        <v>0.34</v>
      </c>
      <c r="F465">
        <v>200</v>
      </c>
      <c r="G465">
        <v>6</v>
      </c>
      <c r="H465">
        <v>2</v>
      </c>
      <c r="I465">
        <v>0</v>
      </c>
      <c r="J465">
        <v>49.4</v>
      </c>
      <c r="K465">
        <v>10.8</v>
      </c>
      <c r="L465">
        <v>0.55000000000000004</v>
      </c>
      <c r="M465" t="s">
        <v>36</v>
      </c>
      <c r="N465">
        <v>310</v>
      </c>
      <c r="P465" t="s">
        <v>59</v>
      </c>
      <c r="Q465" t="str">
        <f>VLOOKUP(B465,'Player Register'!$B$6:$D$125,3,FALSE())</f>
        <v>65–80</v>
      </c>
    </row>
    <row r="466" spans="2:17" x14ac:dyDescent="0.2">
      <c r="B466">
        <v>3096</v>
      </c>
      <c r="C466">
        <v>2</v>
      </c>
      <c r="D466" t="s">
        <v>63</v>
      </c>
      <c r="E466">
        <v>0.31</v>
      </c>
      <c r="F466">
        <v>200</v>
      </c>
      <c r="G466">
        <v>8</v>
      </c>
      <c r="H466">
        <v>3</v>
      </c>
      <c r="I466">
        <v>0</v>
      </c>
      <c r="J466">
        <v>54.3</v>
      </c>
      <c r="K466">
        <v>10.8</v>
      </c>
      <c r="L466">
        <v>0.45</v>
      </c>
      <c r="M466" t="s">
        <v>36</v>
      </c>
      <c r="N466">
        <v>330</v>
      </c>
      <c r="P466" t="s">
        <v>64</v>
      </c>
      <c r="Q466" t="str">
        <f>VLOOKUP(B466,'Player Register'!$B$6:$D$125,3,FALSE())</f>
        <v>65–80</v>
      </c>
    </row>
    <row r="467" spans="2:17" x14ac:dyDescent="0.2">
      <c r="B467">
        <v>3096</v>
      </c>
      <c r="C467">
        <v>3</v>
      </c>
      <c r="D467" t="s">
        <v>65</v>
      </c>
      <c r="E467">
        <v>0.28999999999999998</v>
      </c>
      <c r="F467">
        <v>200</v>
      </c>
      <c r="G467">
        <v>9</v>
      </c>
      <c r="H467">
        <v>2</v>
      </c>
      <c r="I467">
        <v>0</v>
      </c>
      <c r="J467">
        <v>62.3</v>
      </c>
      <c r="K467">
        <v>12.6</v>
      </c>
      <c r="L467">
        <v>0.7</v>
      </c>
      <c r="M467" t="s">
        <v>36</v>
      </c>
      <c r="N467">
        <v>340</v>
      </c>
      <c r="P467" t="s">
        <v>61</v>
      </c>
      <c r="Q467" t="str">
        <f>VLOOKUP(B467,'Player Register'!$B$6:$D$125,3,FALSE())</f>
        <v>65–80</v>
      </c>
    </row>
    <row r="468" spans="2:17" x14ac:dyDescent="0.2">
      <c r="B468">
        <v>3096</v>
      </c>
      <c r="C468">
        <v>4</v>
      </c>
      <c r="D468" t="s">
        <v>91</v>
      </c>
      <c r="E468">
        <v>0.31</v>
      </c>
      <c r="F468">
        <v>200</v>
      </c>
      <c r="G468">
        <v>3</v>
      </c>
      <c r="H468">
        <v>2</v>
      </c>
      <c r="I468">
        <v>0</v>
      </c>
      <c r="J468">
        <v>58.2</v>
      </c>
      <c r="K468">
        <v>10.8</v>
      </c>
      <c r="L468">
        <v>0.6</v>
      </c>
      <c r="M468" t="s">
        <v>36</v>
      </c>
      <c r="N468">
        <v>280</v>
      </c>
      <c r="P468" t="s">
        <v>59</v>
      </c>
      <c r="Q468" t="str">
        <f>VLOOKUP(B468,'Player Register'!$B$6:$D$125,3,FALSE())</f>
        <v>65–80</v>
      </c>
    </row>
    <row r="469" spans="2:17" x14ac:dyDescent="0.2">
      <c r="B469">
        <v>3096</v>
      </c>
      <c r="C469">
        <v>5</v>
      </c>
      <c r="D469" t="s">
        <v>74</v>
      </c>
      <c r="E469">
        <v>0.31</v>
      </c>
      <c r="F469">
        <v>200</v>
      </c>
      <c r="G469">
        <v>5</v>
      </c>
      <c r="H469">
        <v>1</v>
      </c>
      <c r="I469">
        <v>0</v>
      </c>
      <c r="J469">
        <v>63.7</v>
      </c>
      <c r="K469">
        <v>10.8</v>
      </c>
      <c r="L469">
        <v>0.6</v>
      </c>
      <c r="M469" t="s">
        <v>36</v>
      </c>
      <c r="N469">
        <v>300</v>
      </c>
      <c r="P469" t="s">
        <v>61</v>
      </c>
      <c r="Q469" t="str">
        <f>VLOOKUP(B469,'Player Register'!$B$6:$D$125,3,FALSE())</f>
        <v>65–80</v>
      </c>
    </row>
    <row r="470" spans="2:17" x14ac:dyDescent="0.2">
      <c r="B470">
        <v>3097</v>
      </c>
      <c r="C470">
        <v>1</v>
      </c>
      <c r="D470" t="s">
        <v>82</v>
      </c>
      <c r="E470">
        <v>0.28999999999999998</v>
      </c>
      <c r="F470">
        <v>200</v>
      </c>
      <c r="G470">
        <v>8</v>
      </c>
      <c r="H470">
        <v>2</v>
      </c>
      <c r="I470">
        <v>0</v>
      </c>
      <c r="J470">
        <v>63.4</v>
      </c>
      <c r="K470">
        <v>12.6</v>
      </c>
      <c r="L470">
        <v>0.7</v>
      </c>
      <c r="M470" t="s">
        <v>36</v>
      </c>
      <c r="N470">
        <v>330</v>
      </c>
      <c r="P470" t="s">
        <v>61</v>
      </c>
      <c r="Q470" t="str">
        <f>VLOOKUP(B470,'Player Register'!$B$6:$D$125,3,FALSE())</f>
        <v>65–80</v>
      </c>
    </row>
    <row r="471" spans="2:17" x14ac:dyDescent="0.2">
      <c r="B471">
        <v>3097</v>
      </c>
      <c r="C471">
        <v>2</v>
      </c>
      <c r="D471" t="s">
        <v>77</v>
      </c>
      <c r="E471">
        <v>0.38</v>
      </c>
      <c r="F471">
        <v>200</v>
      </c>
      <c r="G471">
        <v>9</v>
      </c>
      <c r="H471">
        <v>4</v>
      </c>
      <c r="I471">
        <v>0</v>
      </c>
      <c r="J471">
        <v>43.9</v>
      </c>
      <c r="K471">
        <v>10.8</v>
      </c>
      <c r="L471">
        <v>0.45</v>
      </c>
      <c r="M471" t="s">
        <v>36</v>
      </c>
      <c r="N471">
        <v>340</v>
      </c>
      <c r="P471" t="s">
        <v>70</v>
      </c>
      <c r="Q471" t="str">
        <f>VLOOKUP(B471,'Player Register'!$B$6:$D$125,3,FALSE())</f>
        <v>65–80</v>
      </c>
    </row>
    <row r="472" spans="2:17" x14ac:dyDescent="0.2">
      <c r="B472">
        <v>3097</v>
      </c>
      <c r="C472">
        <v>3</v>
      </c>
      <c r="D472" t="s">
        <v>78</v>
      </c>
      <c r="E472">
        <v>0.28999999999999998</v>
      </c>
      <c r="F472">
        <v>200</v>
      </c>
      <c r="G472">
        <v>3</v>
      </c>
      <c r="H472">
        <v>3</v>
      </c>
      <c r="I472">
        <v>0</v>
      </c>
      <c r="J472">
        <v>61.5</v>
      </c>
      <c r="K472">
        <v>12.6</v>
      </c>
      <c r="L472">
        <v>0.7</v>
      </c>
      <c r="M472" t="s">
        <v>36</v>
      </c>
      <c r="N472">
        <v>280</v>
      </c>
      <c r="P472" t="s">
        <v>59</v>
      </c>
      <c r="Q472" t="str">
        <f>VLOOKUP(B472,'Player Register'!$B$6:$D$125,3,FALSE())</f>
        <v>65–80</v>
      </c>
    </row>
    <row r="473" spans="2:17" x14ac:dyDescent="0.2">
      <c r="B473">
        <v>3097</v>
      </c>
      <c r="C473">
        <v>4</v>
      </c>
      <c r="D473" t="s">
        <v>79</v>
      </c>
      <c r="E473">
        <v>0.31</v>
      </c>
      <c r="F473">
        <v>200</v>
      </c>
      <c r="G473">
        <v>8</v>
      </c>
      <c r="H473">
        <v>2</v>
      </c>
      <c r="I473">
        <v>0</v>
      </c>
      <c r="J473">
        <v>50.7</v>
      </c>
      <c r="K473">
        <v>10.8</v>
      </c>
      <c r="L473">
        <v>0.6</v>
      </c>
      <c r="M473" t="s">
        <v>36</v>
      </c>
      <c r="N473">
        <v>330</v>
      </c>
      <c r="P473" t="s">
        <v>59</v>
      </c>
      <c r="Q473" t="str">
        <f>VLOOKUP(B473,'Player Register'!$B$6:$D$125,3,FALSE())</f>
        <v>65–80</v>
      </c>
    </row>
    <row r="474" spans="2:17" x14ac:dyDescent="0.2">
      <c r="B474">
        <v>3097</v>
      </c>
      <c r="C474">
        <v>5</v>
      </c>
      <c r="D474" t="s">
        <v>58</v>
      </c>
      <c r="E474">
        <v>0.28999999999999998</v>
      </c>
      <c r="F474">
        <v>200</v>
      </c>
      <c r="G474">
        <v>6</v>
      </c>
      <c r="H474">
        <v>1</v>
      </c>
      <c r="I474">
        <v>0</v>
      </c>
      <c r="J474">
        <v>60.1</v>
      </c>
      <c r="K474">
        <v>12.6</v>
      </c>
      <c r="L474">
        <v>0.7</v>
      </c>
      <c r="M474" t="s">
        <v>36</v>
      </c>
      <c r="N474">
        <v>310</v>
      </c>
      <c r="P474" t="s">
        <v>73</v>
      </c>
      <c r="Q474" t="str">
        <f>VLOOKUP(B474,'Player Register'!$B$6:$D$125,3,FALSE())</f>
        <v>65–80</v>
      </c>
    </row>
    <row r="475" spans="2:17" x14ac:dyDescent="0.2">
      <c r="B475">
        <v>3098</v>
      </c>
      <c r="C475">
        <v>1</v>
      </c>
      <c r="D475" t="s">
        <v>77</v>
      </c>
      <c r="E475">
        <v>0.31</v>
      </c>
      <c r="F475">
        <v>200</v>
      </c>
      <c r="G475">
        <v>8</v>
      </c>
      <c r="H475">
        <v>3</v>
      </c>
      <c r="I475">
        <v>0</v>
      </c>
      <c r="J475">
        <v>38.5</v>
      </c>
      <c r="K475">
        <v>10.8</v>
      </c>
      <c r="L475">
        <v>0.6</v>
      </c>
      <c r="M475" t="s">
        <v>36</v>
      </c>
      <c r="N475">
        <v>330</v>
      </c>
      <c r="P475" t="s">
        <v>64</v>
      </c>
      <c r="Q475" t="str">
        <f>VLOOKUP(B475,'Player Register'!$B$6:$D$125,3,FALSE())</f>
        <v>65–80</v>
      </c>
    </row>
    <row r="476" spans="2:17" x14ac:dyDescent="0.2">
      <c r="B476">
        <v>3098</v>
      </c>
      <c r="C476">
        <v>2</v>
      </c>
      <c r="D476" t="s">
        <v>78</v>
      </c>
      <c r="E476">
        <v>0.28999999999999998</v>
      </c>
      <c r="F476">
        <v>200</v>
      </c>
      <c r="G476">
        <v>5</v>
      </c>
      <c r="H476">
        <v>1</v>
      </c>
      <c r="I476">
        <v>0</v>
      </c>
      <c r="J476">
        <v>69.099999999999994</v>
      </c>
      <c r="K476">
        <v>12.6</v>
      </c>
      <c r="L476">
        <v>0.7</v>
      </c>
      <c r="M476" t="s">
        <v>36</v>
      </c>
      <c r="N476">
        <v>300</v>
      </c>
      <c r="P476" t="s">
        <v>73</v>
      </c>
      <c r="Q476" t="str">
        <f>VLOOKUP(B476,'Player Register'!$B$6:$D$125,3,FALSE())</f>
        <v>65–80</v>
      </c>
    </row>
    <row r="477" spans="2:17" x14ac:dyDescent="0.2">
      <c r="B477">
        <v>3098</v>
      </c>
      <c r="C477">
        <v>3</v>
      </c>
      <c r="D477" t="s">
        <v>79</v>
      </c>
      <c r="E477">
        <v>0.31</v>
      </c>
      <c r="F477">
        <v>200</v>
      </c>
      <c r="G477">
        <v>7</v>
      </c>
      <c r="H477">
        <v>0</v>
      </c>
      <c r="I477">
        <v>0</v>
      </c>
      <c r="J477">
        <v>58.9</v>
      </c>
      <c r="K477">
        <v>10.8</v>
      </c>
      <c r="L477">
        <v>0.6</v>
      </c>
      <c r="M477" t="s">
        <v>36</v>
      </c>
      <c r="N477">
        <v>320</v>
      </c>
      <c r="P477" t="s">
        <v>73</v>
      </c>
      <c r="Q477" t="str">
        <f>VLOOKUP(B477,'Player Register'!$B$6:$D$125,3,FALSE())</f>
        <v>65–80</v>
      </c>
    </row>
    <row r="478" spans="2:17" x14ac:dyDescent="0.2">
      <c r="B478">
        <v>3098</v>
      </c>
      <c r="C478">
        <v>4</v>
      </c>
      <c r="D478" t="s">
        <v>69</v>
      </c>
      <c r="E478">
        <v>0.31</v>
      </c>
      <c r="F478">
        <v>200</v>
      </c>
      <c r="G478">
        <v>10</v>
      </c>
      <c r="H478">
        <v>3</v>
      </c>
      <c r="I478">
        <v>0</v>
      </c>
      <c r="J478">
        <v>51.3</v>
      </c>
      <c r="K478">
        <v>10.8</v>
      </c>
      <c r="L478">
        <v>0.6</v>
      </c>
      <c r="M478" t="s">
        <v>36</v>
      </c>
      <c r="N478">
        <v>350</v>
      </c>
      <c r="P478" t="s">
        <v>64</v>
      </c>
      <c r="Q478" t="str">
        <f>VLOOKUP(B478,'Player Register'!$B$6:$D$125,3,FALSE())</f>
        <v>65–80</v>
      </c>
    </row>
    <row r="479" spans="2:17" x14ac:dyDescent="0.2">
      <c r="B479">
        <v>3098</v>
      </c>
      <c r="C479">
        <v>5</v>
      </c>
      <c r="D479" t="s">
        <v>62</v>
      </c>
      <c r="E479">
        <v>0.31</v>
      </c>
      <c r="F479">
        <v>200</v>
      </c>
      <c r="G479">
        <v>14</v>
      </c>
      <c r="H479">
        <v>3</v>
      </c>
      <c r="I479">
        <v>0</v>
      </c>
      <c r="J479">
        <v>66.099999999999994</v>
      </c>
      <c r="K479">
        <v>10.8</v>
      </c>
      <c r="L479">
        <v>0.6</v>
      </c>
      <c r="M479" t="s">
        <v>36</v>
      </c>
      <c r="N479">
        <v>390</v>
      </c>
      <c r="P479" t="s">
        <v>64</v>
      </c>
      <c r="Q479" t="str">
        <f>VLOOKUP(B479,'Player Register'!$B$6:$D$125,3,FALSE())</f>
        <v>65–80</v>
      </c>
    </row>
    <row r="480" spans="2:17" x14ac:dyDescent="0.2">
      <c r="B480">
        <v>3099</v>
      </c>
      <c r="C480">
        <v>1</v>
      </c>
      <c r="D480" t="s">
        <v>58</v>
      </c>
      <c r="E480">
        <v>0.35</v>
      </c>
      <c r="F480">
        <v>200</v>
      </c>
      <c r="G480">
        <v>7</v>
      </c>
      <c r="H480">
        <v>3</v>
      </c>
      <c r="I480">
        <v>0</v>
      </c>
      <c r="J480">
        <v>39.200000000000003</v>
      </c>
      <c r="K480">
        <v>10.8</v>
      </c>
      <c r="L480">
        <v>0.45</v>
      </c>
      <c r="M480" t="s">
        <v>36</v>
      </c>
      <c r="N480">
        <v>320</v>
      </c>
      <c r="P480" t="s">
        <v>64</v>
      </c>
      <c r="Q480" t="str">
        <f>VLOOKUP(B480,'Player Register'!$B$6:$D$125,3,FALSE())</f>
        <v>65–80</v>
      </c>
    </row>
    <row r="481" spans="2:17" x14ac:dyDescent="0.2">
      <c r="B481">
        <v>3099</v>
      </c>
      <c r="C481">
        <v>2</v>
      </c>
      <c r="D481" t="s">
        <v>62</v>
      </c>
      <c r="E481">
        <v>0.31</v>
      </c>
      <c r="F481">
        <v>201</v>
      </c>
      <c r="G481">
        <v>6</v>
      </c>
      <c r="H481">
        <v>0</v>
      </c>
      <c r="I481">
        <v>0</v>
      </c>
      <c r="J481">
        <v>69.5</v>
      </c>
      <c r="K481">
        <v>12.6</v>
      </c>
      <c r="L481">
        <v>0.7</v>
      </c>
      <c r="M481" t="s">
        <v>36</v>
      </c>
      <c r="N481">
        <v>311</v>
      </c>
      <c r="P481" t="s">
        <v>73</v>
      </c>
      <c r="Q481" t="str">
        <f>VLOOKUP(B481,'Player Register'!$B$6:$D$125,3,FALSE())</f>
        <v>65–80</v>
      </c>
    </row>
    <row r="482" spans="2:17" x14ac:dyDescent="0.2">
      <c r="B482">
        <v>3099</v>
      </c>
      <c r="C482">
        <v>3</v>
      </c>
      <c r="D482" t="s">
        <v>84</v>
      </c>
      <c r="E482">
        <v>0.31</v>
      </c>
      <c r="F482">
        <v>200</v>
      </c>
      <c r="G482">
        <v>13</v>
      </c>
      <c r="H482">
        <v>3</v>
      </c>
      <c r="I482">
        <v>0</v>
      </c>
      <c r="J482">
        <v>58.4</v>
      </c>
      <c r="K482">
        <v>10.8</v>
      </c>
      <c r="L482">
        <v>0.6</v>
      </c>
      <c r="M482" t="s">
        <v>36</v>
      </c>
      <c r="N482">
        <v>380</v>
      </c>
      <c r="P482" t="s">
        <v>64</v>
      </c>
      <c r="Q482" t="str">
        <f>VLOOKUP(B482,'Player Register'!$B$6:$D$125,3,FALSE())</f>
        <v>65–80</v>
      </c>
    </row>
    <row r="483" spans="2:17" x14ac:dyDescent="0.2">
      <c r="B483">
        <v>3099</v>
      </c>
      <c r="C483">
        <v>4</v>
      </c>
      <c r="D483" t="s">
        <v>71</v>
      </c>
      <c r="E483">
        <v>0.31</v>
      </c>
      <c r="F483">
        <v>200</v>
      </c>
      <c r="G483">
        <v>7</v>
      </c>
      <c r="H483">
        <v>2</v>
      </c>
      <c r="I483">
        <v>0</v>
      </c>
      <c r="J483">
        <v>51.7</v>
      </c>
      <c r="K483">
        <v>10.8</v>
      </c>
      <c r="L483">
        <v>0.6</v>
      </c>
      <c r="M483" t="s">
        <v>36</v>
      </c>
      <c r="N483">
        <v>320</v>
      </c>
      <c r="P483" t="s">
        <v>59</v>
      </c>
      <c r="Q483" t="str">
        <f>VLOOKUP(B483,'Player Register'!$B$6:$D$125,3,FALSE())</f>
        <v>65–80</v>
      </c>
    </row>
    <row r="484" spans="2:17" x14ac:dyDescent="0.2">
      <c r="B484">
        <v>3099</v>
      </c>
      <c r="C484">
        <v>5</v>
      </c>
      <c r="D484" t="s">
        <v>63</v>
      </c>
      <c r="E484">
        <v>0.31</v>
      </c>
      <c r="F484">
        <v>200</v>
      </c>
      <c r="G484">
        <v>9</v>
      </c>
      <c r="H484">
        <v>3</v>
      </c>
      <c r="I484">
        <v>0</v>
      </c>
      <c r="J484">
        <v>57.1</v>
      </c>
      <c r="K484">
        <v>10.8</v>
      </c>
      <c r="L484">
        <v>0.6</v>
      </c>
      <c r="M484" t="s">
        <v>36</v>
      </c>
      <c r="N484">
        <v>340</v>
      </c>
      <c r="P484" t="s">
        <v>64</v>
      </c>
      <c r="Q484" t="str">
        <f>VLOOKUP(B484,'Player Register'!$B$6:$D$125,3,FALSE())</f>
        <v>65–80</v>
      </c>
    </row>
    <row r="485" spans="2:17" x14ac:dyDescent="0.2">
      <c r="B485">
        <v>3100</v>
      </c>
      <c r="C485">
        <v>1</v>
      </c>
      <c r="D485" t="s">
        <v>60</v>
      </c>
      <c r="E485">
        <v>0.31</v>
      </c>
      <c r="F485">
        <v>201</v>
      </c>
      <c r="G485">
        <v>6</v>
      </c>
      <c r="H485">
        <v>1</v>
      </c>
      <c r="I485">
        <v>0</v>
      </c>
      <c r="J485">
        <v>65.8</v>
      </c>
      <c r="K485">
        <v>12.6</v>
      </c>
      <c r="L485">
        <v>0.7</v>
      </c>
      <c r="M485" t="s">
        <v>36</v>
      </c>
      <c r="N485">
        <v>311</v>
      </c>
      <c r="P485" t="s">
        <v>61</v>
      </c>
      <c r="Q485" t="str">
        <f>VLOOKUP(B485,'Player Register'!$B$6:$D$125,3,FALSE())</f>
        <v>65–80</v>
      </c>
    </row>
    <row r="486" spans="2:17" x14ac:dyDescent="0.2">
      <c r="B486">
        <v>3100</v>
      </c>
      <c r="C486">
        <v>2</v>
      </c>
      <c r="D486" t="s">
        <v>84</v>
      </c>
      <c r="E486">
        <v>0.31</v>
      </c>
      <c r="F486">
        <v>200</v>
      </c>
      <c r="G486">
        <v>7</v>
      </c>
      <c r="H486">
        <v>2</v>
      </c>
      <c r="I486">
        <v>0</v>
      </c>
      <c r="J486">
        <v>64.3</v>
      </c>
      <c r="K486">
        <v>10.8</v>
      </c>
      <c r="L486">
        <v>0.6</v>
      </c>
      <c r="M486" t="s">
        <v>36</v>
      </c>
      <c r="N486">
        <v>320</v>
      </c>
      <c r="P486" t="s">
        <v>59</v>
      </c>
      <c r="Q486" t="str">
        <f>VLOOKUP(B486,'Player Register'!$B$6:$D$125,3,FALSE())</f>
        <v>65–80</v>
      </c>
    </row>
    <row r="487" spans="2:17" x14ac:dyDescent="0.2">
      <c r="B487">
        <v>3100</v>
      </c>
      <c r="C487">
        <v>3</v>
      </c>
      <c r="D487" t="s">
        <v>71</v>
      </c>
      <c r="E487">
        <v>0.31</v>
      </c>
      <c r="F487">
        <v>200</v>
      </c>
      <c r="G487">
        <v>2</v>
      </c>
      <c r="H487">
        <v>2</v>
      </c>
      <c r="I487">
        <v>0</v>
      </c>
      <c r="J487">
        <v>51.3</v>
      </c>
      <c r="K487">
        <v>10.8</v>
      </c>
      <c r="L487">
        <v>0.6</v>
      </c>
      <c r="M487" t="s">
        <v>36</v>
      </c>
      <c r="N487">
        <v>270</v>
      </c>
      <c r="P487" t="s">
        <v>59</v>
      </c>
      <c r="Q487" t="str">
        <f>VLOOKUP(B487,'Player Register'!$B$6:$D$125,3,FALSE())</f>
        <v>65–80</v>
      </c>
    </row>
    <row r="488" spans="2:17" x14ac:dyDescent="0.2">
      <c r="B488">
        <v>3100</v>
      </c>
      <c r="C488">
        <v>4</v>
      </c>
      <c r="D488" t="s">
        <v>63</v>
      </c>
      <c r="E488">
        <v>0.35</v>
      </c>
      <c r="F488">
        <v>200</v>
      </c>
      <c r="G488">
        <v>5</v>
      </c>
      <c r="H488">
        <v>2</v>
      </c>
      <c r="I488">
        <v>0</v>
      </c>
      <c r="J488">
        <v>47.4</v>
      </c>
      <c r="K488">
        <v>10.8</v>
      </c>
      <c r="L488">
        <v>0.45</v>
      </c>
      <c r="M488" t="s">
        <v>36</v>
      </c>
      <c r="N488">
        <v>300</v>
      </c>
      <c r="P488" t="s">
        <v>59</v>
      </c>
      <c r="Q488" t="str">
        <f>VLOOKUP(B488,'Player Register'!$B$6:$D$125,3,FALSE())</f>
        <v>65–80</v>
      </c>
    </row>
    <row r="489" spans="2:17" x14ac:dyDescent="0.2">
      <c r="B489">
        <v>3100</v>
      </c>
      <c r="C489">
        <v>5</v>
      </c>
      <c r="D489" t="s">
        <v>65</v>
      </c>
      <c r="E489">
        <v>0.31</v>
      </c>
      <c r="F489">
        <v>200</v>
      </c>
      <c r="G489">
        <v>5</v>
      </c>
      <c r="H489">
        <v>1</v>
      </c>
      <c r="I489">
        <v>0</v>
      </c>
      <c r="J489">
        <v>73.5</v>
      </c>
      <c r="K489">
        <v>10.8</v>
      </c>
      <c r="L489">
        <v>0.6</v>
      </c>
      <c r="M489" t="s">
        <v>36</v>
      </c>
      <c r="N489">
        <v>300</v>
      </c>
      <c r="P489" t="s">
        <v>61</v>
      </c>
      <c r="Q489" t="str">
        <f>VLOOKUP(B489,'Player Register'!$B$6:$D$125,3,FALSE())</f>
        <v>65–80</v>
      </c>
    </row>
    <row r="490" spans="2:17" x14ac:dyDescent="0.2">
      <c r="B490">
        <v>3101</v>
      </c>
      <c r="C490">
        <v>1</v>
      </c>
      <c r="D490" t="s">
        <v>66</v>
      </c>
      <c r="E490">
        <v>0.28999999999999998</v>
      </c>
      <c r="F490">
        <v>200</v>
      </c>
      <c r="G490">
        <v>8</v>
      </c>
      <c r="H490">
        <v>2</v>
      </c>
      <c r="I490">
        <v>0</v>
      </c>
      <c r="J490">
        <v>69.5</v>
      </c>
      <c r="K490">
        <v>12.6</v>
      </c>
      <c r="L490">
        <v>0.7</v>
      </c>
      <c r="M490" t="s">
        <v>36</v>
      </c>
      <c r="N490">
        <v>330</v>
      </c>
      <c r="P490" t="s">
        <v>61</v>
      </c>
      <c r="Q490" t="str">
        <f>VLOOKUP(B490,'Player Register'!$B$6:$D$125,3,FALSE())</f>
        <v>65–80</v>
      </c>
    </row>
    <row r="491" spans="2:17" x14ac:dyDescent="0.2">
      <c r="B491">
        <v>3101</v>
      </c>
      <c r="C491">
        <v>2</v>
      </c>
      <c r="D491" t="s">
        <v>83</v>
      </c>
      <c r="E491">
        <v>0.31</v>
      </c>
      <c r="F491">
        <v>201</v>
      </c>
      <c r="G491">
        <v>6</v>
      </c>
      <c r="H491">
        <v>2</v>
      </c>
      <c r="I491">
        <v>0</v>
      </c>
      <c r="J491">
        <v>61.4</v>
      </c>
      <c r="K491">
        <v>12.6</v>
      </c>
      <c r="L491">
        <v>0.7</v>
      </c>
      <c r="M491" t="s">
        <v>36</v>
      </c>
      <c r="N491">
        <v>311</v>
      </c>
      <c r="P491" t="s">
        <v>59</v>
      </c>
      <c r="Q491" t="str">
        <f>VLOOKUP(B491,'Player Register'!$B$6:$D$125,3,FALSE())</f>
        <v>65–80</v>
      </c>
    </row>
    <row r="492" spans="2:17" x14ac:dyDescent="0.2">
      <c r="B492">
        <v>3101</v>
      </c>
      <c r="C492">
        <v>3</v>
      </c>
      <c r="D492" t="s">
        <v>69</v>
      </c>
      <c r="E492">
        <v>0.38</v>
      </c>
      <c r="F492">
        <v>200</v>
      </c>
      <c r="G492">
        <v>8</v>
      </c>
      <c r="H492">
        <v>3</v>
      </c>
      <c r="I492">
        <v>0</v>
      </c>
      <c r="J492">
        <v>55.5</v>
      </c>
      <c r="K492">
        <v>10.8</v>
      </c>
      <c r="L492">
        <v>0.45</v>
      </c>
      <c r="M492" t="s">
        <v>36</v>
      </c>
      <c r="N492">
        <v>330</v>
      </c>
      <c r="P492" t="s">
        <v>64</v>
      </c>
      <c r="Q492" t="str">
        <f>VLOOKUP(B492,'Player Register'!$B$6:$D$125,3,FALSE())</f>
        <v>65–80</v>
      </c>
    </row>
    <row r="493" spans="2:17" x14ac:dyDescent="0.2">
      <c r="B493">
        <v>3101</v>
      </c>
      <c r="C493">
        <v>6</v>
      </c>
      <c r="D493" t="s">
        <v>92</v>
      </c>
      <c r="E493">
        <v>0.31</v>
      </c>
      <c r="F493">
        <v>200</v>
      </c>
      <c r="G493">
        <v>15</v>
      </c>
      <c r="H493">
        <v>1</v>
      </c>
      <c r="I493">
        <v>0</v>
      </c>
      <c r="J493">
        <v>71.599999999999994</v>
      </c>
      <c r="K493">
        <v>10.8</v>
      </c>
      <c r="L493">
        <v>0.6</v>
      </c>
      <c r="M493" t="s">
        <v>36</v>
      </c>
      <c r="N493">
        <v>400</v>
      </c>
      <c r="P493" t="s">
        <v>61</v>
      </c>
      <c r="Q493" t="str">
        <f>VLOOKUP(B493,'Player Register'!$B$6:$D$125,3,FALSE())</f>
        <v>65–80</v>
      </c>
    </row>
    <row r="494" spans="2:17" x14ac:dyDescent="0.2">
      <c r="B494">
        <v>3101</v>
      </c>
      <c r="C494">
        <v>7</v>
      </c>
      <c r="D494" t="s">
        <v>98</v>
      </c>
      <c r="E494">
        <v>0.31</v>
      </c>
      <c r="F494">
        <v>200</v>
      </c>
      <c r="G494">
        <v>6</v>
      </c>
      <c r="H494">
        <v>2</v>
      </c>
      <c r="I494">
        <v>0</v>
      </c>
      <c r="J494">
        <v>50.6</v>
      </c>
      <c r="K494">
        <v>10.8</v>
      </c>
      <c r="L494">
        <v>0.6</v>
      </c>
      <c r="M494" t="s">
        <v>36</v>
      </c>
      <c r="N494">
        <v>310</v>
      </c>
      <c r="P494" t="s">
        <v>59</v>
      </c>
      <c r="Q494" t="str">
        <f>VLOOKUP(B494,'Player Register'!$B$6:$D$125,3,FALSE())</f>
        <v>65–80</v>
      </c>
    </row>
    <row r="495" spans="2:17" x14ac:dyDescent="0.2">
      <c r="B495">
        <v>3102</v>
      </c>
      <c r="C495">
        <v>1</v>
      </c>
      <c r="D495" t="s">
        <v>58</v>
      </c>
      <c r="E495">
        <v>0.31</v>
      </c>
      <c r="F495">
        <v>201</v>
      </c>
      <c r="G495">
        <v>7</v>
      </c>
      <c r="H495">
        <v>0</v>
      </c>
      <c r="I495">
        <v>0</v>
      </c>
      <c r="J495">
        <v>46.4</v>
      </c>
      <c r="K495">
        <v>12.6</v>
      </c>
      <c r="L495">
        <v>0.7</v>
      </c>
      <c r="M495" t="s">
        <v>36</v>
      </c>
      <c r="N495">
        <v>321</v>
      </c>
      <c r="P495" t="s">
        <v>73</v>
      </c>
      <c r="Q495" t="str">
        <f>VLOOKUP(B495,'Player Register'!$B$6:$D$125,3,FALSE())</f>
        <v>65–80</v>
      </c>
    </row>
    <row r="496" spans="2:17" x14ac:dyDescent="0.2">
      <c r="B496">
        <v>3103</v>
      </c>
      <c r="C496">
        <v>1</v>
      </c>
      <c r="D496" t="s">
        <v>76</v>
      </c>
      <c r="E496">
        <v>0.31</v>
      </c>
      <c r="F496">
        <v>200</v>
      </c>
      <c r="G496">
        <v>7</v>
      </c>
      <c r="H496">
        <v>1</v>
      </c>
      <c r="I496">
        <v>0</v>
      </c>
      <c r="J496">
        <v>38.4</v>
      </c>
      <c r="K496">
        <v>10.8</v>
      </c>
      <c r="L496">
        <v>0.6</v>
      </c>
      <c r="M496" t="s">
        <v>36</v>
      </c>
      <c r="N496">
        <v>320</v>
      </c>
      <c r="P496" t="s">
        <v>61</v>
      </c>
      <c r="Q496" t="str">
        <f>VLOOKUP(B496,'Player Register'!$B$6:$D$125,3,FALSE())</f>
        <v>65–80</v>
      </c>
    </row>
    <row r="497" spans="2:17" x14ac:dyDescent="0.2">
      <c r="B497">
        <v>3103</v>
      </c>
      <c r="C497">
        <v>2</v>
      </c>
      <c r="D497" t="s">
        <v>66</v>
      </c>
      <c r="E497">
        <v>0.35</v>
      </c>
      <c r="F497">
        <v>200</v>
      </c>
      <c r="G497">
        <v>6</v>
      </c>
      <c r="H497">
        <v>3</v>
      </c>
      <c r="I497">
        <v>0</v>
      </c>
      <c r="J497">
        <v>35.700000000000003</v>
      </c>
      <c r="K497">
        <v>10.8</v>
      </c>
      <c r="L497">
        <v>0.45</v>
      </c>
      <c r="M497" t="s">
        <v>36</v>
      </c>
      <c r="N497">
        <v>310</v>
      </c>
      <c r="P497" t="s">
        <v>64</v>
      </c>
      <c r="Q497" t="str">
        <f>VLOOKUP(B497,'Player Register'!$B$6:$D$125,3,FALSE())</f>
        <v>65–80</v>
      </c>
    </row>
    <row r="498" spans="2:17" x14ac:dyDescent="0.2">
      <c r="B498">
        <v>3103</v>
      </c>
      <c r="C498">
        <v>3</v>
      </c>
      <c r="D498" t="s">
        <v>83</v>
      </c>
      <c r="E498">
        <v>0.31</v>
      </c>
      <c r="F498">
        <v>200</v>
      </c>
      <c r="G498">
        <v>8</v>
      </c>
      <c r="H498">
        <v>4</v>
      </c>
      <c r="I498">
        <v>0</v>
      </c>
      <c r="J498">
        <v>45.5</v>
      </c>
      <c r="K498">
        <v>10.8</v>
      </c>
      <c r="L498">
        <v>0.45</v>
      </c>
      <c r="M498" t="s">
        <v>36</v>
      </c>
      <c r="N498">
        <v>330</v>
      </c>
      <c r="P498" t="s">
        <v>70</v>
      </c>
      <c r="Q498" t="str">
        <f>VLOOKUP(B498,'Player Register'!$B$6:$D$125,3,FALSE())</f>
        <v>65–80</v>
      </c>
    </row>
    <row r="499" spans="2:17" x14ac:dyDescent="0.2">
      <c r="B499">
        <v>3103</v>
      </c>
      <c r="C499">
        <v>4</v>
      </c>
      <c r="D499" t="s">
        <v>69</v>
      </c>
      <c r="E499">
        <v>0.31</v>
      </c>
      <c r="F499">
        <v>201</v>
      </c>
      <c r="G499">
        <v>4</v>
      </c>
      <c r="H499">
        <v>1</v>
      </c>
      <c r="I499">
        <v>0</v>
      </c>
      <c r="J499">
        <v>48.6</v>
      </c>
      <c r="K499">
        <v>12.6</v>
      </c>
      <c r="L499">
        <v>0.7</v>
      </c>
      <c r="M499" t="s">
        <v>36</v>
      </c>
      <c r="N499">
        <v>291</v>
      </c>
      <c r="P499" t="s">
        <v>61</v>
      </c>
      <c r="Q499" t="str">
        <f>VLOOKUP(B499,'Player Register'!$B$6:$D$125,3,FALSE())</f>
        <v>65–80</v>
      </c>
    </row>
    <row r="500" spans="2:17" x14ac:dyDescent="0.2">
      <c r="B500">
        <v>3103</v>
      </c>
      <c r="C500">
        <v>5</v>
      </c>
      <c r="D500" t="s">
        <v>58</v>
      </c>
      <c r="E500">
        <v>0.31</v>
      </c>
      <c r="F500">
        <v>200</v>
      </c>
      <c r="G500">
        <v>3</v>
      </c>
      <c r="H500">
        <v>1</v>
      </c>
      <c r="I500">
        <v>0</v>
      </c>
      <c r="J500">
        <v>71.400000000000006</v>
      </c>
      <c r="K500">
        <v>10.8</v>
      </c>
      <c r="L500">
        <v>0.6</v>
      </c>
      <c r="M500" t="s">
        <v>36</v>
      </c>
      <c r="N500">
        <v>280</v>
      </c>
      <c r="P500" t="s">
        <v>61</v>
      </c>
      <c r="Q500" t="str">
        <f>VLOOKUP(B500,'Player Register'!$B$6:$D$125,3,FALSE())</f>
        <v>65–80</v>
      </c>
    </row>
    <row r="501" spans="2:17" x14ac:dyDescent="0.2">
      <c r="B501">
        <v>3104</v>
      </c>
      <c r="C501">
        <v>1</v>
      </c>
      <c r="D501" t="s">
        <v>63</v>
      </c>
      <c r="E501">
        <v>0.31</v>
      </c>
      <c r="F501">
        <v>200</v>
      </c>
      <c r="G501">
        <v>13</v>
      </c>
      <c r="H501">
        <v>2</v>
      </c>
      <c r="I501">
        <v>0</v>
      </c>
      <c r="J501">
        <v>55</v>
      </c>
      <c r="K501">
        <v>10.8</v>
      </c>
      <c r="L501">
        <v>0.6</v>
      </c>
      <c r="M501" t="s">
        <v>36</v>
      </c>
      <c r="N501">
        <v>380</v>
      </c>
      <c r="P501" t="s">
        <v>59</v>
      </c>
      <c r="Q501" t="str">
        <f>VLOOKUP(B501,'Player Register'!$B$6:$D$125,3,FALSE())</f>
        <v>65–80</v>
      </c>
    </row>
    <row r="502" spans="2:17" x14ac:dyDescent="0.2">
      <c r="B502">
        <v>3104</v>
      </c>
      <c r="C502">
        <v>2</v>
      </c>
      <c r="D502" t="s">
        <v>65</v>
      </c>
      <c r="E502">
        <v>0.31</v>
      </c>
      <c r="F502">
        <v>200</v>
      </c>
      <c r="G502">
        <v>14</v>
      </c>
      <c r="H502">
        <v>2</v>
      </c>
      <c r="I502">
        <v>0</v>
      </c>
      <c r="J502">
        <v>51</v>
      </c>
      <c r="K502">
        <v>10.8</v>
      </c>
      <c r="L502">
        <v>0.6</v>
      </c>
      <c r="M502" t="s">
        <v>36</v>
      </c>
      <c r="N502">
        <v>390</v>
      </c>
      <c r="P502" t="s">
        <v>59</v>
      </c>
      <c r="Q502" t="str">
        <f>VLOOKUP(B502,'Player Register'!$B$6:$D$125,3,FALSE())</f>
        <v>65–80</v>
      </c>
    </row>
    <row r="503" spans="2:17" x14ac:dyDescent="0.2">
      <c r="B503">
        <v>3104</v>
      </c>
      <c r="C503">
        <v>3</v>
      </c>
      <c r="D503" t="s">
        <v>91</v>
      </c>
      <c r="E503">
        <v>0.28999999999999998</v>
      </c>
      <c r="F503">
        <v>200</v>
      </c>
      <c r="G503">
        <v>7</v>
      </c>
      <c r="H503">
        <v>2</v>
      </c>
      <c r="I503">
        <v>0</v>
      </c>
      <c r="J503">
        <v>71.7</v>
      </c>
      <c r="K503">
        <v>12.6</v>
      </c>
      <c r="L503">
        <v>0.7</v>
      </c>
      <c r="M503" t="s">
        <v>36</v>
      </c>
      <c r="N503">
        <v>320</v>
      </c>
      <c r="P503" t="s">
        <v>61</v>
      </c>
      <c r="Q503" t="str">
        <f>VLOOKUP(B503,'Player Register'!$B$6:$D$125,3,FALSE())</f>
        <v>65–80</v>
      </c>
    </row>
    <row r="504" spans="2:17" x14ac:dyDescent="0.2">
      <c r="B504">
        <v>3104</v>
      </c>
      <c r="C504">
        <v>4</v>
      </c>
      <c r="D504" t="s">
        <v>86</v>
      </c>
      <c r="E504">
        <v>0.31</v>
      </c>
      <c r="F504">
        <v>200</v>
      </c>
      <c r="G504">
        <v>6</v>
      </c>
      <c r="H504">
        <v>2</v>
      </c>
      <c r="I504">
        <v>0</v>
      </c>
      <c r="J504">
        <v>64.2</v>
      </c>
      <c r="K504">
        <v>10.8</v>
      </c>
      <c r="L504">
        <v>0.6</v>
      </c>
      <c r="M504" t="s">
        <v>36</v>
      </c>
      <c r="N504">
        <v>310</v>
      </c>
      <c r="P504" t="s">
        <v>59</v>
      </c>
      <c r="Q504" t="str">
        <f>VLOOKUP(B504,'Player Register'!$B$6:$D$125,3,FALSE())</f>
        <v>65–80</v>
      </c>
    </row>
    <row r="505" spans="2:17" x14ac:dyDescent="0.2">
      <c r="B505">
        <v>3104</v>
      </c>
      <c r="C505">
        <v>5</v>
      </c>
      <c r="D505" t="s">
        <v>87</v>
      </c>
      <c r="E505">
        <v>0.31</v>
      </c>
      <c r="F505">
        <v>201</v>
      </c>
      <c r="G505">
        <v>8</v>
      </c>
      <c r="H505">
        <v>1</v>
      </c>
      <c r="I505">
        <v>0</v>
      </c>
      <c r="J505">
        <v>54.3</v>
      </c>
      <c r="K505">
        <v>12.6</v>
      </c>
      <c r="L505">
        <v>0.7</v>
      </c>
      <c r="M505" t="s">
        <v>36</v>
      </c>
      <c r="N505">
        <v>331</v>
      </c>
      <c r="P505" t="s">
        <v>61</v>
      </c>
      <c r="Q505" t="str">
        <f>VLOOKUP(B505,'Player Register'!$B$6:$D$125,3,FALSE())</f>
        <v>65–80</v>
      </c>
    </row>
    <row r="506" spans="2:17" x14ac:dyDescent="0.2">
      <c r="B506">
        <v>3105</v>
      </c>
      <c r="C506">
        <v>1</v>
      </c>
      <c r="D506" t="s">
        <v>82</v>
      </c>
      <c r="E506">
        <v>0.31</v>
      </c>
      <c r="F506">
        <v>200</v>
      </c>
      <c r="G506">
        <v>4</v>
      </c>
      <c r="H506">
        <v>1</v>
      </c>
      <c r="I506">
        <v>0</v>
      </c>
      <c r="J506">
        <v>44.3</v>
      </c>
      <c r="K506">
        <v>10.8</v>
      </c>
      <c r="L506">
        <v>0.6</v>
      </c>
      <c r="M506" t="s">
        <v>36</v>
      </c>
      <c r="N506">
        <v>290</v>
      </c>
      <c r="P506" t="s">
        <v>61</v>
      </c>
      <c r="Q506" t="str">
        <f>VLOOKUP(B506,'Player Register'!$B$6:$D$125,3,FALSE())</f>
        <v>65–80</v>
      </c>
    </row>
    <row r="507" spans="2:17" x14ac:dyDescent="0.2">
      <c r="B507">
        <v>3105</v>
      </c>
      <c r="C507">
        <v>6</v>
      </c>
      <c r="D507" t="s">
        <v>74</v>
      </c>
      <c r="E507">
        <v>0.31</v>
      </c>
      <c r="F507">
        <v>200</v>
      </c>
      <c r="G507">
        <v>5</v>
      </c>
      <c r="H507">
        <v>1</v>
      </c>
      <c r="I507">
        <v>0</v>
      </c>
      <c r="J507">
        <v>63.6</v>
      </c>
      <c r="K507">
        <v>10.8</v>
      </c>
      <c r="L507">
        <v>0.6</v>
      </c>
      <c r="M507" t="s">
        <v>36</v>
      </c>
      <c r="N507">
        <v>300</v>
      </c>
      <c r="P507" t="s">
        <v>61</v>
      </c>
      <c r="Q507" t="str">
        <f>VLOOKUP(B507,'Player Register'!$B$6:$D$125,3,FALSE())</f>
        <v>65–80</v>
      </c>
    </row>
    <row r="508" spans="2:17" x14ac:dyDescent="0.2">
      <c r="B508">
        <v>3106</v>
      </c>
      <c r="C508">
        <v>1</v>
      </c>
      <c r="D508" t="s">
        <v>80</v>
      </c>
      <c r="E508">
        <v>0.35</v>
      </c>
      <c r="F508">
        <v>200</v>
      </c>
      <c r="G508">
        <v>4</v>
      </c>
      <c r="H508">
        <v>3</v>
      </c>
      <c r="I508">
        <v>0</v>
      </c>
      <c r="J508">
        <v>49.2</v>
      </c>
      <c r="K508">
        <v>10.8</v>
      </c>
      <c r="L508">
        <v>0.45</v>
      </c>
      <c r="M508" t="s">
        <v>36</v>
      </c>
      <c r="N508">
        <v>290</v>
      </c>
      <c r="P508" t="s">
        <v>64</v>
      </c>
      <c r="Q508" t="str">
        <f>VLOOKUP(B508,'Player Register'!$B$6:$D$125,3,FALSE())</f>
        <v>65–80</v>
      </c>
    </row>
    <row r="509" spans="2:17" x14ac:dyDescent="0.2">
      <c r="B509">
        <v>3106</v>
      </c>
      <c r="C509">
        <v>2</v>
      </c>
      <c r="D509" t="s">
        <v>89</v>
      </c>
      <c r="E509">
        <v>0.31</v>
      </c>
      <c r="F509">
        <v>200</v>
      </c>
      <c r="G509">
        <v>6</v>
      </c>
      <c r="H509">
        <v>2</v>
      </c>
      <c r="I509">
        <v>0</v>
      </c>
      <c r="J509">
        <v>57.2</v>
      </c>
      <c r="K509">
        <v>10.8</v>
      </c>
      <c r="L509">
        <v>0.6</v>
      </c>
      <c r="M509" t="s">
        <v>36</v>
      </c>
      <c r="N509">
        <v>310</v>
      </c>
      <c r="P509" t="s">
        <v>59</v>
      </c>
      <c r="Q509" t="str">
        <f>VLOOKUP(B509,'Player Register'!$B$6:$D$125,3,FALSE())</f>
        <v>65–80</v>
      </c>
    </row>
    <row r="510" spans="2:17" x14ac:dyDescent="0.2">
      <c r="B510">
        <v>3106</v>
      </c>
      <c r="C510">
        <v>3</v>
      </c>
      <c r="D510" t="s">
        <v>82</v>
      </c>
      <c r="E510">
        <v>0.34</v>
      </c>
      <c r="F510">
        <v>200</v>
      </c>
      <c r="G510">
        <v>8</v>
      </c>
      <c r="H510">
        <v>2</v>
      </c>
      <c r="I510">
        <v>0</v>
      </c>
      <c r="J510">
        <v>54.7</v>
      </c>
      <c r="K510">
        <v>10.8</v>
      </c>
      <c r="L510">
        <v>0.55000000000000004</v>
      </c>
      <c r="M510" t="s">
        <v>36</v>
      </c>
      <c r="N510">
        <v>330</v>
      </c>
      <c r="P510" t="s">
        <v>59</v>
      </c>
      <c r="Q510" t="str">
        <f>VLOOKUP(B510,'Player Register'!$B$6:$D$125,3,FALSE())</f>
        <v>65–80</v>
      </c>
    </row>
    <row r="511" spans="2:17" x14ac:dyDescent="0.2">
      <c r="B511">
        <v>3106</v>
      </c>
      <c r="C511">
        <v>4</v>
      </c>
      <c r="D511" t="s">
        <v>78</v>
      </c>
      <c r="E511">
        <v>0.34</v>
      </c>
      <c r="F511">
        <v>200</v>
      </c>
      <c r="G511">
        <v>15</v>
      </c>
      <c r="H511">
        <v>2</v>
      </c>
      <c r="I511">
        <v>0</v>
      </c>
      <c r="J511">
        <v>56.4</v>
      </c>
      <c r="K511">
        <v>10.8</v>
      </c>
      <c r="L511">
        <v>0.55000000000000004</v>
      </c>
      <c r="M511" t="s">
        <v>36</v>
      </c>
      <c r="N511">
        <v>400</v>
      </c>
      <c r="P511" t="s">
        <v>59</v>
      </c>
      <c r="Q511" t="str">
        <f>VLOOKUP(B511,'Player Register'!$B$6:$D$125,3,FALSE())</f>
        <v>65–80</v>
      </c>
    </row>
    <row r="512" spans="2:17" x14ac:dyDescent="0.2">
      <c r="B512">
        <v>3106</v>
      </c>
      <c r="C512">
        <v>5</v>
      </c>
      <c r="D512" t="s">
        <v>66</v>
      </c>
      <c r="E512">
        <v>0.31</v>
      </c>
      <c r="F512">
        <v>200</v>
      </c>
      <c r="G512">
        <v>10</v>
      </c>
      <c r="H512">
        <v>4</v>
      </c>
      <c r="I512">
        <v>0</v>
      </c>
      <c r="J512">
        <v>60.2</v>
      </c>
      <c r="K512">
        <v>10.8</v>
      </c>
      <c r="L512">
        <v>0.45</v>
      </c>
      <c r="M512" t="s">
        <v>36</v>
      </c>
      <c r="N512">
        <v>350</v>
      </c>
      <c r="P512" t="s">
        <v>70</v>
      </c>
      <c r="Q512" t="str">
        <f>VLOOKUP(B512,'Player Register'!$B$6:$D$125,3,FALSE())</f>
        <v>65–80</v>
      </c>
    </row>
    <row r="513" spans="2:17" x14ac:dyDescent="0.2">
      <c r="B513">
        <v>3107</v>
      </c>
      <c r="C513">
        <v>1</v>
      </c>
      <c r="D513" t="s">
        <v>83</v>
      </c>
      <c r="E513">
        <v>0.31</v>
      </c>
      <c r="F513">
        <v>200</v>
      </c>
      <c r="G513">
        <v>5</v>
      </c>
      <c r="H513">
        <v>5</v>
      </c>
      <c r="I513">
        <v>0</v>
      </c>
      <c r="J513">
        <v>46.7</v>
      </c>
      <c r="K513">
        <v>10.8</v>
      </c>
      <c r="L513">
        <v>0.45</v>
      </c>
      <c r="M513" t="s">
        <v>36</v>
      </c>
      <c r="N513">
        <v>300</v>
      </c>
      <c r="P513" t="s">
        <v>99</v>
      </c>
      <c r="Q513" t="str">
        <f>VLOOKUP(B513,'Player Register'!$B$6:$D$125,3,FALSE())</f>
        <v>65–80</v>
      </c>
    </row>
    <row r="514" spans="2:17" x14ac:dyDescent="0.2">
      <c r="B514">
        <v>3107</v>
      </c>
      <c r="C514">
        <v>2</v>
      </c>
      <c r="D514" t="s">
        <v>79</v>
      </c>
      <c r="E514">
        <v>0.31</v>
      </c>
      <c r="F514">
        <v>200</v>
      </c>
      <c r="G514">
        <v>3</v>
      </c>
      <c r="H514">
        <v>1</v>
      </c>
      <c r="I514">
        <v>0</v>
      </c>
      <c r="J514">
        <v>57.7</v>
      </c>
      <c r="K514">
        <v>10.8</v>
      </c>
      <c r="L514">
        <v>0.6</v>
      </c>
      <c r="M514" t="s">
        <v>36</v>
      </c>
      <c r="N514">
        <v>280</v>
      </c>
      <c r="P514" t="s">
        <v>61</v>
      </c>
      <c r="Q514" t="str">
        <f>VLOOKUP(B514,'Player Register'!$B$6:$D$125,3,FALSE())</f>
        <v>65–80</v>
      </c>
    </row>
    <row r="515" spans="2:17" x14ac:dyDescent="0.2">
      <c r="B515">
        <v>3108</v>
      </c>
      <c r="C515">
        <v>1</v>
      </c>
      <c r="D515" t="s">
        <v>71</v>
      </c>
      <c r="E515">
        <v>0.31</v>
      </c>
      <c r="F515">
        <v>200</v>
      </c>
      <c r="G515">
        <v>4</v>
      </c>
      <c r="H515">
        <v>0</v>
      </c>
      <c r="I515">
        <v>0</v>
      </c>
      <c r="J515">
        <v>58</v>
      </c>
      <c r="K515">
        <v>10.8</v>
      </c>
      <c r="L515">
        <v>0.6</v>
      </c>
      <c r="M515" t="s">
        <v>36</v>
      </c>
      <c r="N515">
        <v>290</v>
      </c>
      <c r="P515" t="s">
        <v>73</v>
      </c>
      <c r="Q515" t="str">
        <f>VLOOKUP(B515,'Player Register'!$B$6:$D$125,3,FALSE())</f>
        <v>65–80</v>
      </c>
    </row>
    <row r="516" spans="2:17" x14ac:dyDescent="0.2">
      <c r="B516">
        <v>3108</v>
      </c>
      <c r="C516">
        <v>2</v>
      </c>
      <c r="D516" t="s">
        <v>72</v>
      </c>
      <c r="E516">
        <v>0.31</v>
      </c>
      <c r="F516">
        <v>200</v>
      </c>
      <c r="G516">
        <v>7</v>
      </c>
      <c r="H516">
        <v>1</v>
      </c>
      <c r="I516">
        <v>0</v>
      </c>
      <c r="J516">
        <v>71.900000000000006</v>
      </c>
      <c r="K516">
        <v>10.8</v>
      </c>
      <c r="L516">
        <v>0.6</v>
      </c>
      <c r="M516" t="s">
        <v>36</v>
      </c>
      <c r="N516">
        <v>320</v>
      </c>
      <c r="P516" t="s">
        <v>61</v>
      </c>
      <c r="Q516" t="str">
        <f>VLOOKUP(B516,'Player Register'!$B$6:$D$125,3,FALSE())</f>
        <v>65–80</v>
      </c>
    </row>
    <row r="517" spans="2:17" x14ac:dyDescent="0.2">
      <c r="B517">
        <v>3109</v>
      </c>
      <c r="C517">
        <v>1</v>
      </c>
      <c r="D517" t="s">
        <v>80</v>
      </c>
      <c r="E517">
        <v>0.31</v>
      </c>
      <c r="F517">
        <v>200</v>
      </c>
      <c r="G517">
        <v>9</v>
      </c>
      <c r="H517">
        <v>2</v>
      </c>
      <c r="I517">
        <v>0</v>
      </c>
      <c r="J517">
        <v>52.9</v>
      </c>
      <c r="K517">
        <v>10.8</v>
      </c>
      <c r="L517">
        <v>0.6</v>
      </c>
      <c r="M517" t="s">
        <v>36</v>
      </c>
      <c r="N517">
        <v>340</v>
      </c>
      <c r="P517" t="s">
        <v>59</v>
      </c>
      <c r="Q517" t="str">
        <f>VLOOKUP(B517,'Player Register'!$B$6:$D$125,3,FALSE())</f>
        <v>65–80</v>
      </c>
    </row>
    <row r="518" spans="2:17" x14ac:dyDescent="0.2">
      <c r="B518">
        <v>3109</v>
      </c>
      <c r="C518">
        <v>2</v>
      </c>
      <c r="D518" t="s">
        <v>81</v>
      </c>
      <c r="E518">
        <v>0.31</v>
      </c>
      <c r="F518">
        <v>200</v>
      </c>
      <c r="G518">
        <v>3</v>
      </c>
      <c r="H518">
        <v>3</v>
      </c>
      <c r="I518">
        <v>0</v>
      </c>
      <c r="J518">
        <v>51.6</v>
      </c>
      <c r="K518">
        <v>10.8</v>
      </c>
      <c r="L518">
        <v>0.45</v>
      </c>
      <c r="M518" t="s">
        <v>36</v>
      </c>
      <c r="N518">
        <v>280</v>
      </c>
      <c r="P518" t="s">
        <v>64</v>
      </c>
      <c r="Q518" t="str">
        <f>VLOOKUP(B518,'Player Register'!$B$6:$D$125,3,FALSE())</f>
        <v>65–80</v>
      </c>
    </row>
    <row r="519" spans="2:17" x14ac:dyDescent="0.2">
      <c r="B519">
        <v>3109</v>
      </c>
      <c r="C519">
        <v>3</v>
      </c>
      <c r="D519" t="s">
        <v>89</v>
      </c>
      <c r="E519">
        <v>0.31</v>
      </c>
      <c r="F519">
        <v>200</v>
      </c>
      <c r="G519">
        <v>6</v>
      </c>
      <c r="H519">
        <v>1</v>
      </c>
      <c r="I519">
        <v>0</v>
      </c>
      <c r="J519">
        <v>63.3</v>
      </c>
      <c r="K519">
        <v>10.8</v>
      </c>
      <c r="L519">
        <v>0.6</v>
      </c>
      <c r="M519" t="s">
        <v>36</v>
      </c>
      <c r="N519">
        <v>310</v>
      </c>
      <c r="P519" t="s">
        <v>61</v>
      </c>
      <c r="Q519" t="str">
        <f>VLOOKUP(B519,'Player Register'!$B$6:$D$125,3,FALSE())</f>
        <v>65–80</v>
      </c>
    </row>
    <row r="520" spans="2:17" x14ac:dyDescent="0.2">
      <c r="B520">
        <v>3109</v>
      </c>
      <c r="C520">
        <v>4</v>
      </c>
      <c r="D520" t="s">
        <v>76</v>
      </c>
      <c r="E520">
        <v>0.31</v>
      </c>
      <c r="F520">
        <v>200</v>
      </c>
      <c r="G520">
        <v>4</v>
      </c>
      <c r="H520">
        <v>1</v>
      </c>
      <c r="I520">
        <v>0</v>
      </c>
      <c r="J520">
        <v>63.3</v>
      </c>
      <c r="K520">
        <v>10.8</v>
      </c>
      <c r="L520">
        <v>0.6</v>
      </c>
      <c r="M520" t="s">
        <v>36</v>
      </c>
      <c r="N520">
        <v>290</v>
      </c>
      <c r="P520" t="s">
        <v>61</v>
      </c>
      <c r="Q520" t="str">
        <f>VLOOKUP(B520,'Player Register'!$B$6:$D$125,3,FALSE())</f>
        <v>65–80</v>
      </c>
    </row>
    <row r="521" spans="2:17" x14ac:dyDescent="0.2">
      <c r="B521">
        <v>3109</v>
      </c>
      <c r="C521">
        <v>5</v>
      </c>
      <c r="D521" t="s">
        <v>66</v>
      </c>
      <c r="E521">
        <v>0.31</v>
      </c>
      <c r="F521">
        <v>200</v>
      </c>
      <c r="G521">
        <v>11</v>
      </c>
      <c r="H521">
        <v>2</v>
      </c>
      <c r="I521">
        <v>0</v>
      </c>
      <c r="J521">
        <v>46.1</v>
      </c>
      <c r="K521">
        <v>10.8</v>
      </c>
      <c r="L521">
        <v>0.6</v>
      </c>
      <c r="M521" t="s">
        <v>36</v>
      </c>
      <c r="N521">
        <v>360</v>
      </c>
      <c r="P521" t="s">
        <v>59</v>
      </c>
      <c r="Q521" t="str">
        <f>VLOOKUP(B521,'Player Register'!$B$6:$D$125,3,FALSE())</f>
        <v>65–80</v>
      </c>
    </row>
    <row r="522" spans="2:17" x14ac:dyDescent="0.2">
      <c r="B522">
        <v>3110</v>
      </c>
      <c r="C522">
        <v>1</v>
      </c>
      <c r="D522" t="s">
        <v>79</v>
      </c>
      <c r="E522">
        <v>0.35</v>
      </c>
      <c r="F522">
        <v>200</v>
      </c>
      <c r="G522">
        <v>10</v>
      </c>
      <c r="H522">
        <v>3</v>
      </c>
      <c r="I522">
        <v>0</v>
      </c>
      <c r="J522">
        <v>58.8</v>
      </c>
      <c r="K522">
        <v>10.8</v>
      </c>
      <c r="L522">
        <v>0.45</v>
      </c>
      <c r="M522" t="s">
        <v>36</v>
      </c>
      <c r="N522">
        <v>350</v>
      </c>
      <c r="P522" t="s">
        <v>64</v>
      </c>
      <c r="Q522" t="str">
        <f>VLOOKUP(B522,'Player Register'!$B$6:$D$125,3,FALSE())</f>
        <v>65–80</v>
      </c>
    </row>
    <row r="523" spans="2:17" x14ac:dyDescent="0.2">
      <c r="B523">
        <v>3110</v>
      </c>
      <c r="C523">
        <v>2</v>
      </c>
      <c r="D523" t="s">
        <v>58</v>
      </c>
      <c r="E523">
        <v>0.28999999999999998</v>
      </c>
      <c r="F523">
        <v>200</v>
      </c>
      <c r="G523">
        <v>8</v>
      </c>
      <c r="H523">
        <v>0</v>
      </c>
      <c r="I523">
        <v>0</v>
      </c>
      <c r="J523">
        <v>74.5</v>
      </c>
      <c r="K523">
        <v>12.6</v>
      </c>
      <c r="L523">
        <v>0.7</v>
      </c>
      <c r="M523" t="s">
        <v>36</v>
      </c>
      <c r="N523">
        <v>330</v>
      </c>
      <c r="P523" t="s">
        <v>68</v>
      </c>
      <c r="Q523" t="str">
        <f>VLOOKUP(B523,'Player Register'!$B$6:$D$125,3,FALSE())</f>
        <v>65–80</v>
      </c>
    </row>
    <row r="524" spans="2:17" x14ac:dyDescent="0.2">
      <c r="B524">
        <v>3110</v>
      </c>
      <c r="C524">
        <v>3</v>
      </c>
      <c r="D524" t="s">
        <v>84</v>
      </c>
      <c r="E524">
        <v>0.31</v>
      </c>
      <c r="F524">
        <v>200</v>
      </c>
      <c r="G524">
        <v>14</v>
      </c>
      <c r="H524">
        <v>2</v>
      </c>
      <c r="I524">
        <v>0</v>
      </c>
      <c r="J524">
        <v>49.8</v>
      </c>
      <c r="K524">
        <v>10.8</v>
      </c>
      <c r="L524">
        <v>0.6</v>
      </c>
      <c r="M524" t="s">
        <v>36</v>
      </c>
      <c r="N524">
        <v>390</v>
      </c>
      <c r="P524" t="s">
        <v>59</v>
      </c>
      <c r="Q524" t="str">
        <f>VLOOKUP(B524,'Player Register'!$B$6:$D$125,3,FALSE())</f>
        <v>65–80</v>
      </c>
    </row>
    <row r="525" spans="2:17" x14ac:dyDescent="0.2">
      <c r="B525">
        <v>3110</v>
      </c>
      <c r="C525">
        <v>4</v>
      </c>
      <c r="D525" t="s">
        <v>63</v>
      </c>
      <c r="E525">
        <v>0.28999999999999998</v>
      </c>
      <c r="F525">
        <v>200</v>
      </c>
      <c r="G525">
        <v>8</v>
      </c>
      <c r="H525">
        <v>3</v>
      </c>
      <c r="I525">
        <v>0</v>
      </c>
      <c r="J525">
        <v>53.3</v>
      </c>
      <c r="K525">
        <v>12.6</v>
      </c>
      <c r="L525">
        <v>0.7</v>
      </c>
      <c r="M525" t="s">
        <v>36</v>
      </c>
      <c r="N525">
        <v>330</v>
      </c>
      <c r="P525" t="s">
        <v>59</v>
      </c>
      <c r="Q525" t="str">
        <f>VLOOKUP(B525,'Player Register'!$B$6:$D$125,3,FALSE())</f>
        <v>65–80</v>
      </c>
    </row>
    <row r="526" spans="2:17" x14ac:dyDescent="0.2">
      <c r="B526">
        <v>3110</v>
      </c>
      <c r="C526">
        <v>5</v>
      </c>
      <c r="D526" t="s">
        <v>65</v>
      </c>
      <c r="E526">
        <v>0.31</v>
      </c>
      <c r="F526">
        <v>200</v>
      </c>
      <c r="G526">
        <v>7</v>
      </c>
      <c r="H526">
        <v>2</v>
      </c>
      <c r="I526">
        <v>0</v>
      </c>
      <c r="J526">
        <v>49.5</v>
      </c>
      <c r="K526">
        <v>10.8</v>
      </c>
      <c r="L526">
        <v>0.6</v>
      </c>
      <c r="M526" t="s">
        <v>36</v>
      </c>
      <c r="N526">
        <v>320</v>
      </c>
      <c r="P526" t="s">
        <v>59</v>
      </c>
      <c r="Q526" t="str">
        <f>VLOOKUP(B526,'Player Register'!$B$6:$D$125,3,FALSE())</f>
        <v>65–80</v>
      </c>
    </row>
    <row r="527" spans="2:17" x14ac:dyDescent="0.2">
      <c r="B527">
        <v>3111</v>
      </c>
      <c r="C527">
        <v>1</v>
      </c>
      <c r="D527" t="s">
        <v>62</v>
      </c>
      <c r="E527">
        <v>0.31</v>
      </c>
      <c r="F527">
        <v>200</v>
      </c>
      <c r="G527">
        <v>5</v>
      </c>
      <c r="H527">
        <v>1</v>
      </c>
      <c r="I527">
        <v>0</v>
      </c>
      <c r="J527">
        <v>48.3</v>
      </c>
      <c r="K527">
        <v>10.8</v>
      </c>
      <c r="L527">
        <v>0.6</v>
      </c>
      <c r="M527" t="s">
        <v>36</v>
      </c>
      <c r="N527">
        <v>300</v>
      </c>
      <c r="P527" t="s">
        <v>61</v>
      </c>
      <c r="Q527" t="str">
        <f>VLOOKUP(B527,'Player Register'!$B$6:$D$125,3,FALSE())</f>
        <v>65–80</v>
      </c>
    </row>
    <row r="528" spans="2:17" x14ac:dyDescent="0.2">
      <c r="B528">
        <v>3111</v>
      </c>
      <c r="C528">
        <v>6</v>
      </c>
      <c r="D528" t="s">
        <v>100</v>
      </c>
      <c r="E528">
        <v>0.35</v>
      </c>
      <c r="F528">
        <v>200</v>
      </c>
      <c r="G528">
        <v>7</v>
      </c>
      <c r="H528">
        <v>3</v>
      </c>
      <c r="I528">
        <v>0</v>
      </c>
      <c r="J528">
        <v>36.9</v>
      </c>
      <c r="K528">
        <v>10.8</v>
      </c>
      <c r="L528">
        <v>0.45</v>
      </c>
      <c r="M528" t="s">
        <v>36</v>
      </c>
      <c r="N528">
        <v>320</v>
      </c>
      <c r="P528" t="s">
        <v>64</v>
      </c>
      <c r="Q528" t="str">
        <f>VLOOKUP(B528,'Player Register'!$B$6:$D$125,3,FALSE())</f>
        <v>65–80</v>
      </c>
    </row>
    <row r="529" spans="2:17" x14ac:dyDescent="0.2">
      <c r="B529">
        <v>3112</v>
      </c>
      <c r="C529">
        <v>1</v>
      </c>
      <c r="D529" t="s">
        <v>84</v>
      </c>
      <c r="E529">
        <v>0.31</v>
      </c>
      <c r="F529">
        <v>200</v>
      </c>
      <c r="G529">
        <v>6</v>
      </c>
      <c r="H529">
        <v>3</v>
      </c>
      <c r="I529">
        <v>0</v>
      </c>
      <c r="J529">
        <v>49</v>
      </c>
      <c r="K529">
        <v>10.8</v>
      </c>
      <c r="L529">
        <v>0.6</v>
      </c>
      <c r="M529" t="s">
        <v>36</v>
      </c>
      <c r="N529">
        <v>310</v>
      </c>
      <c r="P529" t="s">
        <v>64</v>
      </c>
      <c r="Q529" t="str">
        <f>VLOOKUP(B529,'Player Register'!$B$6:$D$125,3,FALSE())</f>
        <v>65–80</v>
      </c>
    </row>
    <row r="530" spans="2:17" x14ac:dyDescent="0.2">
      <c r="B530">
        <v>3112</v>
      </c>
      <c r="C530">
        <v>2</v>
      </c>
      <c r="D530" t="s">
        <v>63</v>
      </c>
      <c r="E530">
        <v>0.31</v>
      </c>
      <c r="F530">
        <v>200</v>
      </c>
      <c r="G530">
        <v>3</v>
      </c>
      <c r="H530">
        <v>4</v>
      </c>
      <c r="I530">
        <v>0</v>
      </c>
      <c r="J530">
        <v>47.1</v>
      </c>
      <c r="K530">
        <v>10.8</v>
      </c>
      <c r="L530">
        <v>0.45</v>
      </c>
      <c r="M530" t="s">
        <v>36</v>
      </c>
      <c r="N530">
        <v>280</v>
      </c>
      <c r="P530" t="s">
        <v>70</v>
      </c>
      <c r="Q530" t="str">
        <f>VLOOKUP(B530,'Player Register'!$B$6:$D$125,3,FALSE())</f>
        <v>65–80</v>
      </c>
    </row>
    <row r="531" spans="2:17" x14ac:dyDescent="0.2">
      <c r="B531">
        <v>3113</v>
      </c>
      <c r="C531">
        <v>1</v>
      </c>
      <c r="D531" t="s">
        <v>80</v>
      </c>
      <c r="E531">
        <v>0.35</v>
      </c>
      <c r="F531">
        <v>200</v>
      </c>
      <c r="G531">
        <v>5</v>
      </c>
      <c r="H531">
        <v>4</v>
      </c>
      <c r="I531">
        <v>0</v>
      </c>
      <c r="J531">
        <v>47.1</v>
      </c>
      <c r="K531">
        <v>10.8</v>
      </c>
      <c r="L531">
        <v>0.45</v>
      </c>
      <c r="M531" t="s">
        <v>36</v>
      </c>
      <c r="N531">
        <v>300</v>
      </c>
      <c r="P531" t="s">
        <v>70</v>
      </c>
      <c r="Q531" t="str">
        <f>VLOOKUP(B531,'Player Register'!$B$6:$D$125,3,FALSE())</f>
        <v>65–80</v>
      </c>
    </row>
    <row r="532" spans="2:17" x14ac:dyDescent="0.2">
      <c r="B532">
        <v>3113</v>
      </c>
      <c r="C532">
        <v>2</v>
      </c>
      <c r="D532" t="s">
        <v>89</v>
      </c>
      <c r="E532">
        <v>0.31</v>
      </c>
      <c r="F532">
        <v>200</v>
      </c>
      <c r="G532">
        <v>4</v>
      </c>
      <c r="H532">
        <v>2</v>
      </c>
      <c r="I532">
        <v>0</v>
      </c>
      <c r="J532">
        <v>57.6</v>
      </c>
      <c r="K532">
        <v>10.8</v>
      </c>
      <c r="L532">
        <v>0.6</v>
      </c>
      <c r="M532" t="s">
        <v>36</v>
      </c>
      <c r="N532">
        <v>290</v>
      </c>
      <c r="P532" t="s">
        <v>59</v>
      </c>
      <c r="Q532" t="str">
        <f>VLOOKUP(B532,'Player Register'!$B$6:$D$125,3,FALSE())</f>
        <v>65–80</v>
      </c>
    </row>
    <row r="533" spans="2:17" x14ac:dyDescent="0.2">
      <c r="B533">
        <v>3113</v>
      </c>
      <c r="C533">
        <v>3</v>
      </c>
      <c r="D533" t="s">
        <v>76</v>
      </c>
      <c r="E533">
        <v>0.31</v>
      </c>
      <c r="F533">
        <v>200</v>
      </c>
      <c r="G533">
        <v>6</v>
      </c>
      <c r="H533">
        <v>2</v>
      </c>
      <c r="I533">
        <v>0</v>
      </c>
      <c r="J533">
        <v>53.7</v>
      </c>
      <c r="K533">
        <v>10.8</v>
      </c>
      <c r="L533">
        <v>0.6</v>
      </c>
      <c r="M533" t="s">
        <v>36</v>
      </c>
      <c r="N533">
        <v>310</v>
      </c>
      <c r="P533" t="s">
        <v>59</v>
      </c>
      <c r="Q533" t="str">
        <f>VLOOKUP(B533,'Player Register'!$B$6:$D$125,3,FALSE())</f>
        <v>65–80</v>
      </c>
    </row>
    <row r="534" spans="2:17" x14ac:dyDescent="0.2">
      <c r="B534">
        <v>3113</v>
      </c>
      <c r="C534">
        <v>4</v>
      </c>
      <c r="D534" t="s">
        <v>78</v>
      </c>
      <c r="E534">
        <v>0.31</v>
      </c>
      <c r="F534">
        <v>200</v>
      </c>
      <c r="G534">
        <v>9</v>
      </c>
      <c r="H534">
        <v>1</v>
      </c>
      <c r="I534">
        <v>0</v>
      </c>
      <c r="J534">
        <v>43.8</v>
      </c>
      <c r="K534">
        <v>10.8</v>
      </c>
      <c r="L534">
        <v>0.6</v>
      </c>
      <c r="M534" t="s">
        <v>36</v>
      </c>
      <c r="N534">
        <v>340</v>
      </c>
      <c r="P534" t="s">
        <v>61</v>
      </c>
      <c r="Q534" t="str">
        <f>VLOOKUP(B534,'Player Register'!$B$6:$D$125,3,FALSE())</f>
        <v>65–80</v>
      </c>
    </row>
    <row r="535" spans="2:17" x14ac:dyDescent="0.2">
      <c r="B535">
        <v>3113</v>
      </c>
      <c r="C535">
        <v>5</v>
      </c>
      <c r="D535" t="s">
        <v>66</v>
      </c>
      <c r="E535">
        <v>0.31</v>
      </c>
      <c r="F535">
        <v>200</v>
      </c>
      <c r="G535">
        <v>6</v>
      </c>
      <c r="H535">
        <v>1</v>
      </c>
      <c r="I535">
        <v>0</v>
      </c>
      <c r="J535">
        <v>52.6</v>
      </c>
      <c r="K535">
        <v>10.8</v>
      </c>
      <c r="L535">
        <v>0.6</v>
      </c>
      <c r="M535" t="s">
        <v>36</v>
      </c>
      <c r="N535">
        <v>310</v>
      </c>
      <c r="P535" t="s">
        <v>61</v>
      </c>
      <c r="Q535" t="str">
        <f>VLOOKUP(B535,'Player Register'!$B$6:$D$125,3,FALSE())</f>
        <v>65–80</v>
      </c>
    </row>
    <row r="536" spans="2:17" x14ac:dyDescent="0.2">
      <c r="B536">
        <v>3114</v>
      </c>
      <c r="C536">
        <v>1</v>
      </c>
      <c r="D536" t="s">
        <v>79</v>
      </c>
      <c r="E536">
        <v>0.28999999999999998</v>
      </c>
      <c r="F536">
        <v>200</v>
      </c>
      <c r="G536">
        <v>6</v>
      </c>
      <c r="H536">
        <v>1</v>
      </c>
      <c r="I536">
        <v>0</v>
      </c>
      <c r="J536">
        <v>68.099999999999994</v>
      </c>
      <c r="K536">
        <v>12.6</v>
      </c>
      <c r="L536">
        <v>0.7</v>
      </c>
      <c r="M536" t="s">
        <v>36</v>
      </c>
      <c r="N536">
        <v>310</v>
      </c>
      <c r="P536" t="s">
        <v>73</v>
      </c>
      <c r="Q536" t="str">
        <f>VLOOKUP(B536,'Player Register'!$B$6:$D$125,3,FALSE())</f>
        <v>65–80</v>
      </c>
    </row>
    <row r="537" spans="2:17" x14ac:dyDescent="0.2">
      <c r="B537">
        <v>3114</v>
      </c>
      <c r="C537">
        <v>2</v>
      </c>
      <c r="D537" t="s">
        <v>58</v>
      </c>
      <c r="E537">
        <v>0.31</v>
      </c>
      <c r="F537">
        <v>200</v>
      </c>
      <c r="G537">
        <v>9</v>
      </c>
      <c r="H537">
        <v>1</v>
      </c>
      <c r="I537">
        <v>0</v>
      </c>
      <c r="J537">
        <v>42.6</v>
      </c>
      <c r="K537">
        <v>10.8</v>
      </c>
      <c r="L537">
        <v>0.6</v>
      </c>
      <c r="M537" t="s">
        <v>36</v>
      </c>
      <c r="N537">
        <v>340</v>
      </c>
      <c r="P537" t="s">
        <v>61</v>
      </c>
      <c r="Q537" t="str">
        <f>VLOOKUP(B537,'Player Register'!$B$6:$D$125,3,FALSE())</f>
        <v>65–80</v>
      </c>
    </row>
    <row r="538" spans="2:17" x14ac:dyDescent="0.2">
      <c r="B538">
        <v>3114</v>
      </c>
      <c r="C538">
        <v>6</v>
      </c>
      <c r="D538" t="s">
        <v>86</v>
      </c>
      <c r="E538">
        <v>0.28999999999999998</v>
      </c>
      <c r="F538">
        <v>200</v>
      </c>
      <c r="G538">
        <v>11</v>
      </c>
      <c r="H538">
        <v>0</v>
      </c>
      <c r="I538">
        <v>0</v>
      </c>
      <c r="J538">
        <v>73.8</v>
      </c>
      <c r="K538">
        <v>12.6</v>
      </c>
      <c r="L538">
        <v>0.7</v>
      </c>
      <c r="M538" t="s">
        <v>36</v>
      </c>
      <c r="N538">
        <v>360</v>
      </c>
      <c r="P538" t="s">
        <v>68</v>
      </c>
      <c r="Q538" t="str">
        <f>VLOOKUP(B538,'Player Register'!$B$6:$D$125,3,FALSE())</f>
        <v>65–80</v>
      </c>
    </row>
    <row r="539" spans="2:17" x14ac:dyDescent="0.2">
      <c r="B539">
        <v>3114</v>
      </c>
      <c r="C539">
        <v>7</v>
      </c>
      <c r="D539" t="s">
        <v>75</v>
      </c>
      <c r="E539">
        <v>0.31</v>
      </c>
      <c r="F539">
        <v>201</v>
      </c>
      <c r="G539">
        <v>9</v>
      </c>
      <c r="H539">
        <v>2</v>
      </c>
      <c r="I539">
        <v>0</v>
      </c>
      <c r="J539">
        <v>49.9</v>
      </c>
      <c r="K539">
        <v>12.6</v>
      </c>
      <c r="L539">
        <v>0.7</v>
      </c>
      <c r="M539" t="s">
        <v>36</v>
      </c>
      <c r="N539">
        <v>341</v>
      </c>
      <c r="P539" t="s">
        <v>59</v>
      </c>
      <c r="Q539" t="str">
        <f>VLOOKUP(B539,'Player Register'!$B$6:$D$125,3,FALSE())</f>
        <v>65–80</v>
      </c>
    </row>
    <row r="540" spans="2:17" x14ac:dyDescent="0.2">
      <c r="B540">
        <v>3115</v>
      </c>
      <c r="C540">
        <v>1</v>
      </c>
      <c r="D540" t="s">
        <v>76</v>
      </c>
      <c r="E540">
        <v>0.35</v>
      </c>
      <c r="F540">
        <v>200</v>
      </c>
      <c r="G540">
        <v>8</v>
      </c>
      <c r="H540">
        <v>3</v>
      </c>
      <c r="I540">
        <v>0</v>
      </c>
      <c r="J540">
        <v>33.1</v>
      </c>
      <c r="K540">
        <v>10.8</v>
      </c>
      <c r="L540">
        <v>0.45</v>
      </c>
      <c r="M540" t="s">
        <v>36</v>
      </c>
      <c r="N540">
        <v>330</v>
      </c>
      <c r="P540" t="s">
        <v>64</v>
      </c>
      <c r="Q540" t="str">
        <f>VLOOKUP(B540,'Player Register'!$B$6:$D$125,3,FALSE())</f>
        <v>65–80</v>
      </c>
    </row>
    <row r="541" spans="2:17" x14ac:dyDescent="0.2">
      <c r="B541">
        <v>3115</v>
      </c>
      <c r="C541">
        <v>2</v>
      </c>
      <c r="D541" t="s">
        <v>78</v>
      </c>
      <c r="E541">
        <v>0.31</v>
      </c>
      <c r="F541">
        <v>200</v>
      </c>
      <c r="G541">
        <v>4</v>
      </c>
      <c r="H541">
        <v>1</v>
      </c>
      <c r="I541">
        <v>0</v>
      </c>
      <c r="J541">
        <v>45.5</v>
      </c>
      <c r="K541">
        <v>10.8</v>
      </c>
      <c r="L541">
        <v>0.6</v>
      </c>
      <c r="M541" t="s">
        <v>36</v>
      </c>
      <c r="N541">
        <v>290</v>
      </c>
      <c r="P541" t="s">
        <v>61</v>
      </c>
      <c r="Q541" t="str">
        <f>VLOOKUP(B541,'Player Register'!$B$6:$D$125,3,FALSE())</f>
        <v>65–80</v>
      </c>
    </row>
    <row r="542" spans="2:17" x14ac:dyDescent="0.2">
      <c r="B542">
        <v>3115</v>
      </c>
      <c r="C542">
        <v>6</v>
      </c>
      <c r="D542" t="s">
        <v>63</v>
      </c>
      <c r="E542">
        <v>0.31</v>
      </c>
      <c r="F542">
        <v>200</v>
      </c>
      <c r="G542">
        <v>6</v>
      </c>
      <c r="H542">
        <v>2</v>
      </c>
      <c r="I542">
        <v>0</v>
      </c>
      <c r="J542">
        <v>48</v>
      </c>
      <c r="K542">
        <v>10.8</v>
      </c>
      <c r="L542">
        <v>0.6</v>
      </c>
      <c r="M542" t="s">
        <v>36</v>
      </c>
      <c r="N542">
        <v>310</v>
      </c>
      <c r="P542" t="s">
        <v>59</v>
      </c>
      <c r="Q542" t="str">
        <f>VLOOKUP(B542,'Player Register'!$B$6:$D$125,3,FALSE())</f>
        <v>65–80</v>
      </c>
    </row>
    <row r="543" spans="2:17" x14ac:dyDescent="0.2">
      <c r="B543">
        <v>3116</v>
      </c>
      <c r="C543">
        <v>1</v>
      </c>
      <c r="D543" t="s">
        <v>89</v>
      </c>
      <c r="E543">
        <v>0.35</v>
      </c>
      <c r="F543">
        <v>200</v>
      </c>
      <c r="G543">
        <v>5</v>
      </c>
      <c r="H543">
        <v>4</v>
      </c>
      <c r="I543">
        <v>0</v>
      </c>
      <c r="J543">
        <v>40.6</v>
      </c>
      <c r="K543">
        <v>10.8</v>
      </c>
      <c r="L543">
        <v>0.45</v>
      </c>
      <c r="M543" t="s">
        <v>36</v>
      </c>
      <c r="N543">
        <v>300</v>
      </c>
      <c r="P543" t="s">
        <v>70</v>
      </c>
      <c r="Q543" t="str">
        <f>VLOOKUP(B543,'Player Register'!$B$6:$D$125,3,FALSE())</f>
        <v>65–80</v>
      </c>
    </row>
    <row r="544" spans="2:17" x14ac:dyDescent="0.2">
      <c r="B544">
        <v>3116</v>
      </c>
      <c r="C544">
        <v>2</v>
      </c>
      <c r="D544" t="s">
        <v>82</v>
      </c>
      <c r="E544">
        <v>0.28999999999999998</v>
      </c>
      <c r="F544">
        <v>200</v>
      </c>
      <c r="G544">
        <v>9</v>
      </c>
      <c r="H544">
        <v>1</v>
      </c>
      <c r="I544">
        <v>0</v>
      </c>
      <c r="J544">
        <v>78.8</v>
      </c>
      <c r="K544">
        <v>12.6</v>
      </c>
      <c r="L544">
        <v>0.7</v>
      </c>
      <c r="M544" t="s">
        <v>36</v>
      </c>
      <c r="N544">
        <v>340</v>
      </c>
      <c r="P544" t="s">
        <v>73</v>
      </c>
      <c r="Q544" t="str">
        <f>VLOOKUP(B544,'Player Register'!$B$6:$D$125,3,FALSE())</f>
        <v>65–80</v>
      </c>
    </row>
    <row r="545" spans="2:17" x14ac:dyDescent="0.2">
      <c r="B545">
        <v>3116</v>
      </c>
      <c r="C545">
        <v>3</v>
      </c>
      <c r="D545" t="s">
        <v>76</v>
      </c>
      <c r="E545">
        <v>0.28999999999999998</v>
      </c>
      <c r="F545">
        <v>200</v>
      </c>
      <c r="G545">
        <v>14</v>
      </c>
      <c r="H545">
        <v>2</v>
      </c>
      <c r="I545">
        <v>0</v>
      </c>
      <c r="J545">
        <v>65.8</v>
      </c>
      <c r="K545">
        <v>12.6</v>
      </c>
      <c r="L545">
        <v>0.7</v>
      </c>
      <c r="M545" t="s">
        <v>36</v>
      </c>
      <c r="N545">
        <v>390</v>
      </c>
      <c r="P545" t="s">
        <v>61</v>
      </c>
      <c r="Q545" t="str">
        <f>VLOOKUP(B545,'Player Register'!$B$6:$D$125,3,FALSE())</f>
        <v>65–80</v>
      </c>
    </row>
    <row r="546" spans="2:17" x14ac:dyDescent="0.2">
      <c r="B546">
        <v>3117</v>
      </c>
      <c r="C546">
        <v>1</v>
      </c>
      <c r="D546" t="s">
        <v>60</v>
      </c>
      <c r="E546">
        <v>0.35</v>
      </c>
      <c r="F546">
        <v>200</v>
      </c>
      <c r="G546">
        <v>4</v>
      </c>
      <c r="H546">
        <v>3</v>
      </c>
      <c r="I546">
        <v>0</v>
      </c>
      <c r="J546">
        <v>32.700000000000003</v>
      </c>
      <c r="K546">
        <v>10.8</v>
      </c>
      <c r="L546">
        <v>0.45</v>
      </c>
      <c r="M546" t="s">
        <v>36</v>
      </c>
      <c r="N546">
        <v>290</v>
      </c>
      <c r="P546" t="s">
        <v>64</v>
      </c>
      <c r="Q546" t="str">
        <f>VLOOKUP(B546,'Player Register'!$B$6:$D$125,3,FALSE())</f>
        <v>65–80</v>
      </c>
    </row>
    <row r="547" spans="2:17" x14ac:dyDescent="0.2">
      <c r="B547">
        <v>3117</v>
      </c>
      <c r="C547">
        <v>6</v>
      </c>
      <c r="D547" t="s">
        <v>90</v>
      </c>
      <c r="E547">
        <v>0.35</v>
      </c>
      <c r="F547">
        <v>200</v>
      </c>
      <c r="G547">
        <v>6</v>
      </c>
      <c r="H547">
        <v>3</v>
      </c>
      <c r="I547">
        <v>0</v>
      </c>
      <c r="J547">
        <v>34.200000000000003</v>
      </c>
      <c r="K547">
        <v>10.8</v>
      </c>
      <c r="L547">
        <v>0.45</v>
      </c>
      <c r="M547" t="s">
        <v>36</v>
      </c>
      <c r="N547">
        <v>310</v>
      </c>
      <c r="P547" t="s">
        <v>64</v>
      </c>
      <c r="Q547" t="str">
        <f>VLOOKUP(B547,'Player Register'!$B$6:$D$125,3,FALSE())</f>
        <v>65–80</v>
      </c>
    </row>
    <row r="548" spans="2:17" x14ac:dyDescent="0.2">
      <c r="B548">
        <v>3118</v>
      </c>
      <c r="C548">
        <v>1</v>
      </c>
      <c r="D548" t="s">
        <v>71</v>
      </c>
      <c r="E548">
        <v>0.31</v>
      </c>
      <c r="F548">
        <v>200</v>
      </c>
      <c r="G548">
        <v>4</v>
      </c>
      <c r="H548">
        <v>3</v>
      </c>
      <c r="I548">
        <v>0</v>
      </c>
      <c r="J548">
        <v>40.200000000000003</v>
      </c>
      <c r="K548">
        <v>10.8</v>
      </c>
      <c r="L548">
        <v>0.6</v>
      </c>
      <c r="M548" t="s">
        <v>36</v>
      </c>
      <c r="N548">
        <v>290</v>
      </c>
      <c r="P548" t="s">
        <v>64</v>
      </c>
      <c r="Q548" t="str">
        <f>VLOOKUP(B548,'Player Register'!$B$6:$D$125,3,FALSE())</f>
        <v>65–80</v>
      </c>
    </row>
    <row r="549" spans="2:17" x14ac:dyDescent="0.2">
      <c r="B549">
        <v>3118</v>
      </c>
      <c r="C549">
        <v>2</v>
      </c>
      <c r="D549" t="s">
        <v>63</v>
      </c>
      <c r="E549">
        <v>0.31</v>
      </c>
      <c r="F549">
        <v>200</v>
      </c>
      <c r="G549">
        <v>3</v>
      </c>
      <c r="H549">
        <v>1</v>
      </c>
      <c r="I549">
        <v>0</v>
      </c>
      <c r="J549">
        <v>63.7</v>
      </c>
      <c r="K549">
        <v>10.8</v>
      </c>
      <c r="L549">
        <v>0.6</v>
      </c>
      <c r="M549" t="s">
        <v>36</v>
      </c>
      <c r="N549">
        <v>280</v>
      </c>
      <c r="P549" t="s">
        <v>61</v>
      </c>
      <c r="Q549" t="str">
        <f>VLOOKUP(B549,'Player Register'!$B$6:$D$125,3,FALSE())</f>
        <v>65–80</v>
      </c>
    </row>
    <row r="550" spans="2:17" x14ac:dyDescent="0.2">
      <c r="B550">
        <v>3118</v>
      </c>
      <c r="C550">
        <v>3</v>
      </c>
      <c r="D550" t="s">
        <v>85</v>
      </c>
      <c r="E550">
        <v>0.31</v>
      </c>
      <c r="F550">
        <v>200</v>
      </c>
      <c r="G550">
        <v>8</v>
      </c>
      <c r="H550">
        <v>1</v>
      </c>
      <c r="I550">
        <v>0</v>
      </c>
      <c r="J550">
        <v>65</v>
      </c>
      <c r="K550">
        <v>10.8</v>
      </c>
      <c r="L550">
        <v>0.6</v>
      </c>
      <c r="M550" t="s">
        <v>36</v>
      </c>
      <c r="N550">
        <v>330</v>
      </c>
      <c r="P550" t="s">
        <v>61</v>
      </c>
      <c r="Q550" t="str">
        <f>VLOOKUP(B550,'Player Register'!$B$6:$D$125,3,FALSE())</f>
        <v>65–80</v>
      </c>
    </row>
    <row r="551" spans="2:17" x14ac:dyDescent="0.2">
      <c r="B551">
        <v>3118</v>
      </c>
      <c r="C551">
        <v>4</v>
      </c>
      <c r="D551" t="s">
        <v>65</v>
      </c>
      <c r="E551">
        <v>0.31</v>
      </c>
      <c r="F551">
        <v>200</v>
      </c>
      <c r="G551">
        <v>11</v>
      </c>
      <c r="H551">
        <v>2</v>
      </c>
      <c r="I551">
        <v>0</v>
      </c>
      <c r="J551">
        <v>67.400000000000006</v>
      </c>
      <c r="K551">
        <v>10.8</v>
      </c>
      <c r="L551">
        <v>0.6</v>
      </c>
      <c r="M551" t="s">
        <v>36</v>
      </c>
      <c r="N551">
        <v>360</v>
      </c>
      <c r="P551" t="s">
        <v>59</v>
      </c>
      <c r="Q551" t="str">
        <f>VLOOKUP(B551,'Player Register'!$B$6:$D$125,3,FALSE())</f>
        <v>65–80</v>
      </c>
    </row>
    <row r="552" spans="2:17" x14ac:dyDescent="0.2">
      <c r="B552">
        <v>3118</v>
      </c>
      <c r="C552">
        <v>5</v>
      </c>
      <c r="D552" t="s">
        <v>91</v>
      </c>
      <c r="E552">
        <v>0.31</v>
      </c>
      <c r="F552">
        <v>200</v>
      </c>
      <c r="G552">
        <v>11</v>
      </c>
      <c r="H552">
        <v>2</v>
      </c>
      <c r="I552">
        <v>0</v>
      </c>
      <c r="J552">
        <v>65.7</v>
      </c>
      <c r="K552">
        <v>10.8</v>
      </c>
      <c r="L552">
        <v>0.6</v>
      </c>
      <c r="M552" t="s">
        <v>36</v>
      </c>
      <c r="N552">
        <v>360</v>
      </c>
      <c r="P552" t="s">
        <v>59</v>
      </c>
      <c r="Q552" t="str">
        <f>VLOOKUP(B552,'Player Register'!$B$6:$D$125,3,FALSE())</f>
        <v>65–80</v>
      </c>
    </row>
    <row r="553" spans="2:17" x14ac:dyDescent="0.2">
      <c r="B553">
        <v>3119</v>
      </c>
      <c r="C553">
        <v>1</v>
      </c>
      <c r="D553" t="s">
        <v>81</v>
      </c>
      <c r="E553">
        <v>0.28999999999999998</v>
      </c>
      <c r="F553">
        <v>200</v>
      </c>
      <c r="G553">
        <v>9</v>
      </c>
      <c r="H553">
        <v>0</v>
      </c>
      <c r="I553">
        <v>0</v>
      </c>
      <c r="J553">
        <v>75.7</v>
      </c>
      <c r="K553">
        <v>12.6</v>
      </c>
      <c r="L553">
        <v>0.7</v>
      </c>
      <c r="M553" t="s">
        <v>36</v>
      </c>
      <c r="N553">
        <v>340</v>
      </c>
      <c r="P553" t="s">
        <v>68</v>
      </c>
      <c r="Q553" t="str">
        <f>VLOOKUP(B553,'Player Register'!$B$6:$D$125,3,FALSE())</f>
        <v>65–80</v>
      </c>
    </row>
    <row r="554" spans="2:17" x14ac:dyDescent="0.2">
      <c r="B554">
        <v>3119</v>
      </c>
      <c r="C554">
        <v>2</v>
      </c>
      <c r="D554" t="s">
        <v>89</v>
      </c>
      <c r="E554">
        <v>0.31</v>
      </c>
      <c r="F554">
        <v>200</v>
      </c>
      <c r="G554">
        <v>4</v>
      </c>
      <c r="H554">
        <v>1</v>
      </c>
      <c r="I554">
        <v>0</v>
      </c>
      <c r="J554">
        <v>63.9</v>
      </c>
      <c r="K554">
        <v>10.8</v>
      </c>
      <c r="L554">
        <v>0.6</v>
      </c>
      <c r="M554" t="s">
        <v>36</v>
      </c>
      <c r="N554">
        <v>290</v>
      </c>
      <c r="P554" t="s">
        <v>61</v>
      </c>
      <c r="Q554" t="str">
        <f>VLOOKUP(B554,'Player Register'!$B$6:$D$125,3,FALSE())</f>
        <v>65–80</v>
      </c>
    </row>
    <row r="555" spans="2:17" x14ac:dyDescent="0.2">
      <c r="B555">
        <v>3119</v>
      </c>
      <c r="C555">
        <v>3</v>
      </c>
      <c r="D555" t="s">
        <v>82</v>
      </c>
      <c r="E555">
        <v>0.28999999999999998</v>
      </c>
      <c r="F555">
        <v>200</v>
      </c>
      <c r="G555">
        <v>8</v>
      </c>
      <c r="H555">
        <v>2</v>
      </c>
      <c r="I555">
        <v>0</v>
      </c>
      <c r="J555">
        <v>61</v>
      </c>
      <c r="K555">
        <v>12.6</v>
      </c>
      <c r="L555">
        <v>0.7</v>
      </c>
      <c r="M555" t="s">
        <v>36</v>
      </c>
      <c r="N555">
        <v>330</v>
      </c>
      <c r="P555" t="s">
        <v>61</v>
      </c>
      <c r="Q555" t="str">
        <f>VLOOKUP(B555,'Player Register'!$B$6:$D$125,3,FALSE())</f>
        <v>65–80</v>
      </c>
    </row>
    <row r="556" spans="2:17" x14ac:dyDescent="0.2">
      <c r="B556">
        <v>3119</v>
      </c>
      <c r="C556">
        <v>4</v>
      </c>
      <c r="D556" t="s">
        <v>78</v>
      </c>
      <c r="E556">
        <v>0.31</v>
      </c>
      <c r="F556">
        <v>201</v>
      </c>
      <c r="G556">
        <v>8</v>
      </c>
      <c r="H556">
        <v>1</v>
      </c>
      <c r="I556">
        <v>0</v>
      </c>
      <c r="J556">
        <v>50.4</v>
      </c>
      <c r="K556">
        <v>12.6</v>
      </c>
      <c r="L556">
        <v>0.7</v>
      </c>
      <c r="M556" t="s">
        <v>36</v>
      </c>
      <c r="N556">
        <v>331</v>
      </c>
      <c r="P556" t="s">
        <v>61</v>
      </c>
      <c r="Q556" t="str">
        <f>VLOOKUP(B556,'Player Register'!$B$6:$D$125,3,FALSE())</f>
        <v>65–80</v>
      </c>
    </row>
    <row r="557" spans="2:17" x14ac:dyDescent="0.2">
      <c r="B557">
        <v>3119</v>
      </c>
      <c r="C557">
        <v>5</v>
      </c>
      <c r="D557" t="s">
        <v>83</v>
      </c>
      <c r="E557">
        <v>0.28999999999999998</v>
      </c>
      <c r="F557">
        <v>200</v>
      </c>
      <c r="G557">
        <v>4</v>
      </c>
      <c r="H557">
        <v>2</v>
      </c>
      <c r="I557">
        <v>0</v>
      </c>
      <c r="J557">
        <v>68.900000000000006</v>
      </c>
      <c r="K557">
        <v>12.6</v>
      </c>
      <c r="L557">
        <v>0.7</v>
      </c>
      <c r="M557" t="s">
        <v>36</v>
      </c>
      <c r="N557">
        <v>290</v>
      </c>
      <c r="P557" t="s">
        <v>61</v>
      </c>
      <c r="Q557" t="str">
        <f>VLOOKUP(B557,'Player Register'!$B$6:$D$125,3,FALSE())</f>
        <v>65–80</v>
      </c>
    </row>
    <row r="558" spans="2:17" x14ac:dyDescent="0.2">
      <c r="B558">
        <v>3120</v>
      </c>
      <c r="C558">
        <v>1</v>
      </c>
      <c r="D558" t="s">
        <v>89</v>
      </c>
      <c r="E558">
        <v>0.35</v>
      </c>
      <c r="F558">
        <v>200</v>
      </c>
      <c r="G558">
        <v>3</v>
      </c>
      <c r="H558">
        <v>3</v>
      </c>
      <c r="I558">
        <v>0</v>
      </c>
      <c r="J558">
        <v>47.4</v>
      </c>
      <c r="K558">
        <v>10.8</v>
      </c>
      <c r="L558">
        <v>0.45</v>
      </c>
      <c r="M558" t="s">
        <v>36</v>
      </c>
      <c r="N558">
        <v>280</v>
      </c>
      <c r="P558" t="s">
        <v>64</v>
      </c>
      <c r="Q558" t="str">
        <f>VLOOKUP(B558,'Player Register'!$B$6:$D$125,3,FALSE())</f>
        <v>65–80</v>
      </c>
    </row>
    <row r="559" spans="2:17" x14ac:dyDescent="0.2">
      <c r="B559">
        <v>3120</v>
      </c>
      <c r="C559">
        <v>6</v>
      </c>
      <c r="D559" t="s">
        <v>86</v>
      </c>
      <c r="E559">
        <v>0.31</v>
      </c>
      <c r="F559">
        <v>200</v>
      </c>
      <c r="G559">
        <v>7</v>
      </c>
      <c r="H559">
        <v>3</v>
      </c>
      <c r="I559">
        <v>0</v>
      </c>
      <c r="J559">
        <v>41.2</v>
      </c>
      <c r="K559">
        <v>10.8</v>
      </c>
      <c r="L559">
        <v>0.45</v>
      </c>
      <c r="M559" t="s">
        <v>36</v>
      </c>
      <c r="N559">
        <v>320</v>
      </c>
      <c r="P559" t="s">
        <v>64</v>
      </c>
      <c r="Q559" t="str">
        <f>VLOOKUP(B559,'Player Register'!$B$6:$D$125,3,FALSE())</f>
        <v>65–80</v>
      </c>
    </row>
  </sheetData>
  <autoFilter ref="B5:P55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2986"/>
  <sheetViews>
    <sheetView showGridLines="0" zoomScaleNormal="100" workbookViewId="0">
      <pane ySplit="5" topLeftCell="A6" activePane="bottomLeft" state="frozen"/>
      <selection pane="bottomLeft" activeCell="C5" sqref="C5"/>
    </sheetView>
  </sheetViews>
  <sheetFormatPr defaultColWidth="8.7421875" defaultRowHeight="15" x14ac:dyDescent="0.2"/>
  <cols>
    <col min="2" max="2" width="13.046875" customWidth="1"/>
    <col min="3" max="3" width="9.953125" customWidth="1"/>
    <col min="4" max="4" width="6.9921875" customWidth="1"/>
    <col min="5" max="7" width="9.01171875" customWidth="1"/>
    <col min="8" max="8" width="7.93359375" customWidth="1"/>
    <col min="9" max="10" width="6.9921875" customWidth="1"/>
    <col min="11" max="11" width="9.01171875" customWidth="1"/>
    <col min="12" max="12" width="57.9765625" customWidth="1"/>
    <col min="13" max="13" width="9.953125" customWidth="1"/>
  </cols>
  <sheetData>
    <row r="2" spans="2:13" ht="30" customHeight="1" x14ac:dyDescent="0.25">
      <c r="B2" s="8" t="s">
        <v>101</v>
      </c>
    </row>
    <row r="3" spans="2:13" ht="15.75" customHeight="1" x14ac:dyDescent="0.2">
      <c r="B3" s="9" t="s">
        <v>102</v>
      </c>
    </row>
    <row r="5" spans="2:13" x14ac:dyDescent="0.2">
      <c r="B5" s="10" t="s">
        <v>24</v>
      </c>
      <c r="C5" s="10" t="s">
        <v>43</v>
      </c>
      <c r="D5" s="10" t="s">
        <v>103</v>
      </c>
      <c r="E5" s="10" t="s">
        <v>104</v>
      </c>
      <c r="F5" s="10" t="s">
        <v>105</v>
      </c>
      <c r="G5" s="10" t="s">
        <v>106</v>
      </c>
      <c r="H5" s="10" t="s">
        <v>107</v>
      </c>
      <c r="I5" s="10" t="s">
        <v>108</v>
      </c>
      <c r="J5" s="10" t="s">
        <v>109</v>
      </c>
      <c r="K5" s="10" t="s">
        <v>110</v>
      </c>
      <c r="L5" s="10" t="s">
        <v>111</v>
      </c>
      <c r="M5" s="10" t="s">
        <v>112</v>
      </c>
    </row>
    <row r="6" spans="2:13" x14ac:dyDescent="0.2">
      <c r="B6">
        <v>3001</v>
      </c>
      <c r="C6">
        <v>1</v>
      </c>
      <c r="D6">
        <v>0</v>
      </c>
      <c r="E6">
        <v>0</v>
      </c>
      <c r="F6">
        <v>0.6</v>
      </c>
      <c r="G6">
        <v>0.6</v>
      </c>
      <c r="H6">
        <v>0</v>
      </c>
      <c r="I6">
        <v>0</v>
      </c>
      <c r="J6">
        <v>0</v>
      </c>
      <c r="K6">
        <v>50</v>
      </c>
      <c r="L6" t="s">
        <v>113</v>
      </c>
      <c r="M6" t="s">
        <v>114</v>
      </c>
    </row>
    <row r="7" spans="2:13" x14ac:dyDescent="0.2">
      <c r="B7">
        <v>3001</v>
      </c>
      <c r="C7">
        <v>1</v>
      </c>
      <c r="D7">
        <v>6</v>
      </c>
      <c r="E7">
        <v>0.1</v>
      </c>
      <c r="F7">
        <v>0.6</v>
      </c>
      <c r="G7">
        <v>0.6</v>
      </c>
      <c r="H7">
        <v>65</v>
      </c>
      <c r="I7">
        <v>0</v>
      </c>
      <c r="J7">
        <v>0</v>
      </c>
      <c r="K7">
        <v>90.5</v>
      </c>
      <c r="L7" t="s">
        <v>115</v>
      </c>
      <c r="M7" t="s">
        <v>116</v>
      </c>
    </row>
    <row r="8" spans="2:13" x14ac:dyDescent="0.2">
      <c r="B8">
        <v>3001</v>
      </c>
      <c r="C8">
        <v>1</v>
      </c>
      <c r="D8">
        <v>8</v>
      </c>
      <c r="E8">
        <v>0.13</v>
      </c>
      <c r="F8">
        <v>0.6</v>
      </c>
      <c r="G8">
        <v>0.6</v>
      </c>
      <c r="H8">
        <v>87</v>
      </c>
      <c r="I8">
        <v>1</v>
      </c>
      <c r="J8">
        <v>1</v>
      </c>
      <c r="K8">
        <v>64.400000000000006</v>
      </c>
      <c r="L8" t="s">
        <v>117</v>
      </c>
      <c r="M8" t="s">
        <v>118</v>
      </c>
    </row>
    <row r="9" spans="2:13" x14ac:dyDescent="0.2">
      <c r="B9">
        <v>3001</v>
      </c>
      <c r="C9">
        <v>1</v>
      </c>
      <c r="D9">
        <v>11.4</v>
      </c>
      <c r="E9">
        <v>0.19</v>
      </c>
      <c r="F9">
        <v>0.6</v>
      </c>
      <c r="G9">
        <v>0.6</v>
      </c>
      <c r="H9">
        <v>123</v>
      </c>
      <c r="I9">
        <v>2</v>
      </c>
      <c r="J9">
        <v>2</v>
      </c>
      <c r="K9">
        <v>63.8</v>
      </c>
      <c r="L9" t="s">
        <v>119</v>
      </c>
      <c r="M9" t="s">
        <v>118</v>
      </c>
    </row>
    <row r="10" spans="2:13" x14ac:dyDescent="0.2">
      <c r="B10">
        <v>3001</v>
      </c>
      <c r="C10">
        <v>1</v>
      </c>
      <c r="D10">
        <v>12.1</v>
      </c>
      <c r="E10">
        <v>0.2</v>
      </c>
      <c r="F10">
        <v>0.6</v>
      </c>
      <c r="G10">
        <v>0.45</v>
      </c>
      <c r="H10">
        <v>130</v>
      </c>
      <c r="I10">
        <v>3</v>
      </c>
      <c r="J10">
        <v>2</v>
      </c>
      <c r="K10">
        <v>63.8</v>
      </c>
      <c r="L10" t="s">
        <v>120</v>
      </c>
      <c r="M10" t="s">
        <v>116</v>
      </c>
    </row>
    <row r="11" spans="2:13" x14ac:dyDescent="0.2">
      <c r="B11">
        <v>3001</v>
      </c>
      <c r="C11">
        <v>1</v>
      </c>
      <c r="D11">
        <v>18.100000000000001</v>
      </c>
      <c r="E11">
        <v>0.3</v>
      </c>
      <c r="F11">
        <v>0.45</v>
      </c>
      <c r="G11">
        <v>0.45</v>
      </c>
      <c r="H11">
        <v>179</v>
      </c>
      <c r="I11">
        <v>4</v>
      </c>
      <c r="J11">
        <v>2</v>
      </c>
      <c r="K11">
        <v>63.2</v>
      </c>
      <c r="L11" t="s">
        <v>115</v>
      </c>
      <c r="M11" t="s">
        <v>116</v>
      </c>
    </row>
    <row r="12" spans="2:13" x14ac:dyDescent="0.2">
      <c r="B12">
        <v>3001</v>
      </c>
      <c r="C12">
        <v>2</v>
      </c>
      <c r="D12">
        <v>0</v>
      </c>
      <c r="E12">
        <v>0</v>
      </c>
      <c r="F12">
        <v>0.6</v>
      </c>
      <c r="G12">
        <v>0.6</v>
      </c>
      <c r="H12">
        <v>0</v>
      </c>
      <c r="I12">
        <v>0</v>
      </c>
      <c r="J12">
        <v>0</v>
      </c>
      <c r="K12">
        <v>50</v>
      </c>
      <c r="L12" t="s">
        <v>113</v>
      </c>
      <c r="M12" t="s">
        <v>114</v>
      </c>
    </row>
    <row r="13" spans="2:13" x14ac:dyDescent="0.2">
      <c r="B13">
        <v>3001</v>
      </c>
      <c r="C13">
        <v>2</v>
      </c>
      <c r="D13">
        <v>6</v>
      </c>
      <c r="E13">
        <v>0.1</v>
      </c>
      <c r="F13">
        <v>0.6</v>
      </c>
      <c r="G13">
        <v>0.6</v>
      </c>
      <c r="H13">
        <v>65</v>
      </c>
      <c r="I13">
        <v>0</v>
      </c>
      <c r="J13">
        <v>0</v>
      </c>
      <c r="K13">
        <v>40.5</v>
      </c>
      <c r="L13" t="s">
        <v>115</v>
      </c>
      <c r="M13" t="s">
        <v>116</v>
      </c>
    </row>
    <row r="14" spans="2:13" x14ac:dyDescent="0.2">
      <c r="B14">
        <v>3001</v>
      </c>
      <c r="C14">
        <v>2</v>
      </c>
      <c r="D14">
        <v>9.4</v>
      </c>
      <c r="E14">
        <v>0.16</v>
      </c>
      <c r="F14">
        <v>0.6</v>
      </c>
      <c r="G14">
        <v>0.6</v>
      </c>
      <c r="H14">
        <v>102</v>
      </c>
      <c r="I14">
        <v>1</v>
      </c>
      <c r="J14">
        <v>1</v>
      </c>
      <c r="K14">
        <v>64.900000000000006</v>
      </c>
      <c r="L14" t="s">
        <v>117</v>
      </c>
      <c r="M14" t="s">
        <v>118</v>
      </c>
    </row>
    <row r="15" spans="2:13" x14ac:dyDescent="0.2">
      <c r="B15">
        <v>3001</v>
      </c>
      <c r="C15">
        <v>2</v>
      </c>
      <c r="D15">
        <v>12.1</v>
      </c>
      <c r="E15">
        <v>0.2</v>
      </c>
      <c r="F15">
        <v>0.6</v>
      </c>
      <c r="G15">
        <v>0.6</v>
      </c>
      <c r="H15">
        <v>130</v>
      </c>
      <c r="I15">
        <v>1</v>
      </c>
      <c r="J15">
        <v>1</v>
      </c>
      <c r="K15">
        <v>64.599999999999994</v>
      </c>
      <c r="L15" t="s">
        <v>121</v>
      </c>
      <c r="M15" t="s">
        <v>116</v>
      </c>
    </row>
    <row r="16" spans="2:13" x14ac:dyDescent="0.2">
      <c r="B16">
        <v>3001</v>
      </c>
      <c r="C16">
        <v>2</v>
      </c>
      <c r="D16">
        <v>18.100000000000001</v>
      </c>
      <c r="E16">
        <v>0.3</v>
      </c>
      <c r="F16">
        <v>0.6</v>
      </c>
      <c r="G16">
        <v>0.6</v>
      </c>
      <c r="H16">
        <v>195</v>
      </c>
      <c r="I16">
        <v>4</v>
      </c>
      <c r="J16">
        <v>1</v>
      </c>
      <c r="K16">
        <v>65.3</v>
      </c>
      <c r="L16" t="s">
        <v>115</v>
      </c>
      <c r="M16" t="s">
        <v>116</v>
      </c>
    </row>
    <row r="17" spans="2:13" x14ac:dyDescent="0.2">
      <c r="B17">
        <v>3001</v>
      </c>
      <c r="C17">
        <v>3</v>
      </c>
      <c r="D17">
        <v>0</v>
      </c>
      <c r="E17">
        <v>0</v>
      </c>
      <c r="F17">
        <v>0.6</v>
      </c>
      <c r="G17">
        <v>0.6</v>
      </c>
      <c r="H17">
        <v>0</v>
      </c>
      <c r="I17">
        <v>0</v>
      </c>
      <c r="J17">
        <v>0</v>
      </c>
      <c r="K17">
        <v>50</v>
      </c>
      <c r="L17" t="s">
        <v>113</v>
      </c>
      <c r="M17" t="s">
        <v>114</v>
      </c>
    </row>
    <row r="18" spans="2:13" x14ac:dyDescent="0.2">
      <c r="B18">
        <v>3001</v>
      </c>
      <c r="C18">
        <v>3</v>
      </c>
      <c r="D18">
        <v>6</v>
      </c>
      <c r="E18">
        <v>0.1</v>
      </c>
      <c r="F18">
        <v>0.6</v>
      </c>
      <c r="G18">
        <v>0.6</v>
      </c>
      <c r="H18">
        <v>65</v>
      </c>
      <c r="I18">
        <v>0</v>
      </c>
      <c r="J18">
        <v>0</v>
      </c>
      <c r="K18">
        <v>40.5</v>
      </c>
      <c r="L18" t="s">
        <v>115</v>
      </c>
      <c r="M18" t="s">
        <v>116</v>
      </c>
    </row>
    <row r="19" spans="2:13" x14ac:dyDescent="0.2">
      <c r="B19">
        <v>3001</v>
      </c>
      <c r="C19">
        <v>3</v>
      </c>
      <c r="D19">
        <v>9.6</v>
      </c>
      <c r="E19">
        <v>0.16</v>
      </c>
      <c r="F19">
        <v>0.6</v>
      </c>
      <c r="G19">
        <v>0.6</v>
      </c>
      <c r="H19">
        <v>103</v>
      </c>
      <c r="I19">
        <v>1</v>
      </c>
      <c r="J19">
        <v>1</v>
      </c>
      <c r="K19">
        <v>73.599999999999994</v>
      </c>
      <c r="L19" t="s">
        <v>122</v>
      </c>
      <c r="M19" t="s">
        <v>118</v>
      </c>
    </row>
    <row r="20" spans="2:13" x14ac:dyDescent="0.2">
      <c r="B20">
        <v>3001</v>
      </c>
      <c r="C20">
        <v>3</v>
      </c>
      <c r="D20">
        <v>11.1</v>
      </c>
      <c r="E20">
        <v>0.18</v>
      </c>
      <c r="F20">
        <v>0.6</v>
      </c>
      <c r="G20">
        <v>0.6</v>
      </c>
      <c r="H20">
        <v>119</v>
      </c>
      <c r="I20">
        <v>2</v>
      </c>
      <c r="J20">
        <v>2</v>
      </c>
      <c r="K20">
        <v>66</v>
      </c>
      <c r="L20" t="s">
        <v>123</v>
      </c>
      <c r="M20" t="s">
        <v>118</v>
      </c>
    </row>
    <row r="21" spans="2:13" x14ac:dyDescent="0.2">
      <c r="B21">
        <v>3001</v>
      </c>
      <c r="C21">
        <v>3</v>
      </c>
      <c r="D21">
        <v>12.1</v>
      </c>
      <c r="E21">
        <v>0.2</v>
      </c>
      <c r="F21">
        <v>0.6</v>
      </c>
      <c r="G21">
        <v>0.6</v>
      </c>
      <c r="H21">
        <v>130</v>
      </c>
      <c r="I21">
        <v>3</v>
      </c>
      <c r="J21">
        <v>2</v>
      </c>
      <c r="K21">
        <v>65.7</v>
      </c>
      <c r="L21" t="s">
        <v>121</v>
      </c>
      <c r="M21" t="s">
        <v>116</v>
      </c>
    </row>
    <row r="22" spans="2:13" x14ac:dyDescent="0.2">
      <c r="B22">
        <v>3001</v>
      </c>
      <c r="C22">
        <v>3</v>
      </c>
      <c r="D22">
        <v>18.100000000000001</v>
      </c>
      <c r="E22">
        <v>0.3</v>
      </c>
      <c r="F22">
        <v>0.6</v>
      </c>
      <c r="G22">
        <v>0.6</v>
      </c>
      <c r="H22">
        <v>195</v>
      </c>
      <c r="I22">
        <v>6</v>
      </c>
      <c r="J22">
        <v>2</v>
      </c>
      <c r="K22">
        <v>65.900000000000006</v>
      </c>
      <c r="L22" t="s">
        <v>115</v>
      </c>
      <c r="M22" t="s">
        <v>116</v>
      </c>
    </row>
    <row r="23" spans="2:13" x14ac:dyDescent="0.2">
      <c r="B23">
        <v>3001</v>
      </c>
      <c r="C23">
        <v>4</v>
      </c>
      <c r="D23">
        <v>0</v>
      </c>
      <c r="E23">
        <v>0</v>
      </c>
      <c r="F23">
        <v>0.6</v>
      </c>
      <c r="G23">
        <v>0.6</v>
      </c>
      <c r="H23">
        <v>0</v>
      </c>
      <c r="I23">
        <v>0</v>
      </c>
      <c r="J23">
        <v>0</v>
      </c>
      <c r="K23">
        <v>50</v>
      </c>
      <c r="L23" t="s">
        <v>113</v>
      </c>
      <c r="M23" t="s">
        <v>114</v>
      </c>
    </row>
    <row r="24" spans="2:13" x14ac:dyDescent="0.2">
      <c r="B24">
        <v>3001</v>
      </c>
      <c r="C24">
        <v>4</v>
      </c>
      <c r="D24">
        <v>6</v>
      </c>
      <c r="E24">
        <v>0.1</v>
      </c>
      <c r="F24">
        <v>0.6</v>
      </c>
      <c r="G24">
        <v>0.6</v>
      </c>
      <c r="H24">
        <v>65</v>
      </c>
      <c r="I24">
        <v>0</v>
      </c>
      <c r="J24">
        <v>0</v>
      </c>
      <c r="K24">
        <v>40.1</v>
      </c>
      <c r="L24" t="s">
        <v>115</v>
      </c>
      <c r="M24" t="s">
        <v>116</v>
      </c>
    </row>
    <row r="25" spans="2:13" x14ac:dyDescent="0.2">
      <c r="B25">
        <v>3001</v>
      </c>
      <c r="C25">
        <v>4</v>
      </c>
      <c r="D25">
        <v>8.9</v>
      </c>
      <c r="E25">
        <v>0.15</v>
      </c>
      <c r="F25">
        <v>0.6</v>
      </c>
      <c r="G25">
        <v>0.6</v>
      </c>
      <c r="H25">
        <v>96</v>
      </c>
      <c r="I25">
        <v>2</v>
      </c>
      <c r="J25">
        <v>1</v>
      </c>
      <c r="K25">
        <v>66</v>
      </c>
      <c r="L25" t="s">
        <v>122</v>
      </c>
      <c r="M25" t="s">
        <v>118</v>
      </c>
    </row>
    <row r="26" spans="2:13" x14ac:dyDescent="0.2">
      <c r="B26">
        <v>3001</v>
      </c>
      <c r="C26">
        <v>4</v>
      </c>
      <c r="D26">
        <v>12.1</v>
      </c>
      <c r="E26">
        <v>0.2</v>
      </c>
      <c r="F26">
        <v>0.6</v>
      </c>
      <c r="G26">
        <v>0.6</v>
      </c>
      <c r="H26">
        <v>130</v>
      </c>
      <c r="I26">
        <v>2</v>
      </c>
      <c r="J26">
        <v>1</v>
      </c>
      <c r="K26">
        <v>75.400000000000006</v>
      </c>
      <c r="L26" t="s">
        <v>124</v>
      </c>
      <c r="M26" t="s">
        <v>116</v>
      </c>
    </row>
    <row r="27" spans="2:13" x14ac:dyDescent="0.2">
      <c r="B27">
        <v>3001</v>
      </c>
      <c r="C27">
        <v>4</v>
      </c>
      <c r="D27">
        <v>13.1</v>
      </c>
      <c r="E27">
        <v>0.22</v>
      </c>
      <c r="F27">
        <v>0.6</v>
      </c>
      <c r="G27">
        <v>0.6</v>
      </c>
      <c r="H27">
        <v>141</v>
      </c>
      <c r="I27">
        <v>4</v>
      </c>
      <c r="J27">
        <v>2</v>
      </c>
      <c r="K27">
        <v>67.3</v>
      </c>
      <c r="L27" t="s">
        <v>123</v>
      </c>
      <c r="M27" t="s">
        <v>118</v>
      </c>
    </row>
    <row r="28" spans="2:13" x14ac:dyDescent="0.2">
      <c r="B28">
        <v>3001</v>
      </c>
      <c r="C28">
        <v>4</v>
      </c>
      <c r="D28">
        <v>13.2</v>
      </c>
      <c r="E28">
        <v>0.22</v>
      </c>
      <c r="F28">
        <v>0.6</v>
      </c>
      <c r="G28">
        <v>0.6</v>
      </c>
      <c r="H28">
        <v>143</v>
      </c>
      <c r="I28">
        <v>4</v>
      </c>
      <c r="J28">
        <v>3</v>
      </c>
      <c r="K28">
        <v>62.2</v>
      </c>
      <c r="L28" t="s">
        <v>125</v>
      </c>
      <c r="M28" t="s">
        <v>118</v>
      </c>
    </row>
    <row r="29" spans="2:13" x14ac:dyDescent="0.2">
      <c r="B29">
        <v>3001</v>
      </c>
      <c r="C29">
        <v>4</v>
      </c>
      <c r="D29">
        <v>18.100000000000001</v>
      </c>
      <c r="E29">
        <v>0.3</v>
      </c>
      <c r="F29">
        <v>0.6</v>
      </c>
      <c r="G29">
        <v>0.45</v>
      </c>
      <c r="H29">
        <v>195</v>
      </c>
      <c r="I29">
        <v>5</v>
      </c>
      <c r="J29">
        <v>3</v>
      </c>
      <c r="K29">
        <v>61.7</v>
      </c>
      <c r="L29" t="s">
        <v>126</v>
      </c>
      <c r="M29" t="s">
        <v>116</v>
      </c>
    </row>
    <row r="30" spans="2:13" x14ac:dyDescent="0.2">
      <c r="B30">
        <v>3001</v>
      </c>
      <c r="C30">
        <v>5</v>
      </c>
      <c r="D30">
        <v>0</v>
      </c>
      <c r="E30">
        <v>0</v>
      </c>
      <c r="F30">
        <v>0.6</v>
      </c>
      <c r="G30">
        <v>0.6</v>
      </c>
      <c r="H30">
        <v>0</v>
      </c>
      <c r="I30">
        <v>0</v>
      </c>
      <c r="J30">
        <v>0</v>
      </c>
      <c r="K30">
        <v>50</v>
      </c>
      <c r="L30" t="s">
        <v>113</v>
      </c>
      <c r="M30" t="s">
        <v>114</v>
      </c>
    </row>
    <row r="31" spans="2:13" x14ac:dyDescent="0.2">
      <c r="B31">
        <v>3001</v>
      </c>
      <c r="C31">
        <v>5</v>
      </c>
      <c r="D31">
        <v>6</v>
      </c>
      <c r="E31">
        <v>0.1</v>
      </c>
      <c r="F31">
        <v>0.6</v>
      </c>
      <c r="G31">
        <v>0.6</v>
      </c>
      <c r="H31">
        <v>65</v>
      </c>
      <c r="I31">
        <v>2</v>
      </c>
      <c r="J31">
        <v>0</v>
      </c>
      <c r="K31">
        <v>40.9</v>
      </c>
      <c r="L31" t="s">
        <v>115</v>
      </c>
      <c r="M31" t="s">
        <v>116</v>
      </c>
    </row>
    <row r="32" spans="2:13" x14ac:dyDescent="0.2">
      <c r="B32">
        <v>3001</v>
      </c>
      <c r="C32">
        <v>5</v>
      </c>
      <c r="D32">
        <v>7.1</v>
      </c>
      <c r="E32">
        <v>0.12</v>
      </c>
      <c r="F32">
        <v>0.6</v>
      </c>
      <c r="G32">
        <v>0.6</v>
      </c>
      <c r="H32">
        <v>77</v>
      </c>
      <c r="I32">
        <v>4</v>
      </c>
      <c r="J32">
        <v>1</v>
      </c>
      <c r="K32">
        <v>41.3</v>
      </c>
      <c r="L32" t="s">
        <v>117</v>
      </c>
      <c r="M32" t="s">
        <v>118</v>
      </c>
    </row>
    <row r="33" spans="2:13" x14ac:dyDescent="0.2">
      <c r="B33">
        <v>3001</v>
      </c>
      <c r="C33">
        <v>5</v>
      </c>
      <c r="D33">
        <v>10.7</v>
      </c>
      <c r="E33">
        <v>0.18</v>
      </c>
      <c r="F33">
        <v>0.6</v>
      </c>
      <c r="G33">
        <v>0.6</v>
      </c>
      <c r="H33">
        <v>116</v>
      </c>
      <c r="I33">
        <v>6</v>
      </c>
      <c r="J33">
        <v>2</v>
      </c>
      <c r="K33">
        <v>41.4</v>
      </c>
      <c r="L33" t="s">
        <v>127</v>
      </c>
      <c r="M33" t="s">
        <v>118</v>
      </c>
    </row>
    <row r="34" spans="2:13" x14ac:dyDescent="0.2">
      <c r="B34">
        <v>3001</v>
      </c>
      <c r="C34">
        <v>5</v>
      </c>
      <c r="D34">
        <v>12.1</v>
      </c>
      <c r="E34">
        <v>0.2</v>
      </c>
      <c r="F34">
        <v>0.6</v>
      </c>
      <c r="G34">
        <v>0.45</v>
      </c>
      <c r="H34">
        <v>130</v>
      </c>
      <c r="I34">
        <v>7</v>
      </c>
      <c r="J34">
        <v>2</v>
      </c>
      <c r="K34">
        <v>40.700000000000003</v>
      </c>
      <c r="L34" t="s">
        <v>126</v>
      </c>
      <c r="M34" t="s">
        <v>116</v>
      </c>
    </row>
    <row r="35" spans="2:13" x14ac:dyDescent="0.2">
      <c r="B35">
        <v>3001</v>
      </c>
      <c r="C35">
        <v>5</v>
      </c>
      <c r="D35">
        <v>18.100000000000001</v>
      </c>
      <c r="E35">
        <v>0.3</v>
      </c>
      <c r="F35">
        <v>0.45</v>
      </c>
      <c r="G35">
        <v>0.45</v>
      </c>
      <c r="H35">
        <v>179</v>
      </c>
      <c r="I35">
        <v>10</v>
      </c>
      <c r="J35">
        <v>2</v>
      </c>
      <c r="K35">
        <v>57.2</v>
      </c>
      <c r="L35" t="s">
        <v>115</v>
      </c>
      <c r="M35" t="s">
        <v>116</v>
      </c>
    </row>
    <row r="36" spans="2:13" x14ac:dyDescent="0.2">
      <c r="B36">
        <v>3002</v>
      </c>
      <c r="C36">
        <v>1</v>
      </c>
      <c r="D36">
        <v>0</v>
      </c>
      <c r="E36">
        <v>0</v>
      </c>
      <c r="F36">
        <v>0.6</v>
      </c>
      <c r="G36">
        <v>0.6</v>
      </c>
      <c r="H36">
        <v>0</v>
      </c>
      <c r="I36">
        <v>0</v>
      </c>
      <c r="J36">
        <v>0</v>
      </c>
      <c r="K36">
        <v>50</v>
      </c>
      <c r="L36" t="s">
        <v>113</v>
      </c>
      <c r="M36" t="s">
        <v>114</v>
      </c>
    </row>
    <row r="37" spans="2:13" x14ac:dyDescent="0.2">
      <c r="B37">
        <v>3002</v>
      </c>
      <c r="C37">
        <v>1</v>
      </c>
      <c r="D37">
        <v>6</v>
      </c>
      <c r="E37">
        <v>0.1</v>
      </c>
      <c r="F37">
        <v>0.6</v>
      </c>
      <c r="G37">
        <v>0.6</v>
      </c>
      <c r="H37">
        <v>65</v>
      </c>
      <c r="I37">
        <v>0</v>
      </c>
      <c r="J37">
        <v>1</v>
      </c>
      <c r="K37">
        <v>69.2</v>
      </c>
      <c r="L37" t="s">
        <v>117</v>
      </c>
      <c r="M37" t="s">
        <v>118</v>
      </c>
    </row>
    <row r="38" spans="2:13" x14ac:dyDescent="0.2">
      <c r="B38">
        <v>3002</v>
      </c>
      <c r="C38">
        <v>1</v>
      </c>
      <c r="D38">
        <v>6</v>
      </c>
      <c r="E38">
        <v>0.1</v>
      </c>
      <c r="F38">
        <v>0.6</v>
      </c>
      <c r="G38">
        <v>0.6</v>
      </c>
      <c r="H38">
        <v>65</v>
      </c>
      <c r="I38">
        <v>0</v>
      </c>
      <c r="J38">
        <v>1</v>
      </c>
      <c r="K38">
        <v>69.2</v>
      </c>
      <c r="L38" t="s">
        <v>121</v>
      </c>
      <c r="M38" t="s">
        <v>116</v>
      </c>
    </row>
    <row r="39" spans="2:13" x14ac:dyDescent="0.2">
      <c r="B39">
        <v>3002</v>
      </c>
      <c r="C39">
        <v>1</v>
      </c>
      <c r="D39">
        <v>11.8</v>
      </c>
      <c r="E39">
        <v>0.2</v>
      </c>
      <c r="F39">
        <v>0.6</v>
      </c>
      <c r="G39">
        <v>0.6</v>
      </c>
      <c r="H39">
        <v>127</v>
      </c>
      <c r="I39">
        <v>5</v>
      </c>
      <c r="J39">
        <v>2</v>
      </c>
      <c r="K39">
        <v>73.2</v>
      </c>
      <c r="L39" t="s">
        <v>119</v>
      </c>
      <c r="M39" t="s">
        <v>118</v>
      </c>
    </row>
    <row r="40" spans="2:13" x14ac:dyDescent="0.2">
      <c r="B40">
        <v>3002</v>
      </c>
      <c r="C40">
        <v>1</v>
      </c>
      <c r="D40">
        <v>12.1</v>
      </c>
      <c r="E40">
        <v>0.2</v>
      </c>
      <c r="F40">
        <v>0.6</v>
      </c>
      <c r="G40">
        <v>0.6</v>
      </c>
      <c r="H40">
        <v>130</v>
      </c>
      <c r="I40">
        <v>6</v>
      </c>
      <c r="J40">
        <v>2</v>
      </c>
      <c r="K40">
        <v>73.400000000000006</v>
      </c>
      <c r="L40" t="s">
        <v>124</v>
      </c>
      <c r="M40" t="s">
        <v>116</v>
      </c>
    </row>
    <row r="41" spans="2:13" x14ac:dyDescent="0.2">
      <c r="B41">
        <v>3002</v>
      </c>
      <c r="C41">
        <v>1</v>
      </c>
      <c r="D41">
        <v>18.100000000000001</v>
      </c>
      <c r="E41">
        <v>0.3</v>
      </c>
      <c r="F41">
        <v>0.6</v>
      </c>
      <c r="G41">
        <v>0.6</v>
      </c>
      <c r="H41">
        <v>195</v>
      </c>
      <c r="I41">
        <v>11</v>
      </c>
      <c r="J41">
        <v>2</v>
      </c>
      <c r="K41">
        <v>73.099999999999994</v>
      </c>
      <c r="L41" t="s">
        <v>115</v>
      </c>
      <c r="M41" t="s">
        <v>116</v>
      </c>
    </row>
    <row r="42" spans="2:13" x14ac:dyDescent="0.2">
      <c r="B42">
        <v>3002</v>
      </c>
      <c r="C42">
        <v>2</v>
      </c>
      <c r="D42">
        <v>0</v>
      </c>
      <c r="E42">
        <v>0</v>
      </c>
      <c r="F42">
        <v>0.6</v>
      </c>
      <c r="G42">
        <v>0.6</v>
      </c>
      <c r="H42">
        <v>0</v>
      </c>
      <c r="I42">
        <v>0</v>
      </c>
      <c r="J42">
        <v>0</v>
      </c>
      <c r="K42">
        <v>50</v>
      </c>
      <c r="L42" t="s">
        <v>113</v>
      </c>
      <c r="M42" t="s">
        <v>114</v>
      </c>
    </row>
    <row r="43" spans="2:13" x14ac:dyDescent="0.2">
      <c r="B43">
        <v>3002</v>
      </c>
      <c r="C43">
        <v>2</v>
      </c>
      <c r="D43">
        <v>6</v>
      </c>
      <c r="E43">
        <v>0.1</v>
      </c>
      <c r="F43">
        <v>0.6</v>
      </c>
      <c r="G43">
        <v>0.6</v>
      </c>
      <c r="H43">
        <v>65</v>
      </c>
      <c r="I43">
        <v>0</v>
      </c>
      <c r="J43">
        <v>0</v>
      </c>
      <c r="K43">
        <v>93.8</v>
      </c>
      <c r="L43" t="s">
        <v>115</v>
      </c>
      <c r="M43" t="s">
        <v>116</v>
      </c>
    </row>
    <row r="44" spans="2:13" x14ac:dyDescent="0.2">
      <c r="B44">
        <v>3002</v>
      </c>
      <c r="C44">
        <v>2</v>
      </c>
      <c r="D44">
        <v>12.1</v>
      </c>
      <c r="E44">
        <v>0.2</v>
      </c>
      <c r="F44">
        <v>0.6</v>
      </c>
      <c r="G44">
        <v>0.7</v>
      </c>
      <c r="H44">
        <v>130</v>
      </c>
      <c r="I44">
        <v>4</v>
      </c>
      <c r="J44">
        <v>0</v>
      </c>
      <c r="K44">
        <v>94.4</v>
      </c>
      <c r="L44" t="s">
        <v>128</v>
      </c>
      <c r="M44" t="s">
        <v>116</v>
      </c>
    </row>
    <row r="45" spans="2:13" x14ac:dyDescent="0.2">
      <c r="B45">
        <v>3002</v>
      </c>
      <c r="C45">
        <v>3</v>
      </c>
      <c r="D45">
        <v>0</v>
      </c>
      <c r="E45">
        <v>0</v>
      </c>
      <c r="F45">
        <v>0.6</v>
      </c>
      <c r="G45">
        <v>0.6</v>
      </c>
      <c r="H45">
        <v>0</v>
      </c>
      <c r="I45">
        <v>0</v>
      </c>
      <c r="J45">
        <v>0</v>
      </c>
      <c r="K45">
        <v>50</v>
      </c>
      <c r="L45" t="s">
        <v>113</v>
      </c>
      <c r="M45" t="s">
        <v>114</v>
      </c>
    </row>
    <row r="46" spans="2:13" x14ac:dyDescent="0.2">
      <c r="B46">
        <v>3002</v>
      </c>
      <c r="C46">
        <v>3</v>
      </c>
      <c r="D46">
        <v>6</v>
      </c>
      <c r="E46">
        <v>0.1</v>
      </c>
      <c r="F46">
        <v>0.6</v>
      </c>
      <c r="G46">
        <v>0.6</v>
      </c>
      <c r="H46">
        <v>65</v>
      </c>
      <c r="I46">
        <v>0</v>
      </c>
      <c r="J46">
        <v>0</v>
      </c>
      <c r="K46">
        <v>43.8</v>
      </c>
      <c r="L46" t="s">
        <v>115</v>
      </c>
      <c r="M46" t="s">
        <v>116</v>
      </c>
    </row>
    <row r="47" spans="2:13" x14ac:dyDescent="0.2">
      <c r="B47">
        <v>3002</v>
      </c>
      <c r="C47">
        <v>3</v>
      </c>
      <c r="D47">
        <v>12.1</v>
      </c>
      <c r="E47">
        <v>0.2</v>
      </c>
      <c r="F47">
        <v>0.6</v>
      </c>
      <c r="G47">
        <v>0.7</v>
      </c>
      <c r="H47">
        <v>130</v>
      </c>
      <c r="I47">
        <v>2</v>
      </c>
      <c r="J47">
        <v>0</v>
      </c>
      <c r="K47">
        <v>94</v>
      </c>
      <c r="L47" t="s">
        <v>128</v>
      </c>
      <c r="M47" t="s">
        <v>116</v>
      </c>
    </row>
    <row r="48" spans="2:13" x14ac:dyDescent="0.2">
      <c r="B48">
        <v>3002</v>
      </c>
      <c r="C48">
        <v>3</v>
      </c>
      <c r="D48">
        <v>13.2</v>
      </c>
      <c r="E48">
        <v>0.22</v>
      </c>
      <c r="F48">
        <v>0.7</v>
      </c>
      <c r="G48">
        <v>0.7</v>
      </c>
      <c r="H48">
        <v>145</v>
      </c>
      <c r="I48">
        <v>2</v>
      </c>
      <c r="J48">
        <v>1</v>
      </c>
      <c r="K48">
        <v>84.1</v>
      </c>
      <c r="L48" t="s">
        <v>129</v>
      </c>
      <c r="M48" t="s">
        <v>118</v>
      </c>
    </row>
    <row r="49" spans="2:13" x14ac:dyDescent="0.2">
      <c r="B49">
        <v>3002</v>
      </c>
      <c r="C49">
        <v>3</v>
      </c>
      <c r="D49">
        <v>13.8</v>
      </c>
      <c r="E49">
        <v>0.23</v>
      </c>
      <c r="F49">
        <v>0.7</v>
      </c>
      <c r="G49">
        <v>0.7</v>
      </c>
      <c r="H49">
        <v>152</v>
      </c>
      <c r="I49">
        <v>3</v>
      </c>
      <c r="J49">
        <v>2</v>
      </c>
      <c r="K49">
        <v>77.7</v>
      </c>
      <c r="L49" t="s">
        <v>119</v>
      </c>
      <c r="M49" t="s">
        <v>118</v>
      </c>
    </row>
    <row r="50" spans="2:13" x14ac:dyDescent="0.2">
      <c r="B50">
        <v>3002</v>
      </c>
      <c r="C50">
        <v>4</v>
      </c>
      <c r="D50">
        <v>0</v>
      </c>
      <c r="E50">
        <v>0</v>
      </c>
      <c r="F50">
        <v>0.6</v>
      </c>
      <c r="G50">
        <v>0.6</v>
      </c>
      <c r="H50">
        <v>0</v>
      </c>
      <c r="I50">
        <v>0</v>
      </c>
      <c r="J50">
        <v>0</v>
      </c>
      <c r="K50">
        <v>50</v>
      </c>
      <c r="L50" t="s">
        <v>113</v>
      </c>
      <c r="M50" t="s">
        <v>114</v>
      </c>
    </row>
    <row r="51" spans="2:13" x14ac:dyDescent="0.2">
      <c r="B51">
        <v>3002</v>
      </c>
      <c r="C51">
        <v>4</v>
      </c>
      <c r="D51">
        <v>6</v>
      </c>
      <c r="E51">
        <v>0.1</v>
      </c>
      <c r="F51">
        <v>0.6</v>
      </c>
      <c r="G51">
        <v>0.6</v>
      </c>
      <c r="H51">
        <v>65</v>
      </c>
      <c r="I51">
        <v>0</v>
      </c>
      <c r="J51">
        <v>0</v>
      </c>
      <c r="K51">
        <v>44.2</v>
      </c>
      <c r="L51" t="s">
        <v>115</v>
      </c>
      <c r="M51" t="s">
        <v>116</v>
      </c>
    </row>
    <row r="52" spans="2:13" x14ac:dyDescent="0.2">
      <c r="B52">
        <v>3002</v>
      </c>
      <c r="C52">
        <v>4</v>
      </c>
      <c r="D52">
        <v>7</v>
      </c>
      <c r="E52">
        <v>0.12</v>
      </c>
      <c r="F52">
        <v>0.6</v>
      </c>
      <c r="G52">
        <v>0.6</v>
      </c>
      <c r="H52">
        <v>76</v>
      </c>
      <c r="I52">
        <v>0</v>
      </c>
      <c r="J52">
        <v>1</v>
      </c>
      <c r="K52">
        <v>43.3</v>
      </c>
      <c r="L52" t="s">
        <v>117</v>
      </c>
      <c r="M52" t="s">
        <v>118</v>
      </c>
    </row>
    <row r="53" spans="2:13" x14ac:dyDescent="0.2">
      <c r="B53">
        <v>3002</v>
      </c>
      <c r="C53">
        <v>4</v>
      </c>
      <c r="D53">
        <v>11.8</v>
      </c>
      <c r="E53">
        <v>0.2</v>
      </c>
      <c r="F53">
        <v>0.6</v>
      </c>
      <c r="G53">
        <v>0.6</v>
      </c>
      <c r="H53">
        <v>127</v>
      </c>
      <c r="I53">
        <v>3</v>
      </c>
      <c r="J53">
        <v>2</v>
      </c>
      <c r="K53">
        <v>44</v>
      </c>
      <c r="L53" t="s">
        <v>119</v>
      </c>
      <c r="M53" t="s">
        <v>118</v>
      </c>
    </row>
    <row r="54" spans="2:13" x14ac:dyDescent="0.2">
      <c r="B54">
        <v>3002</v>
      </c>
      <c r="C54">
        <v>4</v>
      </c>
      <c r="D54">
        <v>12.1</v>
      </c>
      <c r="E54">
        <v>0.2</v>
      </c>
      <c r="F54">
        <v>0.6</v>
      </c>
      <c r="G54">
        <v>0.45</v>
      </c>
      <c r="H54">
        <v>130</v>
      </c>
      <c r="I54">
        <v>4</v>
      </c>
      <c r="J54">
        <v>2</v>
      </c>
      <c r="K54">
        <v>44</v>
      </c>
      <c r="L54" t="s">
        <v>126</v>
      </c>
      <c r="M54" t="s">
        <v>116</v>
      </c>
    </row>
    <row r="55" spans="2:13" x14ac:dyDescent="0.2">
      <c r="B55">
        <v>3002</v>
      </c>
      <c r="C55">
        <v>4</v>
      </c>
      <c r="D55">
        <v>18.100000000000001</v>
      </c>
      <c r="E55">
        <v>0.3</v>
      </c>
      <c r="F55">
        <v>0.45</v>
      </c>
      <c r="G55">
        <v>0.55000000000000004</v>
      </c>
      <c r="H55">
        <v>179</v>
      </c>
      <c r="I55">
        <v>8</v>
      </c>
      <c r="J55">
        <v>2</v>
      </c>
      <c r="K55">
        <v>80.2</v>
      </c>
      <c r="L55" t="s">
        <v>128</v>
      </c>
      <c r="M55" t="s">
        <v>116</v>
      </c>
    </row>
    <row r="56" spans="2:13" x14ac:dyDescent="0.2">
      <c r="B56">
        <v>3002</v>
      </c>
      <c r="C56">
        <v>5</v>
      </c>
      <c r="D56">
        <v>0</v>
      </c>
      <c r="E56">
        <v>0</v>
      </c>
      <c r="F56">
        <v>0.6</v>
      </c>
      <c r="G56">
        <v>0.6</v>
      </c>
      <c r="H56">
        <v>0</v>
      </c>
      <c r="I56">
        <v>0</v>
      </c>
      <c r="J56">
        <v>0</v>
      </c>
      <c r="K56">
        <v>50</v>
      </c>
      <c r="L56" t="s">
        <v>113</v>
      </c>
      <c r="M56" t="s">
        <v>114</v>
      </c>
    </row>
    <row r="57" spans="2:13" x14ac:dyDescent="0.2">
      <c r="B57">
        <v>3002</v>
      </c>
      <c r="C57">
        <v>5</v>
      </c>
      <c r="D57">
        <v>6</v>
      </c>
      <c r="E57">
        <v>0.1</v>
      </c>
      <c r="F57">
        <v>0.6</v>
      </c>
      <c r="G57">
        <v>0.6</v>
      </c>
      <c r="H57">
        <v>65</v>
      </c>
      <c r="I57">
        <v>0</v>
      </c>
      <c r="J57">
        <v>0</v>
      </c>
      <c r="K57">
        <v>44.2</v>
      </c>
      <c r="L57" t="s">
        <v>115</v>
      </c>
      <c r="M57" t="s">
        <v>116</v>
      </c>
    </row>
    <row r="58" spans="2:13" x14ac:dyDescent="0.2">
      <c r="B58">
        <v>3002</v>
      </c>
      <c r="C58">
        <v>5</v>
      </c>
      <c r="D58">
        <v>9.1</v>
      </c>
      <c r="E58">
        <v>0.15</v>
      </c>
      <c r="F58">
        <v>0.6</v>
      </c>
      <c r="G58">
        <v>0.6</v>
      </c>
      <c r="H58">
        <v>98</v>
      </c>
      <c r="I58">
        <v>4</v>
      </c>
      <c r="J58">
        <v>1</v>
      </c>
      <c r="K58">
        <v>70.099999999999994</v>
      </c>
      <c r="L58" t="s">
        <v>117</v>
      </c>
      <c r="M58" t="s">
        <v>118</v>
      </c>
    </row>
    <row r="59" spans="2:13" x14ac:dyDescent="0.2">
      <c r="B59">
        <v>3002</v>
      </c>
      <c r="C59">
        <v>5</v>
      </c>
      <c r="D59">
        <v>12.1</v>
      </c>
      <c r="E59">
        <v>0.2</v>
      </c>
      <c r="F59">
        <v>0.6</v>
      </c>
      <c r="G59">
        <v>0.6</v>
      </c>
      <c r="H59">
        <v>130</v>
      </c>
      <c r="I59">
        <v>8</v>
      </c>
      <c r="J59">
        <v>1</v>
      </c>
      <c r="K59">
        <v>78.599999999999994</v>
      </c>
      <c r="L59" t="s">
        <v>124</v>
      </c>
      <c r="M59" t="s">
        <v>116</v>
      </c>
    </row>
    <row r="60" spans="2:13" x14ac:dyDescent="0.2">
      <c r="B60">
        <v>3002</v>
      </c>
      <c r="C60">
        <v>5</v>
      </c>
      <c r="D60">
        <v>12.9</v>
      </c>
      <c r="E60">
        <v>0.22</v>
      </c>
      <c r="F60">
        <v>0.6</v>
      </c>
      <c r="G60">
        <v>0.6</v>
      </c>
      <c r="H60">
        <v>139</v>
      </c>
      <c r="I60">
        <v>9</v>
      </c>
      <c r="J60">
        <v>2</v>
      </c>
      <c r="K60">
        <v>70</v>
      </c>
      <c r="L60" t="s">
        <v>123</v>
      </c>
      <c r="M60" t="s">
        <v>118</v>
      </c>
    </row>
    <row r="61" spans="2:13" x14ac:dyDescent="0.2">
      <c r="B61">
        <v>3002</v>
      </c>
      <c r="C61">
        <v>5</v>
      </c>
      <c r="D61">
        <v>17</v>
      </c>
      <c r="E61">
        <v>0.28000000000000003</v>
      </c>
      <c r="F61">
        <v>0.6</v>
      </c>
      <c r="G61">
        <v>0.6</v>
      </c>
      <c r="H61">
        <v>184</v>
      </c>
      <c r="I61">
        <v>11</v>
      </c>
      <c r="J61">
        <v>3</v>
      </c>
      <c r="K61">
        <v>69.7</v>
      </c>
      <c r="L61" t="s">
        <v>125</v>
      </c>
      <c r="M61" t="s">
        <v>118</v>
      </c>
    </row>
    <row r="62" spans="2:13" x14ac:dyDescent="0.2">
      <c r="B62">
        <v>3002</v>
      </c>
      <c r="C62">
        <v>5</v>
      </c>
      <c r="D62">
        <v>17.100000000000001</v>
      </c>
      <c r="E62">
        <v>0.28999999999999998</v>
      </c>
      <c r="F62">
        <v>0.6</v>
      </c>
      <c r="G62">
        <v>0.6</v>
      </c>
      <c r="H62">
        <v>185</v>
      </c>
      <c r="I62">
        <v>11</v>
      </c>
      <c r="J62">
        <v>4</v>
      </c>
      <c r="K62">
        <v>66.2</v>
      </c>
      <c r="L62" t="s">
        <v>130</v>
      </c>
      <c r="M62" t="s">
        <v>118</v>
      </c>
    </row>
    <row r="63" spans="2:13" x14ac:dyDescent="0.2">
      <c r="B63">
        <v>3002</v>
      </c>
      <c r="C63">
        <v>5</v>
      </c>
      <c r="D63">
        <v>18.100000000000001</v>
      </c>
      <c r="E63">
        <v>0.3</v>
      </c>
      <c r="F63">
        <v>0.6</v>
      </c>
      <c r="G63">
        <v>0.45</v>
      </c>
      <c r="H63">
        <v>195</v>
      </c>
      <c r="I63">
        <v>11</v>
      </c>
      <c r="J63">
        <v>4</v>
      </c>
      <c r="K63">
        <v>66.3</v>
      </c>
      <c r="L63" t="s">
        <v>131</v>
      </c>
      <c r="M63" t="s">
        <v>116</v>
      </c>
    </row>
    <row r="64" spans="2:13" x14ac:dyDescent="0.2">
      <c r="B64">
        <v>3003</v>
      </c>
      <c r="C64">
        <v>1</v>
      </c>
      <c r="D64">
        <v>0</v>
      </c>
      <c r="E64">
        <v>0</v>
      </c>
      <c r="F64">
        <v>0.6</v>
      </c>
      <c r="G64">
        <v>0.6</v>
      </c>
      <c r="H64">
        <v>0</v>
      </c>
      <c r="I64">
        <v>0</v>
      </c>
      <c r="J64">
        <v>0</v>
      </c>
      <c r="K64">
        <v>50</v>
      </c>
      <c r="L64" t="s">
        <v>113</v>
      </c>
      <c r="M64" t="s">
        <v>114</v>
      </c>
    </row>
    <row r="65" spans="2:13" x14ac:dyDescent="0.2">
      <c r="B65">
        <v>3003</v>
      </c>
      <c r="C65">
        <v>1</v>
      </c>
      <c r="D65">
        <v>6</v>
      </c>
      <c r="E65">
        <v>0.1</v>
      </c>
      <c r="F65">
        <v>0.6</v>
      </c>
      <c r="G65">
        <v>0.6</v>
      </c>
      <c r="H65">
        <v>65</v>
      </c>
      <c r="I65">
        <v>2</v>
      </c>
      <c r="J65">
        <v>0</v>
      </c>
      <c r="K65">
        <v>42.1</v>
      </c>
      <c r="L65" t="s">
        <v>115</v>
      </c>
      <c r="M65" t="s">
        <v>116</v>
      </c>
    </row>
    <row r="66" spans="2:13" x14ac:dyDescent="0.2">
      <c r="B66">
        <v>3003</v>
      </c>
      <c r="C66">
        <v>1</v>
      </c>
      <c r="D66">
        <v>10.4</v>
      </c>
      <c r="E66">
        <v>0.17</v>
      </c>
      <c r="F66">
        <v>0.6</v>
      </c>
      <c r="G66">
        <v>0.6</v>
      </c>
      <c r="H66">
        <v>112</v>
      </c>
      <c r="I66">
        <v>10</v>
      </c>
      <c r="J66">
        <v>1</v>
      </c>
      <c r="K66">
        <v>41.8</v>
      </c>
      <c r="L66" t="s">
        <v>122</v>
      </c>
      <c r="M66" t="s">
        <v>118</v>
      </c>
    </row>
    <row r="67" spans="2:13" x14ac:dyDescent="0.2">
      <c r="B67">
        <v>3003</v>
      </c>
      <c r="C67">
        <v>1</v>
      </c>
      <c r="D67">
        <v>12.1</v>
      </c>
      <c r="E67">
        <v>0.2</v>
      </c>
      <c r="F67">
        <v>0.6</v>
      </c>
      <c r="G67">
        <v>0.6</v>
      </c>
      <c r="H67">
        <v>130</v>
      </c>
      <c r="I67">
        <v>11</v>
      </c>
      <c r="J67">
        <v>1</v>
      </c>
      <c r="K67">
        <v>42.3</v>
      </c>
      <c r="L67" t="s">
        <v>132</v>
      </c>
      <c r="M67" t="s">
        <v>116</v>
      </c>
    </row>
    <row r="68" spans="2:13" x14ac:dyDescent="0.2">
      <c r="B68">
        <v>3003</v>
      </c>
      <c r="C68">
        <v>1</v>
      </c>
      <c r="D68">
        <v>18.100000000000001</v>
      </c>
      <c r="E68">
        <v>0.3</v>
      </c>
      <c r="F68">
        <v>0.6</v>
      </c>
      <c r="G68">
        <v>0.7</v>
      </c>
      <c r="H68">
        <v>195</v>
      </c>
      <c r="I68">
        <v>13</v>
      </c>
      <c r="J68">
        <v>1</v>
      </c>
      <c r="K68">
        <v>85.4</v>
      </c>
      <c r="L68" t="s">
        <v>128</v>
      </c>
      <c r="M68" t="s">
        <v>116</v>
      </c>
    </row>
    <row r="69" spans="2:13" x14ac:dyDescent="0.2">
      <c r="B69">
        <v>3003</v>
      </c>
      <c r="C69">
        <v>2</v>
      </c>
      <c r="D69">
        <v>0</v>
      </c>
      <c r="E69">
        <v>0</v>
      </c>
      <c r="F69">
        <v>0.6</v>
      </c>
      <c r="G69">
        <v>0.6</v>
      </c>
      <c r="H69">
        <v>0</v>
      </c>
      <c r="I69">
        <v>0</v>
      </c>
      <c r="J69">
        <v>0</v>
      </c>
      <c r="K69">
        <v>50</v>
      </c>
      <c r="L69" t="s">
        <v>113</v>
      </c>
      <c r="M69" t="s">
        <v>114</v>
      </c>
    </row>
    <row r="70" spans="2:13" x14ac:dyDescent="0.2">
      <c r="B70">
        <v>3003</v>
      </c>
      <c r="C70">
        <v>2</v>
      </c>
      <c r="D70">
        <v>6</v>
      </c>
      <c r="E70">
        <v>0.1</v>
      </c>
      <c r="F70">
        <v>0.6</v>
      </c>
      <c r="G70">
        <v>0.6</v>
      </c>
      <c r="H70">
        <v>65</v>
      </c>
      <c r="I70">
        <v>1</v>
      </c>
      <c r="J70">
        <v>0</v>
      </c>
      <c r="K70">
        <v>43.8</v>
      </c>
      <c r="L70" t="s">
        <v>115</v>
      </c>
      <c r="M70" t="s">
        <v>116</v>
      </c>
    </row>
    <row r="71" spans="2:13" x14ac:dyDescent="0.2">
      <c r="B71">
        <v>3003</v>
      </c>
      <c r="C71">
        <v>2</v>
      </c>
      <c r="D71">
        <v>7.5</v>
      </c>
      <c r="E71">
        <v>0.12</v>
      </c>
      <c r="F71">
        <v>0.6</v>
      </c>
      <c r="G71">
        <v>0.6</v>
      </c>
      <c r="H71">
        <v>81</v>
      </c>
      <c r="I71">
        <v>2</v>
      </c>
      <c r="J71">
        <v>1</v>
      </c>
      <c r="K71">
        <v>68.3</v>
      </c>
      <c r="L71" t="s">
        <v>129</v>
      </c>
      <c r="M71" t="s">
        <v>118</v>
      </c>
    </row>
    <row r="72" spans="2:13" x14ac:dyDescent="0.2">
      <c r="B72">
        <v>3003</v>
      </c>
      <c r="C72">
        <v>2</v>
      </c>
      <c r="D72">
        <v>12.1</v>
      </c>
      <c r="E72">
        <v>0.2</v>
      </c>
      <c r="F72">
        <v>0.6</v>
      </c>
      <c r="G72">
        <v>0.6</v>
      </c>
      <c r="H72">
        <v>130</v>
      </c>
      <c r="I72">
        <v>4</v>
      </c>
      <c r="J72">
        <v>1</v>
      </c>
      <c r="K72">
        <v>69</v>
      </c>
      <c r="L72" t="s">
        <v>121</v>
      </c>
      <c r="M72" t="s">
        <v>116</v>
      </c>
    </row>
    <row r="73" spans="2:13" x14ac:dyDescent="0.2">
      <c r="B73">
        <v>3003</v>
      </c>
      <c r="C73">
        <v>2</v>
      </c>
      <c r="D73">
        <v>12.4</v>
      </c>
      <c r="E73">
        <v>0.21</v>
      </c>
      <c r="F73">
        <v>0.6</v>
      </c>
      <c r="G73">
        <v>0.6</v>
      </c>
      <c r="H73">
        <v>134</v>
      </c>
      <c r="I73">
        <v>4</v>
      </c>
      <c r="J73">
        <v>2</v>
      </c>
      <c r="K73">
        <v>60.4</v>
      </c>
      <c r="L73" t="s">
        <v>119</v>
      </c>
      <c r="M73" t="s">
        <v>118</v>
      </c>
    </row>
    <row r="74" spans="2:13" x14ac:dyDescent="0.2">
      <c r="B74">
        <v>3003</v>
      </c>
      <c r="C74">
        <v>2</v>
      </c>
      <c r="D74">
        <v>18.100000000000001</v>
      </c>
      <c r="E74">
        <v>0.3</v>
      </c>
      <c r="F74">
        <v>0.6</v>
      </c>
      <c r="G74">
        <v>0.6</v>
      </c>
      <c r="H74">
        <v>195</v>
      </c>
      <c r="I74">
        <v>9</v>
      </c>
      <c r="J74">
        <v>2</v>
      </c>
      <c r="K74">
        <v>68.400000000000006</v>
      </c>
      <c r="L74" t="s">
        <v>121</v>
      </c>
      <c r="M74" t="s">
        <v>116</v>
      </c>
    </row>
    <row r="75" spans="2:13" x14ac:dyDescent="0.2">
      <c r="B75">
        <v>3003</v>
      </c>
      <c r="C75">
        <v>3</v>
      </c>
      <c r="D75">
        <v>0</v>
      </c>
      <c r="E75">
        <v>0</v>
      </c>
      <c r="F75">
        <v>0.6</v>
      </c>
      <c r="G75">
        <v>0.6</v>
      </c>
      <c r="H75">
        <v>0</v>
      </c>
      <c r="I75">
        <v>0</v>
      </c>
      <c r="J75">
        <v>0</v>
      </c>
      <c r="K75">
        <v>50</v>
      </c>
      <c r="L75" t="s">
        <v>113</v>
      </c>
      <c r="M75" t="s">
        <v>114</v>
      </c>
    </row>
    <row r="76" spans="2:13" x14ac:dyDescent="0.2">
      <c r="B76">
        <v>3003</v>
      </c>
      <c r="C76">
        <v>3</v>
      </c>
      <c r="D76">
        <v>6</v>
      </c>
      <c r="E76">
        <v>0.1</v>
      </c>
      <c r="F76">
        <v>0.6</v>
      </c>
      <c r="G76">
        <v>0.6</v>
      </c>
      <c r="H76">
        <v>65</v>
      </c>
      <c r="I76">
        <v>0</v>
      </c>
      <c r="J76">
        <v>0</v>
      </c>
      <c r="K76">
        <v>45.5</v>
      </c>
      <c r="L76" t="s">
        <v>115</v>
      </c>
      <c r="M76" t="s">
        <v>116</v>
      </c>
    </row>
    <row r="77" spans="2:13" x14ac:dyDescent="0.2">
      <c r="B77">
        <v>3003</v>
      </c>
      <c r="C77">
        <v>3</v>
      </c>
      <c r="D77">
        <v>12.1</v>
      </c>
      <c r="E77">
        <v>0.2</v>
      </c>
      <c r="F77">
        <v>0.6</v>
      </c>
      <c r="G77">
        <v>0.7</v>
      </c>
      <c r="H77">
        <v>130</v>
      </c>
      <c r="I77">
        <v>4</v>
      </c>
      <c r="J77">
        <v>0</v>
      </c>
      <c r="K77">
        <v>94.2</v>
      </c>
      <c r="L77" t="s">
        <v>128</v>
      </c>
      <c r="M77" t="s">
        <v>116</v>
      </c>
    </row>
    <row r="78" spans="2:13" x14ac:dyDescent="0.2">
      <c r="B78">
        <v>3003</v>
      </c>
      <c r="C78">
        <v>3</v>
      </c>
      <c r="D78">
        <v>13.6</v>
      </c>
      <c r="E78">
        <v>0.23</v>
      </c>
      <c r="F78">
        <v>0.7</v>
      </c>
      <c r="G78">
        <v>0.7</v>
      </c>
      <c r="H78">
        <v>150</v>
      </c>
      <c r="I78">
        <v>5</v>
      </c>
      <c r="J78">
        <v>1</v>
      </c>
      <c r="K78">
        <v>77.599999999999994</v>
      </c>
      <c r="L78" t="s">
        <v>117</v>
      </c>
      <c r="M78" t="s">
        <v>118</v>
      </c>
    </row>
    <row r="79" spans="2:13" x14ac:dyDescent="0.2">
      <c r="B79">
        <v>3003</v>
      </c>
      <c r="C79">
        <v>4</v>
      </c>
      <c r="D79">
        <v>0</v>
      </c>
      <c r="E79">
        <v>0</v>
      </c>
      <c r="F79">
        <v>0.6</v>
      </c>
      <c r="G79">
        <v>0.6</v>
      </c>
      <c r="H79">
        <v>0</v>
      </c>
      <c r="I79">
        <v>0</v>
      </c>
      <c r="J79">
        <v>0</v>
      </c>
      <c r="K79">
        <v>50</v>
      </c>
      <c r="L79" t="s">
        <v>113</v>
      </c>
      <c r="M79" t="s">
        <v>114</v>
      </c>
    </row>
    <row r="80" spans="2:13" x14ac:dyDescent="0.2">
      <c r="B80">
        <v>3003</v>
      </c>
      <c r="C80">
        <v>4</v>
      </c>
      <c r="D80">
        <v>6</v>
      </c>
      <c r="E80">
        <v>0.1</v>
      </c>
      <c r="F80">
        <v>0.6</v>
      </c>
      <c r="G80">
        <v>0.6</v>
      </c>
      <c r="H80">
        <v>65</v>
      </c>
      <c r="I80">
        <v>0</v>
      </c>
      <c r="J80">
        <v>0</v>
      </c>
      <c r="K80">
        <v>44.6</v>
      </c>
      <c r="L80" t="s">
        <v>115</v>
      </c>
      <c r="M80" t="s">
        <v>116</v>
      </c>
    </row>
    <row r="81" spans="2:13" x14ac:dyDescent="0.2">
      <c r="B81">
        <v>3003</v>
      </c>
      <c r="C81">
        <v>4</v>
      </c>
      <c r="D81">
        <v>12.1</v>
      </c>
      <c r="E81">
        <v>0.2</v>
      </c>
      <c r="F81">
        <v>0.6</v>
      </c>
      <c r="G81">
        <v>0.6</v>
      </c>
      <c r="H81">
        <v>130</v>
      </c>
      <c r="I81">
        <v>5</v>
      </c>
      <c r="J81">
        <v>0</v>
      </c>
      <c r="K81">
        <v>44.4</v>
      </c>
      <c r="L81" t="s">
        <v>115</v>
      </c>
      <c r="M81" t="s">
        <v>116</v>
      </c>
    </row>
    <row r="82" spans="2:13" x14ac:dyDescent="0.2">
      <c r="B82">
        <v>3003</v>
      </c>
      <c r="C82">
        <v>4</v>
      </c>
      <c r="D82">
        <v>18.100000000000001</v>
      </c>
      <c r="E82">
        <v>0.3</v>
      </c>
      <c r="F82">
        <v>0.6</v>
      </c>
      <c r="G82">
        <v>0.6</v>
      </c>
      <c r="H82">
        <v>195</v>
      </c>
      <c r="I82">
        <v>11</v>
      </c>
      <c r="J82">
        <v>0</v>
      </c>
      <c r="K82">
        <v>93.8</v>
      </c>
      <c r="L82" t="s">
        <v>115</v>
      </c>
      <c r="M82" t="s">
        <v>116</v>
      </c>
    </row>
    <row r="83" spans="2:13" x14ac:dyDescent="0.2">
      <c r="B83">
        <v>3003</v>
      </c>
      <c r="C83">
        <v>5</v>
      </c>
      <c r="D83">
        <v>0</v>
      </c>
      <c r="E83">
        <v>0</v>
      </c>
      <c r="F83">
        <v>0.6</v>
      </c>
      <c r="G83">
        <v>0.6</v>
      </c>
      <c r="H83">
        <v>0</v>
      </c>
      <c r="I83">
        <v>0</v>
      </c>
      <c r="J83">
        <v>0</v>
      </c>
      <c r="K83">
        <v>50</v>
      </c>
      <c r="L83" t="s">
        <v>113</v>
      </c>
      <c r="M83" t="s">
        <v>114</v>
      </c>
    </row>
    <row r="84" spans="2:13" x14ac:dyDescent="0.2">
      <c r="B84">
        <v>3003</v>
      </c>
      <c r="C84">
        <v>5</v>
      </c>
      <c r="D84">
        <v>6</v>
      </c>
      <c r="E84">
        <v>0.1</v>
      </c>
      <c r="F84">
        <v>0.6</v>
      </c>
      <c r="G84">
        <v>0.6</v>
      </c>
      <c r="H84">
        <v>65</v>
      </c>
      <c r="I84">
        <v>0</v>
      </c>
      <c r="J84">
        <v>0</v>
      </c>
      <c r="K84">
        <v>43.8</v>
      </c>
      <c r="L84" t="s">
        <v>115</v>
      </c>
      <c r="M84" t="s">
        <v>116</v>
      </c>
    </row>
    <row r="85" spans="2:13" x14ac:dyDescent="0.2">
      <c r="B85">
        <v>3003</v>
      </c>
      <c r="C85">
        <v>5</v>
      </c>
      <c r="D85">
        <v>12.1</v>
      </c>
      <c r="E85">
        <v>0.2</v>
      </c>
      <c r="F85">
        <v>0.6</v>
      </c>
      <c r="G85">
        <v>0.7</v>
      </c>
      <c r="H85">
        <v>130</v>
      </c>
      <c r="I85">
        <v>1</v>
      </c>
      <c r="J85">
        <v>0</v>
      </c>
      <c r="K85">
        <v>95</v>
      </c>
      <c r="L85" t="s">
        <v>128</v>
      </c>
      <c r="M85" t="s">
        <v>116</v>
      </c>
    </row>
    <row r="86" spans="2:13" x14ac:dyDescent="0.2">
      <c r="B86">
        <v>3004</v>
      </c>
      <c r="C86">
        <v>1</v>
      </c>
      <c r="D86">
        <v>0</v>
      </c>
      <c r="E86">
        <v>0</v>
      </c>
      <c r="F86">
        <v>0.6</v>
      </c>
      <c r="G86">
        <v>0.6</v>
      </c>
      <c r="H86">
        <v>0</v>
      </c>
      <c r="I86">
        <v>0</v>
      </c>
      <c r="J86">
        <v>0</v>
      </c>
      <c r="K86">
        <v>50</v>
      </c>
      <c r="L86" t="s">
        <v>113</v>
      </c>
      <c r="M86" t="s">
        <v>114</v>
      </c>
    </row>
    <row r="87" spans="2:13" x14ac:dyDescent="0.2">
      <c r="B87">
        <v>3004</v>
      </c>
      <c r="C87">
        <v>1</v>
      </c>
      <c r="D87">
        <v>6</v>
      </c>
      <c r="E87">
        <v>0.1</v>
      </c>
      <c r="F87">
        <v>0.6</v>
      </c>
      <c r="G87">
        <v>0.6</v>
      </c>
      <c r="H87">
        <v>65</v>
      </c>
      <c r="I87">
        <v>1</v>
      </c>
      <c r="J87">
        <v>0</v>
      </c>
      <c r="K87">
        <v>41.3</v>
      </c>
      <c r="L87" t="s">
        <v>115</v>
      </c>
      <c r="M87" t="s">
        <v>116</v>
      </c>
    </row>
    <row r="88" spans="2:13" x14ac:dyDescent="0.2">
      <c r="B88">
        <v>3004</v>
      </c>
      <c r="C88">
        <v>1</v>
      </c>
      <c r="D88">
        <v>12.1</v>
      </c>
      <c r="E88">
        <v>0.2</v>
      </c>
      <c r="F88">
        <v>0.6</v>
      </c>
      <c r="G88">
        <v>0.7</v>
      </c>
      <c r="H88">
        <v>130</v>
      </c>
      <c r="I88">
        <v>6</v>
      </c>
      <c r="J88">
        <v>0</v>
      </c>
      <c r="K88">
        <v>92.3</v>
      </c>
      <c r="L88" t="s">
        <v>128</v>
      </c>
      <c r="M88" t="s">
        <v>116</v>
      </c>
    </row>
    <row r="89" spans="2:13" x14ac:dyDescent="0.2">
      <c r="B89">
        <v>3004</v>
      </c>
      <c r="C89">
        <v>2</v>
      </c>
      <c r="D89">
        <v>0</v>
      </c>
      <c r="E89">
        <v>0</v>
      </c>
      <c r="F89">
        <v>0.6</v>
      </c>
      <c r="G89">
        <v>0.6</v>
      </c>
      <c r="H89">
        <v>0</v>
      </c>
      <c r="I89">
        <v>0</v>
      </c>
      <c r="J89">
        <v>0</v>
      </c>
      <c r="K89">
        <v>50</v>
      </c>
      <c r="L89" t="s">
        <v>113</v>
      </c>
      <c r="M89" t="s">
        <v>114</v>
      </c>
    </row>
    <row r="90" spans="2:13" x14ac:dyDescent="0.2">
      <c r="B90">
        <v>3004</v>
      </c>
      <c r="C90">
        <v>2</v>
      </c>
      <c r="D90">
        <v>6</v>
      </c>
      <c r="E90">
        <v>0.1</v>
      </c>
      <c r="F90">
        <v>0.6</v>
      </c>
      <c r="G90">
        <v>0.6</v>
      </c>
      <c r="H90">
        <v>65</v>
      </c>
      <c r="I90">
        <v>0</v>
      </c>
      <c r="J90">
        <v>0</v>
      </c>
      <c r="K90">
        <v>41.7</v>
      </c>
      <c r="L90" t="s">
        <v>115</v>
      </c>
      <c r="M90" t="s">
        <v>116</v>
      </c>
    </row>
    <row r="91" spans="2:13" x14ac:dyDescent="0.2">
      <c r="B91">
        <v>3004</v>
      </c>
      <c r="C91">
        <v>2</v>
      </c>
      <c r="D91">
        <v>12.1</v>
      </c>
      <c r="E91">
        <v>0.2</v>
      </c>
      <c r="F91">
        <v>0.6</v>
      </c>
      <c r="G91">
        <v>0.6</v>
      </c>
      <c r="H91">
        <v>130</v>
      </c>
      <c r="I91">
        <v>3</v>
      </c>
      <c r="J91">
        <v>0</v>
      </c>
      <c r="K91">
        <v>92.3</v>
      </c>
      <c r="L91" t="s">
        <v>115</v>
      </c>
      <c r="M91" t="s">
        <v>116</v>
      </c>
    </row>
    <row r="92" spans="2:13" x14ac:dyDescent="0.2">
      <c r="B92">
        <v>3004</v>
      </c>
      <c r="C92">
        <v>2</v>
      </c>
      <c r="D92">
        <v>15.7</v>
      </c>
      <c r="E92">
        <v>0.26</v>
      </c>
      <c r="F92">
        <v>0.6</v>
      </c>
      <c r="G92">
        <v>0.6</v>
      </c>
      <c r="H92">
        <v>169</v>
      </c>
      <c r="I92">
        <v>7</v>
      </c>
      <c r="J92">
        <v>1</v>
      </c>
      <c r="K92">
        <v>75.8</v>
      </c>
      <c r="L92" t="s">
        <v>122</v>
      </c>
      <c r="M92" t="s">
        <v>118</v>
      </c>
    </row>
    <row r="93" spans="2:13" x14ac:dyDescent="0.2">
      <c r="B93">
        <v>3004</v>
      </c>
      <c r="C93">
        <v>2</v>
      </c>
      <c r="D93">
        <v>18.100000000000001</v>
      </c>
      <c r="E93">
        <v>0.3</v>
      </c>
      <c r="F93">
        <v>0.6</v>
      </c>
      <c r="G93">
        <v>0.6</v>
      </c>
      <c r="H93">
        <v>195</v>
      </c>
      <c r="I93">
        <v>9</v>
      </c>
      <c r="J93">
        <v>1</v>
      </c>
      <c r="K93">
        <v>75.7</v>
      </c>
      <c r="L93" t="s">
        <v>121</v>
      </c>
      <c r="M93" t="s">
        <v>116</v>
      </c>
    </row>
    <row r="94" spans="2:13" x14ac:dyDescent="0.2">
      <c r="B94">
        <v>3004</v>
      </c>
      <c r="C94">
        <v>3</v>
      </c>
      <c r="D94">
        <v>0</v>
      </c>
      <c r="E94">
        <v>0</v>
      </c>
      <c r="F94">
        <v>0.6</v>
      </c>
      <c r="G94">
        <v>0.6</v>
      </c>
      <c r="H94">
        <v>0</v>
      </c>
      <c r="I94">
        <v>0</v>
      </c>
      <c r="J94">
        <v>0</v>
      </c>
      <c r="K94">
        <v>50</v>
      </c>
      <c r="L94" t="s">
        <v>113</v>
      </c>
      <c r="M94" t="s">
        <v>114</v>
      </c>
    </row>
    <row r="95" spans="2:13" x14ac:dyDescent="0.2">
      <c r="B95">
        <v>3004</v>
      </c>
      <c r="C95">
        <v>3</v>
      </c>
      <c r="D95">
        <v>6</v>
      </c>
      <c r="E95">
        <v>0.1</v>
      </c>
      <c r="F95">
        <v>0.6</v>
      </c>
      <c r="G95">
        <v>0.6</v>
      </c>
      <c r="H95">
        <v>65</v>
      </c>
      <c r="I95">
        <v>0</v>
      </c>
      <c r="J95">
        <v>0</v>
      </c>
      <c r="K95">
        <v>44.2</v>
      </c>
      <c r="L95" t="s">
        <v>115</v>
      </c>
      <c r="M95" t="s">
        <v>116</v>
      </c>
    </row>
    <row r="96" spans="2:13" x14ac:dyDescent="0.2">
      <c r="B96">
        <v>3004</v>
      </c>
      <c r="C96">
        <v>3</v>
      </c>
      <c r="D96">
        <v>12.1</v>
      </c>
      <c r="E96">
        <v>0.2</v>
      </c>
      <c r="F96">
        <v>0.6</v>
      </c>
      <c r="G96">
        <v>0.6</v>
      </c>
      <c r="H96">
        <v>130</v>
      </c>
      <c r="I96">
        <v>4</v>
      </c>
      <c r="J96">
        <v>0</v>
      </c>
      <c r="K96">
        <v>45.2</v>
      </c>
      <c r="L96" t="s">
        <v>115</v>
      </c>
      <c r="M96" t="s">
        <v>116</v>
      </c>
    </row>
    <row r="97" spans="2:13" x14ac:dyDescent="0.2">
      <c r="B97">
        <v>3004</v>
      </c>
      <c r="C97">
        <v>3</v>
      </c>
      <c r="D97">
        <v>13.9</v>
      </c>
      <c r="E97">
        <v>0.23</v>
      </c>
      <c r="F97">
        <v>0.6</v>
      </c>
      <c r="G97">
        <v>0.6</v>
      </c>
      <c r="H97">
        <v>150</v>
      </c>
      <c r="I97">
        <v>4</v>
      </c>
      <c r="J97">
        <v>1</v>
      </c>
      <c r="K97">
        <v>69.900000000000006</v>
      </c>
      <c r="L97" t="s">
        <v>122</v>
      </c>
      <c r="M97" t="s">
        <v>118</v>
      </c>
    </row>
    <row r="98" spans="2:13" x14ac:dyDescent="0.2">
      <c r="B98">
        <v>3004</v>
      </c>
      <c r="C98">
        <v>3</v>
      </c>
      <c r="D98">
        <v>18.100000000000001</v>
      </c>
      <c r="E98">
        <v>0.3</v>
      </c>
      <c r="F98">
        <v>0.6</v>
      </c>
      <c r="G98">
        <v>0.6</v>
      </c>
      <c r="H98">
        <v>195</v>
      </c>
      <c r="I98">
        <v>11</v>
      </c>
      <c r="J98">
        <v>1</v>
      </c>
      <c r="K98">
        <v>77.8</v>
      </c>
      <c r="L98" t="s">
        <v>124</v>
      </c>
      <c r="M98" t="s">
        <v>116</v>
      </c>
    </row>
    <row r="99" spans="2:13" x14ac:dyDescent="0.2">
      <c r="B99">
        <v>3004</v>
      </c>
      <c r="C99">
        <v>4</v>
      </c>
      <c r="D99">
        <v>0</v>
      </c>
      <c r="E99">
        <v>0</v>
      </c>
      <c r="F99">
        <v>0.6</v>
      </c>
      <c r="G99">
        <v>0.6</v>
      </c>
      <c r="H99">
        <v>0</v>
      </c>
      <c r="I99">
        <v>0</v>
      </c>
      <c r="J99">
        <v>0</v>
      </c>
      <c r="K99">
        <v>50</v>
      </c>
      <c r="L99" t="s">
        <v>113</v>
      </c>
      <c r="M99" t="s">
        <v>114</v>
      </c>
    </row>
    <row r="100" spans="2:13" x14ac:dyDescent="0.2">
      <c r="B100">
        <v>3004</v>
      </c>
      <c r="C100">
        <v>4</v>
      </c>
      <c r="D100">
        <v>6</v>
      </c>
      <c r="E100">
        <v>0.1</v>
      </c>
      <c r="F100">
        <v>0.6</v>
      </c>
      <c r="G100">
        <v>0.6</v>
      </c>
      <c r="H100">
        <v>65</v>
      </c>
      <c r="I100">
        <v>0</v>
      </c>
      <c r="J100">
        <v>0</v>
      </c>
      <c r="K100">
        <v>41.7</v>
      </c>
      <c r="L100" t="s">
        <v>115</v>
      </c>
      <c r="M100" t="s">
        <v>116</v>
      </c>
    </row>
    <row r="101" spans="2:13" x14ac:dyDescent="0.2">
      <c r="B101">
        <v>3004</v>
      </c>
      <c r="C101">
        <v>4</v>
      </c>
      <c r="D101">
        <v>6.2</v>
      </c>
      <c r="E101">
        <v>0.1</v>
      </c>
      <c r="F101">
        <v>0.6</v>
      </c>
      <c r="G101">
        <v>0.6</v>
      </c>
      <c r="H101">
        <v>67</v>
      </c>
      <c r="I101">
        <v>0</v>
      </c>
      <c r="J101">
        <v>1</v>
      </c>
      <c r="K101">
        <v>41.6</v>
      </c>
      <c r="L101" t="s">
        <v>122</v>
      </c>
      <c r="M101" t="s">
        <v>118</v>
      </c>
    </row>
    <row r="102" spans="2:13" x14ac:dyDescent="0.2">
      <c r="B102">
        <v>3004</v>
      </c>
      <c r="C102">
        <v>4</v>
      </c>
      <c r="D102">
        <v>10.7</v>
      </c>
      <c r="E102">
        <v>0.18</v>
      </c>
      <c r="F102">
        <v>0.6</v>
      </c>
      <c r="G102">
        <v>0.6</v>
      </c>
      <c r="H102">
        <v>115</v>
      </c>
      <c r="I102">
        <v>1</v>
      </c>
      <c r="J102">
        <v>2</v>
      </c>
      <c r="K102">
        <v>42.3</v>
      </c>
      <c r="L102" t="s">
        <v>127</v>
      </c>
      <c r="M102" t="s">
        <v>118</v>
      </c>
    </row>
    <row r="103" spans="2:13" x14ac:dyDescent="0.2">
      <c r="B103">
        <v>3004</v>
      </c>
      <c r="C103">
        <v>4</v>
      </c>
      <c r="D103">
        <v>12.1</v>
      </c>
      <c r="E103">
        <v>0.2</v>
      </c>
      <c r="F103">
        <v>0.6</v>
      </c>
      <c r="G103">
        <v>0.45</v>
      </c>
      <c r="H103">
        <v>130</v>
      </c>
      <c r="I103">
        <v>1</v>
      </c>
      <c r="J103">
        <v>2</v>
      </c>
      <c r="K103">
        <v>42.1</v>
      </c>
      <c r="L103" t="s">
        <v>126</v>
      </c>
      <c r="M103" t="s">
        <v>116</v>
      </c>
    </row>
    <row r="104" spans="2:13" x14ac:dyDescent="0.2">
      <c r="B104">
        <v>3004</v>
      </c>
      <c r="C104">
        <v>4</v>
      </c>
      <c r="D104">
        <v>16.5</v>
      </c>
      <c r="E104">
        <v>0.28000000000000003</v>
      </c>
      <c r="F104">
        <v>0.45</v>
      </c>
      <c r="G104">
        <v>0.45</v>
      </c>
      <c r="H104">
        <v>166</v>
      </c>
      <c r="I104">
        <v>4</v>
      </c>
      <c r="J104">
        <v>3</v>
      </c>
      <c r="K104">
        <v>42.4</v>
      </c>
      <c r="L104" t="s">
        <v>125</v>
      </c>
      <c r="M104" t="s">
        <v>118</v>
      </c>
    </row>
    <row r="105" spans="2:13" x14ac:dyDescent="0.2">
      <c r="B105">
        <v>3004</v>
      </c>
      <c r="C105">
        <v>4</v>
      </c>
      <c r="D105">
        <v>18.100000000000001</v>
      </c>
      <c r="E105">
        <v>0.3</v>
      </c>
      <c r="F105">
        <v>0.45</v>
      </c>
      <c r="G105">
        <v>0.45</v>
      </c>
      <c r="H105">
        <v>179</v>
      </c>
      <c r="I105">
        <v>4</v>
      </c>
      <c r="J105">
        <v>3</v>
      </c>
      <c r="K105">
        <v>42.4</v>
      </c>
      <c r="L105" t="s">
        <v>132</v>
      </c>
      <c r="M105" t="s">
        <v>116</v>
      </c>
    </row>
    <row r="106" spans="2:13" x14ac:dyDescent="0.2">
      <c r="B106">
        <v>3004</v>
      </c>
      <c r="C106">
        <v>5</v>
      </c>
      <c r="D106">
        <v>0</v>
      </c>
      <c r="E106">
        <v>0</v>
      </c>
      <c r="F106">
        <v>0.6</v>
      </c>
      <c r="G106">
        <v>0.6</v>
      </c>
      <c r="H106">
        <v>0</v>
      </c>
      <c r="I106">
        <v>0</v>
      </c>
      <c r="J106">
        <v>0</v>
      </c>
      <c r="K106">
        <v>50</v>
      </c>
      <c r="L106" t="s">
        <v>113</v>
      </c>
      <c r="M106" t="s">
        <v>114</v>
      </c>
    </row>
    <row r="107" spans="2:13" x14ac:dyDescent="0.2">
      <c r="B107">
        <v>3004</v>
      </c>
      <c r="C107">
        <v>5</v>
      </c>
      <c r="D107">
        <v>6</v>
      </c>
      <c r="E107">
        <v>0.1</v>
      </c>
      <c r="F107">
        <v>0.6</v>
      </c>
      <c r="G107">
        <v>0.6</v>
      </c>
      <c r="H107">
        <v>65</v>
      </c>
      <c r="I107">
        <v>0</v>
      </c>
      <c r="J107">
        <v>0</v>
      </c>
      <c r="K107">
        <v>44.2</v>
      </c>
      <c r="L107" t="s">
        <v>115</v>
      </c>
      <c r="M107" t="s">
        <v>116</v>
      </c>
    </row>
    <row r="108" spans="2:13" x14ac:dyDescent="0.2">
      <c r="B108">
        <v>3004</v>
      </c>
      <c r="C108">
        <v>5</v>
      </c>
      <c r="D108">
        <v>12.1</v>
      </c>
      <c r="E108">
        <v>0.2</v>
      </c>
      <c r="F108">
        <v>0.6</v>
      </c>
      <c r="G108">
        <v>0.6</v>
      </c>
      <c r="H108">
        <v>130</v>
      </c>
      <c r="I108">
        <v>3</v>
      </c>
      <c r="J108">
        <v>0</v>
      </c>
      <c r="K108">
        <v>42.9</v>
      </c>
      <c r="L108" t="s">
        <v>115</v>
      </c>
      <c r="M108" t="s">
        <v>116</v>
      </c>
    </row>
    <row r="109" spans="2:13" x14ac:dyDescent="0.2">
      <c r="B109">
        <v>3004</v>
      </c>
      <c r="C109">
        <v>5</v>
      </c>
      <c r="D109">
        <v>13.8</v>
      </c>
      <c r="E109">
        <v>0.23</v>
      </c>
      <c r="F109">
        <v>0.6</v>
      </c>
      <c r="G109">
        <v>0.6</v>
      </c>
      <c r="H109">
        <v>149</v>
      </c>
      <c r="I109">
        <v>3</v>
      </c>
      <c r="J109">
        <v>1</v>
      </c>
      <c r="K109">
        <v>43.1</v>
      </c>
      <c r="L109" t="s">
        <v>129</v>
      </c>
      <c r="M109" t="s">
        <v>118</v>
      </c>
    </row>
    <row r="110" spans="2:13" x14ac:dyDescent="0.2">
      <c r="B110">
        <v>3004</v>
      </c>
      <c r="C110">
        <v>5</v>
      </c>
      <c r="D110">
        <v>18.100000000000001</v>
      </c>
      <c r="E110">
        <v>0.3</v>
      </c>
      <c r="F110">
        <v>0.6</v>
      </c>
      <c r="G110">
        <v>0.6</v>
      </c>
      <c r="H110">
        <v>195</v>
      </c>
      <c r="I110">
        <v>5</v>
      </c>
      <c r="J110">
        <v>1</v>
      </c>
      <c r="K110">
        <v>67.8</v>
      </c>
      <c r="L110" t="s">
        <v>121</v>
      </c>
      <c r="M110" t="s">
        <v>116</v>
      </c>
    </row>
    <row r="111" spans="2:13" x14ac:dyDescent="0.2">
      <c r="B111">
        <v>3004</v>
      </c>
      <c r="C111">
        <v>5</v>
      </c>
      <c r="D111">
        <v>18.3</v>
      </c>
      <c r="E111">
        <v>0.3</v>
      </c>
      <c r="F111">
        <v>0.6</v>
      </c>
      <c r="G111">
        <v>0.6</v>
      </c>
      <c r="H111">
        <v>197</v>
      </c>
      <c r="I111">
        <v>5</v>
      </c>
      <c r="J111">
        <v>2</v>
      </c>
      <c r="K111">
        <v>59.3</v>
      </c>
      <c r="L111" t="s">
        <v>119</v>
      </c>
      <c r="M111" t="s">
        <v>118</v>
      </c>
    </row>
    <row r="112" spans="2:13" x14ac:dyDescent="0.2">
      <c r="B112">
        <v>3005</v>
      </c>
      <c r="C112">
        <v>1</v>
      </c>
      <c r="D112">
        <v>0</v>
      </c>
      <c r="E112">
        <v>0</v>
      </c>
      <c r="F112">
        <v>0.6</v>
      </c>
      <c r="G112">
        <v>0.6</v>
      </c>
      <c r="H112">
        <v>0</v>
      </c>
      <c r="I112">
        <v>0</v>
      </c>
      <c r="J112">
        <v>0</v>
      </c>
      <c r="K112">
        <v>50</v>
      </c>
      <c r="L112" t="s">
        <v>113</v>
      </c>
      <c r="M112" t="s">
        <v>114</v>
      </c>
    </row>
    <row r="113" spans="2:13" x14ac:dyDescent="0.2">
      <c r="B113">
        <v>3005</v>
      </c>
      <c r="C113">
        <v>1</v>
      </c>
      <c r="D113">
        <v>6</v>
      </c>
      <c r="E113">
        <v>0.1</v>
      </c>
      <c r="F113">
        <v>0.6</v>
      </c>
      <c r="G113">
        <v>0.6</v>
      </c>
      <c r="H113">
        <v>65</v>
      </c>
      <c r="I113">
        <v>2</v>
      </c>
      <c r="J113">
        <v>0</v>
      </c>
      <c r="K113">
        <v>92.6</v>
      </c>
      <c r="L113" t="s">
        <v>115</v>
      </c>
      <c r="M113" t="s">
        <v>116</v>
      </c>
    </row>
    <row r="114" spans="2:13" x14ac:dyDescent="0.2">
      <c r="B114">
        <v>3005</v>
      </c>
      <c r="C114">
        <v>1</v>
      </c>
      <c r="D114">
        <v>8.1</v>
      </c>
      <c r="E114">
        <v>0.14000000000000001</v>
      </c>
      <c r="F114">
        <v>0.6</v>
      </c>
      <c r="G114">
        <v>0.6</v>
      </c>
      <c r="H114">
        <v>88</v>
      </c>
      <c r="I114">
        <v>5</v>
      </c>
      <c r="J114">
        <v>1</v>
      </c>
      <c r="K114">
        <v>75.400000000000006</v>
      </c>
      <c r="L114" t="s">
        <v>129</v>
      </c>
      <c r="M114" t="s">
        <v>118</v>
      </c>
    </row>
    <row r="115" spans="2:13" x14ac:dyDescent="0.2">
      <c r="B115">
        <v>3005</v>
      </c>
      <c r="C115">
        <v>1</v>
      </c>
      <c r="D115">
        <v>12.1</v>
      </c>
      <c r="E115">
        <v>0.2</v>
      </c>
      <c r="F115">
        <v>0.6</v>
      </c>
      <c r="G115">
        <v>0.6</v>
      </c>
      <c r="H115">
        <v>130</v>
      </c>
      <c r="I115">
        <v>6</v>
      </c>
      <c r="J115">
        <v>1</v>
      </c>
      <c r="K115">
        <v>75.900000000000006</v>
      </c>
      <c r="L115" t="s">
        <v>121</v>
      </c>
      <c r="M115" t="s">
        <v>116</v>
      </c>
    </row>
    <row r="116" spans="2:13" x14ac:dyDescent="0.2">
      <c r="B116">
        <v>3005</v>
      </c>
      <c r="C116">
        <v>1</v>
      </c>
      <c r="D116">
        <v>14.5</v>
      </c>
      <c r="E116">
        <v>0.24</v>
      </c>
      <c r="F116">
        <v>0.6</v>
      </c>
      <c r="G116">
        <v>0.6</v>
      </c>
      <c r="H116">
        <v>156</v>
      </c>
      <c r="I116">
        <v>8</v>
      </c>
      <c r="J116">
        <v>2</v>
      </c>
      <c r="K116">
        <v>66.5</v>
      </c>
      <c r="L116" t="s">
        <v>119</v>
      </c>
      <c r="M116" t="s">
        <v>118</v>
      </c>
    </row>
    <row r="117" spans="2:13" x14ac:dyDescent="0.2">
      <c r="B117">
        <v>3005</v>
      </c>
      <c r="C117">
        <v>1</v>
      </c>
      <c r="D117">
        <v>17.399999999999999</v>
      </c>
      <c r="E117">
        <v>0.28999999999999998</v>
      </c>
      <c r="F117">
        <v>0.6</v>
      </c>
      <c r="G117">
        <v>0.6</v>
      </c>
      <c r="H117">
        <v>187</v>
      </c>
      <c r="I117">
        <v>9</v>
      </c>
      <c r="J117">
        <v>3</v>
      </c>
      <c r="K117">
        <v>60.9</v>
      </c>
      <c r="L117" t="s">
        <v>125</v>
      </c>
      <c r="M117" t="s">
        <v>118</v>
      </c>
    </row>
    <row r="118" spans="2:13" x14ac:dyDescent="0.2">
      <c r="B118">
        <v>3005</v>
      </c>
      <c r="C118">
        <v>1</v>
      </c>
      <c r="D118">
        <v>18.100000000000001</v>
      </c>
      <c r="E118">
        <v>0.3</v>
      </c>
      <c r="F118">
        <v>0.6</v>
      </c>
      <c r="G118">
        <v>0.45</v>
      </c>
      <c r="H118">
        <v>195</v>
      </c>
      <c r="I118">
        <v>9</v>
      </c>
      <c r="J118">
        <v>3</v>
      </c>
      <c r="K118">
        <v>60.9</v>
      </c>
      <c r="L118" t="s">
        <v>126</v>
      </c>
      <c r="M118" t="s">
        <v>116</v>
      </c>
    </row>
    <row r="119" spans="2:13" x14ac:dyDescent="0.2">
      <c r="B119">
        <v>3005</v>
      </c>
      <c r="C119">
        <v>2</v>
      </c>
      <c r="D119">
        <v>0</v>
      </c>
      <c r="E119">
        <v>0</v>
      </c>
      <c r="F119">
        <v>0.6</v>
      </c>
      <c r="G119">
        <v>0.6</v>
      </c>
      <c r="H119">
        <v>0</v>
      </c>
      <c r="I119">
        <v>0</v>
      </c>
      <c r="J119">
        <v>0</v>
      </c>
      <c r="K119">
        <v>50</v>
      </c>
      <c r="L119" t="s">
        <v>113</v>
      </c>
      <c r="M119" t="s">
        <v>114</v>
      </c>
    </row>
    <row r="120" spans="2:13" x14ac:dyDescent="0.2">
      <c r="B120">
        <v>3005</v>
      </c>
      <c r="C120">
        <v>2</v>
      </c>
      <c r="D120">
        <v>6</v>
      </c>
      <c r="E120">
        <v>0.1</v>
      </c>
      <c r="F120">
        <v>0.6</v>
      </c>
      <c r="G120">
        <v>0.6</v>
      </c>
      <c r="H120">
        <v>65</v>
      </c>
      <c r="I120">
        <v>0</v>
      </c>
      <c r="J120">
        <v>1</v>
      </c>
      <c r="K120">
        <v>66.7</v>
      </c>
      <c r="L120" t="s">
        <v>117</v>
      </c>
      <c r="M120" t="s">
        <v>118</v>
      </c>
    </row>
    <row r="121" spans="2:13" x14ac:dyDescent="0.2">
      <c r="B121">
        <v>3005</v>
      </c>
      <c r="C121">
        <v>2</v>
      </c>
      <c r="D121">
        <v>6</v>
      </c>
      <c r="E121">
        <v>0.1</v>
      </c>
      <c r="F121">
        <v>0.6</v>
      </c>
      <c r="G121">
        <v>0.6</v>
      </c>
      <c r="H121">
        <v>65</v>
      </c>
      <c r="I121">
        <v>0</v>
      </c>
      <c r="J121">
        <v>1</v>
      </c>
      <c r="K121">
        <v>66.7</v>
      </c>
      <c r="L121" t="s">
        <v>121</v>
      </c>
      <c r="M121" t="s">
        <v>116</v>
      </c>
    </row>
    <row r="122" spans="2:13" x14ac:dyDescent="0.2">
      <c r="B122">
        <v>3005</v>
      </c>
      <c r="C122">
        <v>2</v>
      </c>
      <c r="D122">
        <v>12.1</v>
      </c>
      <c r="E122">
        <v>0.2</v>
      </c>
      <c r="F122">
        <v>0.6</v>
      </c>
      <c r="G122">
        <v>0.7</v>
      </c>
      <c r="H122">
        <v>130</v>
      </c>
      <c r="I122">
        <v>6</v>
      </c>
      <c r="J122">
        <v>1</v>
      </c>
      <c r="K122">
        <v>80.7</v>
      </c>
      <c r="L122" t="s">
        <v>128</v>
      </c>
      <c r="M122" t="s">
        <v>116</v>
      </c>
    </row>
    <row r="123" spans="2:13" x14ac:dyDescent="0.2">
      <c r="B123">
        <v>3005</v>
      </c>
      <c r="C123">
        <v>2</v>
      </c>
      <c r="D123">
        <v>13.1</v>
      </c>
      <c r="E123">
        <v>0.22</v>
      </c>
      <c r="F123">
        <v>0.7</v>
      </c>
      <c r="G123">
        <v>0.7</v>
      </c>
      <c r="H123">
        <v>143</v>
      </c>
      <c r="I123">
        <v>6</v>
      </c>
      <c r="J123">
        <v>2</v>
      </c>
      <c r="K123">
        <v>74.400000000000006</v>
      </c>
      <c r="L123" t="s">
        <v>133</v>
      </c>
      <c r="M123" t="s">
        <v>118</v>
      </c>
    </row>
    <row r="124" spans="2:13" x14ac:dyDescent="0.2">
      <c r="B124">
        <v>3005</v>
      </c>
      <c r="C124">
        <v>2</v>
      </c>
      <c r="D124">
        <v>13.3</v>
      </c>
      <c r="E124">
        <v>0.22</v>
      </c>
      <c r="F124">
        <v>0.7</v>
      </c>
      <c r="G124">
        <v>0.7</v>
      </c>
      <c r="H124">
        <v>145</v>
      </c>
      <c r="I124">
        <v>7</v>
      </c>
      <c r="J124">
        <v>3</v>
      </c>
      <c r="K124">
        <v>69.5</v>
      </c>
      <c r="L124" t="s">
        <v>134</v>
      </c>
      <c r="M124" t="s">
        <v>118</v>
      </c>
    </row>
    <row r="125" spans="2:13" x14ac:dyDescent="0.2">
      <c r="B125">
        <v>3005</v>
      </c>
      <c r="C125">
        <v>2</v>
      </c>
      <c r="D125">
        <v>16.7</v>
      </c>
      <c r="E125">
        <v>0.28000000000000003</v>
      </c>
      <c r="F125">
        <v>0.7</v>
      </c>
      <c r="G125">
        <v>0.7</v>
      </c>
      <c r="H125">
        <v>188</v>
      </c>
      <c r="I125">
        <v>8</v>
      </c>
      <c r="J125">
        <v>4</v>
      </c>
      <c r="K125">
        <v>68.599999999999994</v>
      </c>
      <c r="L125" t="s">
        <v>130</v>
      </c>
      <c r="M125" t="s">
        <v>118</v>
      </c>
    </row>
    <row r="126" spans="2:13" x14ac:dyDescent="0.2">
      <c r="B126">
        <v>3005</v>
      </c>
      <c r="C126">
        <v>3</v>
      </c>
      <c r="D126">
        <v>0</v>
      </c>
      <c r="E126">
        <v>0</v>
      </c>
      <c r="F126">
        <v>0.6</v>
      </c>
      <c r="G126">
        <v>0.6</v>
      </c>
      <c r="H126">
        <v>0</v>
      </c>
      <c r="I126">
        <v>0</v>
      </c>
      <c r="J126">
        <v>0</v>
      </c>
      <c r="K126">
        <v>50</v>
      </c>
      <c r="L126" t="s">
        <v>113</v>
      </c>
      <c r="M126" t="s">
        <v>114</v>
      </c>
    </row>
    <row r="127" spans="2:13" x14ac:dyDescent="0.2">
      <c r="B127">
        <v>3005</v>
      </c>
      <c r="C127">
        <v>3</v>
      </c>
      <c r="D127">
        <v>6</v>
      </c>
      <c r="E127">
        <v>0.1</v>
      </c>
      <c r="F127">
        <v>0.6</v>
      </c>
      <c r="G127">
        <v>0.6</v>
      </c>
      <c r="H127">
        <v>65</v>
      </c>
      <c r="I127">
        <v>1</v>
      </c>
      <c r="J127">
        <v>0</v>
      </c>
      <c r="K127">
        <v>42.1</v>
      </c>
      <c r="L127" t="s">
        <v>115</v>
      </c>
      <c r="M127" t="s">
        <v>116</v>
      </c>
    </row>
    <row r="128" spans="2:13" x14ac:dyDescent="0.2">
      <c r="B128">
        <v>3005</v>
      </c>
      <c r="C128">
        <v>3</v>
      </c>
      <c r="D128">
        <v>12.1</v>
      </c>
      <c r="E128">
        <v>0.2</v>
      </c>
      <c r="F128">
        <v>0.6</v>
      </c>
      <c r="G128">
        <v>0.7</v>
      </c>
      <c r="H128">
        <v>130</v>
      </c>
      <c r="I128">
        <v>5</v>
      </c>
      <c r="J128">
        <v>0</v>
      </c>
      <c r="K128">
        <v>91.9</v>
      </c>
      <c r="L128" t="s">
        <v>128</v>
      </c>
      <c r="M128" t="s">
        <v>116</v>
      </c>
    </row>
    <row r="129" spans="2:13" x14ac:dyDescent="0.2">
      <c r="B129">
        <v>3005</v>
      </c>
      <c r="C129">
        <v>3</v>
      </c>
      <c r="D129">
        <v>13.2</v>
      </c>
      <c r="E129">
        <v>0.22</v>
      </c>
      <c r="F129">
        <v>0.7</v>
      </c>
      <c r="G129">
        <v>0.7</v>
      </c>
      <c r="H129">
        <v>145</v>
      </c>
      <c r="I129">
        <v>5</v>
      </c>
      <c r="J129">
        <v>1</v>
      </c>
      <c r="K129">
        <v>75.2</v>
      </c>
      <c r="L129" t="s">
        <v>122</v>
      </c>
      <c r="M129" t="s">
        <v>118</v>
      </c>
    </row>
    <row r="130" spans="2:13" x14ac:dyDescent="0.2">
      <c r="B130">
        <v>3005</v>
      </c>
      <c r="C130">
        <v>4</v>
      </c>
      <c r="D130">
        <v>0</v>
      </c>
      <c r="E130">
        <v>0</v>
      </c>
      <c r="F130">
        <v>0.6</v>
      </c>
      <c r="G130">
        <v>0.6</v>
      </c>
      <c r="H130">
        <v>0</v>
      </c>
      <c r="I130">
        <v>0</v>
      </c>
      <c r="J130">
        <v>0</v>
      </c>
      <c r="K130">
        <v>50</v>
      </c>
      <c r="L130" t="s">
        <v>113</v>
      </c>
      <c r="M130" t="s">
        <v>114</v>
      </c>
    </row>
    <row r="131" spans="2:13" x14ac:dyDescent="0.2">
      <c r="B131">
        <v>3005</v>
      </c>
      <c r="C131">
        <v>4</v>
      </c>
      <c r="D131">
        <v>6</v>
      </c>
      <c r="E131">
        <v>0.1</v>
      </c>
      <c r="F131">
        <v>0.6</v>
      </c>
      <c r="G131">
        <v>0.6</v>
      </c>
      <c r="H131">
        <v>65</v>
      </c>
      <c r="I131">
        <v>1</v>
      </c>
      <c r="J131">
        <v>0</v>
      </c>
      <c r="K131">
        <v>42.1</v>
      </c>
      <c r="L131" t="s">
        <v>115</v>
      </c>
      <c r="M131" t="s">
        <v>116</v>
      </c>
    </row>
    <row r="132" spans="2:13" x14ac:dyDescent="0.2">
      <c r="B132">
        <v>3005</v>
      </c>
      <c r="C132">
        <v>4</v>
      </c>
      <c r="D132">
        <v>12.1</v>
      </c>
      <c r="E132">
        <v>0.2</v>
      </c>
      <c r="F132">
        <v>0.6</v>
      </c>
      <c r="G132">
        <v>0.7</v>
      </c>
      <c r="H132">
        <v>130</v>
      </c>
      <c r="I132">
        <v>2</v>
      </c>
      <c r="J132">
        <v>0</v>
      </c>
      <c r="K132">
        <v>91.5</v>
      </c>
      <c r="L132" t="s">
        <v>128</v>
      </c>
      <c r="M132" t="s">
        <v>116</v>
      </c>
    </row>
    <row r="133" spans="2:13" x14ac:dyDescent="0.2">
      <c r="B133">
        <v>3005</v>
      </c>
      <c r="C133">
        <v>4</v>
      </c>
      <c r="D133">
        <v>12.3</v>
      </c>
      <c r="E133">
        <v>0.21</v>
      </c>
      <c r="F133">
        <v>0.7</v>
      </c>
      <c r="G133">
        <v>0.7</v>
      </c>
      <c r="H133">
        <v>133</v>
      </c>
      <c r="I133">
        <v>2</v>
      </c>
      <c r="J133">
        <v>1</v>
      </c>
      <c r="K133">
        <v>78.8</v>
      </c>
      <c r="L133" t="s">
        <v>117</v>
      </c>
      <c r="M133" t="s">
        <v>118</v>
      </c>
    </row>
    <row r="134" spans="2:13" x14ac:dyDescent="0.2">
      <c r="B134">
        <v>3005</v>
      </c>
      <c r="C134">
        <v>4</v>
      </c>
      <c r="D134">
        <v>15</v>
      </c>
      <c r="E134">
        <v>0.25</v>
      </c>
      <c r="F134">
        <v>0.7</v>
      </c>
      <c r="G134">
        <v>0.7</v>
      </c>
      <c r="H134">
        <v>167</v>
      </c>
      <c r="I134">
        <v>2</v>
      </c>
      <c r="J134">
        <v>2</v>
      </c>
      <c r="K134">
        <v>71.8</v>
      </c>
      <c r="L134" t="s">
        <v>127</v>
      </c>
      <c r="M134" t="s">
        <v>118</v>
      </c>
    </row>
    <row r="135" spans="2:13" x14ac:dyDescent="0.2">
      <c r="B135">
        <v>3005</v>
      </c>
      <c r="C135">
        <v>5</v>
      </c>
      <c r="D135">
        <v>0</v>
      </c>
      <c r="E135">
        <v>0</v>
      </c>
      <c r="F135">
        <v>0.6</v>
      </c>
      <c r="G135">
        <v>0.6</v>
      </c>
      <c r="H135">
        <v>0</v>
      </c>
      <c r="I135">
        <v>0</v>
      </c>
      <c r="J135">
        <v>0</v>
      </c>
      <c r="K135">
        <v>50</v>
      </c>
      <c r="L135" t="s">
        <v>113</v>
      </c>
      <c r="M135" t="s">
        <v>114</v>
      </c>
    </row>
    <row r="136" spans="2:13" x14ac:dyDescent="0.2">
      <c r="B136">
        <v>3005</v>
      </c>
      <c r="C136">
        <v>5</v>
      </c>
      <c r="D136">
        <v>6</v>
      </c>
      <c r="E136">
        <v>0.1</v>
      </c>
      <c r="F136">
        <v>0.6</v>
      </c>
      <c r="G136">
        <v>0.6</v>
      </c>
      <c r="H136">
        <v>65</v>
      </c>
      <c r="I136">
        <v>0</v>
      </c>
      <c r="J136">
        <v>0</v>
      </c>
      <c r="K136">
        <v>41.3</v>
      </c>
      <c r="L136" t="s">
        <v>115</v>
      </c>
      <c r="M136" t="s">
        <v>116</v>
      </c>
    </row>
    <row r="137" spans="2:13" x14ac:dyDescent="0.2">
      <c r="B137">
        <v>3005</v>
      </c>
      <c r="C137">
        <v>5</v>
      </c>
      <c r="D137">
        <v>8.1</v>
      </c>
      <c r="E137">
        <v>0.14000000000000001</v>
      </c>
      <c r="F137">
        <v>0.6</v>
      </c>
      <c r="G137">
        <v>0.6</v>
      </c>
      <c r="H137">
        <v>88</v>
      </c>
      <c r="I137">
        <v>1</v>
      </c>
      <c r="J137">
        <v>1</v>
      </c>
      <c r="K137">
        <v>65.5</v>
      </c>
      <c r="L137" t="s">
        <v>117</v>
      </c>
      <c r="M137" t="s">
        <v>118</v>
      </c>
    </row>
    <row r="138" spans="2:13" x14ac:dyDescent="0.2">
      <c r="B138">
        <v>3005</v>
      </c>
      <c r="C138">
        <v>5</v>
      </c>
      <c r="D138">
        <v>12.1</v>
      </c>
      <c r="E138">
        <v>0.2</v>
      </c>
      <c r="F138">
        <v>0.6</v>
      </c>
      <c r="G138">
        <v>0.6</v>
      </c>
      <c r="H138">
        <v>130</v>
      </c>
      <c r="I138">
        <v>2</v>
      </c>
      <c r="J138">
        <v>1</v>
      </c>
      <c r="K138">
        <v>74.400000000000006</v>
      </c>
      <c r="L138" t="s">
        <v>124</v>
      </c>
      <c r="M138" t="s">
        <v>116</v>
      </c>
    </row>
    <row r="139" spans="2:13" x14ac:dyDescent="0.2">
      <c r="B139">
        <v>3005</v>
      </c>
      <c r="C139">
        <v>5</v>
      </c>
      <c r="D139">
        <v>18.100000000000001</v>
      </c>
      <c r="E139">
        <v>0.3</v>
      </c>
      <c r="F139">
        <v>0.6</v>
      </c>
      <c r="G139">
        <v>0.7</v>
      </c>
      <c r="H139">
        <v>195</v>
      </c>
      <c r="I139">
        <v>4</v>
      </c>
      <c r="J139">
        <v>1</v>
      </c>
      <c r="K139">
        <v>83.4</v>
      </c>
      <c r="L139" t="s">
        <v>128</v>
      </c>
      <c r="M139" t="s">
        <v>116</v>
      </c>
    </row>
    <row r="140" spans="2:13" x14ac:dyDescent="0.2">
      <c r="B140">
        <v>3006</v>
      </c>
      <c r="C140">
        <v>1</v>
      </c>
      <c r="D140">
        <v>0</v>
      </c>
      <c r="E140">
        <v>0</v>
      </c>
      <c r="F140">
        <v>0.6</v>
      </c>
      <c r="G140">
        <v>0.6</v>
      </c>
      <c r="H140">
        <v>0</v>
      </c>
      <c r="I140">
        <v>0</v>
      </c>
      <c r="J140">
        <v>0</v>
      </c>
      <c r="K140">
        <v>50</v>
      </c>
      <c r="L140" t="s">
        <v>113</v>
      </c>
      <c r="M140" t="s">
        <v>114</v>
      </c>
    </row>
    <row r="141" spans="2:13" x14ac:dyDescent="0.2">
      <c r="B141">
        <v>3006</v>
      </c>
      <c r="C141">
        <v>1</v>
      </c>
      <c r="D141">
        <v>6</v>
      </c>
      <c r="E141">
        <v>0.1</v>
      </c>
      <c r="F141">
        <v>0.6</v>
      </c>
      <c r="G141">
        <v>0.6</v>
      </c>
      <c r="H141">
        <v>65</v>
      </c>
      <c r="I141">
        <v>0</v>
      </c>
      <c r="J141">
        <v>0</v>
      </c>
      <c r="K141">
        <v>38</v>
      </c>
      <c r="L141" t="s">
        <v>115</v>
      </c>
      <c r="M141" t="s">
        <v>116</v>
      </c>
    </row>
    <row r="142" spans="2:13" x14ac:dyDescent="0.2">
      <c r="B142">
        <v>3006</v>
      </c>
      <c r="C142">
        <v>1</v>
      </c>
      <c r="D142">
        <v>11.6</v>
      </c>
      <c r="E142">
        <v>0.19</v>
      </c>
      <c r="F142">
        <v>0.6</v>
      </c>
      <c r="G142">
        <v>0.6</v>
      </c>
      <c r="H142">
        <v>125</v>
      </c>
      <c r="I142">
        <v>4</v>
      </c>
      <c r="J142">
        <v>1</v>
      </c>
      <c r="K142">
        <v>62.4</v>
      </c>
      <c r="L142" t="s">
        <v>117</v>
      </c>
      <c r="M142" t="s">
        <v>118</v>
      </c>
    </row>
    <row r="143" spans="2:13" x14ac:dyDescent="0.2">
      <c r="B143">
        <v>3006</v>
      </c>
      <c r="C143">
        <v>1</v>
      </c>
      <c r="D143">
        <v>12.1</v>
      </c>
      <c r="E143">
        <v>0.2</v>
      </c>
      <c r="F143">
        <v>0.6</v>
      </c>
      <c r="G143">
        <v>0.6</v>
      </c>
      <c r="H143">
        <v>130</v>
      </c>
      <c r="I143">
        <v>5</v>
      </c>
      <c r="J143">
        <v>1</v>
      </c>
      <c r="K143">
        <v>71.099999999999994</v>
      </c>
      <c r="L143" t="s">
        <v>124</v>
      </c>
      <c r="M143" t="s">
        <v>116</v>
      </c>
    </row>
    <row r="144" spans="2:13" x14ac:dyDescent="0.2">
      <c r="B144">
        <v>3006</v>
      </c>
      <c r="C144">
        <v>1</v>
      </c>
      <c r="D144">
        <v>14.9</v>
      </c>
      <c r="E144">
        <v>0.25</v>
      </c>
      <c r="F144">
        <v>0.6</v>
      </c>
      <c r="G144">
        <v>0.6</v>
      </c>
      <c r="H144">
        <v>160</v>
      </c>
      <c r="I144">
        <v>7</v>
      </c>
      <c r="J144">
        <v>2</v>
      </c>
      <c r="K144">
        <v>63.6</v>
      </c>
      <c r="L144" t="s">
        <v>119</v>
      </c>
      <c r="M144" t="s">
        <v>118</v>
      </c>
    </row>
    <row r="145" spans="2:13" x14ac:dyDescent="0.2">
      <c r="B145">
        <v>3006</v>
      </c>
      <c r="C145">
        <v>1</v>
      </c>
      <c r="D145">
        <v>18.100000000000001</v>
      </c>
      <c r="E145">
        <v>0.3</v>
      </c>
      <c r="F145">
        <v>0.6</v>
      </c>
      <c r="G145">
        <v>0.6</v>
      </c>
      <c r="H145">
        <v>195</v>
      </c>
      <c r="I145">
        <v>10</v>
      </c>
      <c r="J145">
        <v>2</v>
      </c>
      <c r="K145">
        <v>63.9</v>
      </c>
      <c r="L145" t="s">
        <v>132</v>
      </c>
      <c r="M145" t="s">
        <v>116</v>
      </c>
    </row>
    <row r="146" spans="2:13" x14ac:dyDescent="0.2">
      <c r="B146">
        <v>3006</v>
      </c>
      <c r="C146">
        <v>2</v>
      </c>
      <c r="D146">
        <v>0</v>
      </c>
      <c r="E146">
        <v>0</v>
      </c>
      <c r="F146">
        <v>0.6</v>
      </c>
      <c r="G146">
        <v>0.6</v>
      </c>
      <c r="H146">
        <v>0</v>
      </c>
      <c r="I146">
        <v>0</v>
      </c>
      <c r="J146">
        <v>0</v>
      </c>
      <c r="K146">
        <v>50</v>
      </c>
      <c r="L146" t="s">
        <v>113</v>
      </c>
      <c r="M146" t="s">
        <v>114</v>
      </c>
    </row>
    <row r="147" spans="2:13" x14ac:dyDescent="0.2">
      <c r="B147">
        <v>3006</v>
      </c>
      <c r="C147">
        <v>2</v>
      </c>
      <c r="D147">
        <v>6</v>
      </c>
      <c r="E147">
        <v>0.1</v>
      </c>
      <c r="F147">
        <v>0.6</v>
      </c>
      <c r="G147">
        <v>0.6</v>
      </c>
      <c r="H147">
        <v>65</v>
      </c>
      <c r="I147">
        <v>0</v>
      </c>
      <c r="J147">
        <v>0</v>
      </c>
      <c r="K147">
        <v>38.4</v>
      </c>
      <c r="L147" t="s">
        <v>115</v>
      </c>
      <c r="M147" t="s">
        <v>116</v>
      </c>
    </row>
    <row r="148" spans="2:13" x14ac:dyDescent="0.2">
      <c r="B148">
        <v>3006</v>
      </c>
      <c r="C148">
        <v>2</v>
      </c>
      <c r="D148">
        <v>12.1</v>
      </c>
      <c r="E148">
        <v>0.2</v>
      </c>
      <c r="F148">
        <v>0.6</v>
      </c>
      <c r="G148">
        <v>0.6</v>
      </c>
      <c r="H148">
        <v>130</v>
      </c>
      <c r="I148">
        <v>3</v>
      </c>
      <c r="J148">
        <v>0</v>
      </c>
      <c r="K148">
        <v>39.4</v>
      </c>
      <c r="L148" t="s">
        <v>115</v>
      </c>
      <c r="M148" t="s">
        <v>116</v>
      </c>
    </row>
    <row r="149" spans="2:13" x14ac:dyDescent="0.2">
      <c r="B149">
        <v>3006</v>
      </c>
      <c r="C149">
        <v>2</v>
      </c>
      <c r="D149">
        <v>12.3</v>
      </c>
      <c r="E149">
        <v>0.21</v>
      </c>
      <c r="F149">
        <v>0.6</v>
      </c>
      <c r="G149">
        <v>0.6</v>
      </c>
      <c r="H149">
        <v>133</v>
      </c>
      <c r="I149">
        <v>3</v>
      </c>
      <c r="J149">
        <v>1</v>
      </c>
      <c r="K149">
        <v>39.4</v>
      </c>
      <c r="L149" t="s">
        <v>122</v>
      </c>
      <c r="M149" t="s">
        <v>118</v>
      </c>
    </row>
    <row r="150" spans="2:13" x14ac:dyDescent="0.2">
      <c r="B150">
        <v>3006</v>
      </c>
      <c r="C150">
        <v>2</v>
      </c>
      <c r="D150">
        <v>16.7</v>
      </c>
      <c r="E150">
        <v>0.28000000000000003</v>
      </c>
      <c r="F150">
        <v>0.6</v>
      </c>
      <c r="G150">
        <v>0.6</v>
      </c>
      <c r="H150">
        <v>180</v>
      </c>
      <c r="I150">
        <v>5</v>
      </c>
      <c r="J150">
        <v>2</v>
      </c>
      <c r="K150">
        <v>55.9</v>
      </c>
      <c r="L150" t="s">
        <v>119</v>
      </c>
      <c r="M150" t="s">
        <v>118</v>
      </c>
    </row>
    <row r="151" spans="2:13" x14ac:dyDescent="0.2">
      <c r="B151">
        <v>3006</v>
      </c>
      <c r="C151">
        <v>2</v>
      </c>
      <c r="D151">
        <v>18.100000000000001</v>
      </c>
      <c r="E151">
        <v>0.3</v>
      </c>
      <c r="F151">
        <v>0.6</v>
      </c>
      <c r="G151">
        <v>0.45</v>
      </c>
      <c r="H151">
        <v>195</v>
      </c>
      <c r="I151">
        <v>6</v>
      </c>
      <c r="J151">
        <v>2</v>
      </c>
      <c r="K151">
        <v>56.1</v>
      </c>
      <c r="L151" t="s">
        <v>120</v>
      </c>
      <c r="M151" t="s">
        <v>116</v>
      </c>
    </row>
    <row r="152" spans="2:13" x14ac:dyDescent="0.2">
      <c r="B152">
        <v>3006</v>
      </c>
      <c r="C152">
        <v>3</v>
      </c>
      <c r="D152">
        <v>0</v>
      </c>
      <c r="E152">
        <v>0</v>
      </c>
      <c r="F152">
        <v>0.6</v>
      </c>
      <c r="G152">
        <v>0.6</v>
      </c>
      <c r="H152">
        <v>0</v>
      </c>
      <c r="I152">
        <v>0</v>
      </c>
      <c r="J152">
        <v>0</v>
      </c>
      <c r="K152">
        <v>50</v>
      </c>
      <c r="L152" t="s">
        <v>113</v>
      </c>
      <c r="M152" t="s">
        <v>114</v>
      </c>
    </row>
    <row r="153" spans="2:13" x14ac:dyDescent="0.2">
      <c r="B153">
        <v>3006</v>
      </c>
      <c r="C153">
        <v>3</v>
      </c>
      <c r="D153">
        <v>6</v>
      </c>
      <c r="E153">
        <v>0.1</v>
      </c>
      <c r="F153">
        <v>0.6</v>
      </c>
      <c r="G153">
        <v>0.6</v>
      </c>
      <c r="H153">
        <v>65</v>
      </c>
      <c r="I153">
        <v>1</v>
      </c>
      <c r="J153">
        <v>0</v>
      </c>
      <c r="K153">
        <v>36.799999999999997</v>
      </c>
      <c r="L153" t="s">
        <v>115</v>
      </c>
      <c r="M153" t="s">
        <v>116</v>
      </c>
    </row>
    <row r="154" spans="2:13" x14ac:dyDescent="0.2">
      <c r="B154">
        <v>3006</v>
      </c>
      <c r="C154">
        <v>3</v>
      </c>
      <c r="D154">
        <v>6.3</v>
      </c>
      <c r="E154">
        <v>0.11</v>
      </c>
      <c r="F154">
        <v>0.6</v>
      </c>
      <c r="G154">
        <v>0.6</v>
      </c>
      <c r="H154">
        <v>69</v>
      </c>
      <c r="I154">
        <v>1</v>
      </c>
      <c r="J154">
        <v>1</v>
      </c>
      <c r="K154">
        <v>36.200000000000003</v>
      </c>
      <c r="L154" t="s">
        <v>117</v>
      </c>
      <c r="M154" t="s">
        <v>118</v>
      </c>
    </row>
    <row r="155" spans="2:13" x14ac:dyDescent="0.2">
      <c r="B155">
        <v>3006</v>
      </c>
      <c r="C155">
        <v>3</v>
      </c>
      <c r="D155">
        <v>7.6</v>
      </c>
      <c r="E155">
        <v>0.13</v>
      </c>
      <c r="F155">
        <v>0.6</v>
      </c>
      <c r="G155">
        <v>0.6</v>
      </c>
      <c r="H155">
        <v>83</v>
      </c>
      <c r="I155">
        <v>3</v>
      </c>
      <c r="J155">
        <v>2</v>
      </c>
      <c r="K155">
        <v>38.200000000000003</v>
      </c>
      <c r="L155" t="s">
        <v>119</v>
      </c>
      <c r="M155" t="s">
        <v>118</v>
      </c>
    </row>
    <row r="156" spans="2:13" x14ac:dyDescent="0.2">
      <c r="B156">
        <v>3006</v>
      </c>
      <c r="C156">
        <v>3</v>
      </c>
      <c r="D156">
        <v>12.1</v>
      </c>
      <c r="E156">
        <v>0.2</v>
      </c>
      <c r="F156">
        <v>0.6</v>
      </c>
      <c r="G156">
        <v>0.45</v>
      </c>
      <c r="H156">
        <v>130</v>
      </c>
      <c r="I156">
        <v>9</v>
      </c>
      <c r="J156">
        <v>2</v>
      </c>
      <c r="K156">
        <v>39.4</v>
      </c>
      <c r="L156" t="s">
        <v>126</v>
      </c>
      <c r="M156" t="s">
        <v>116</v>
      </c>
    </row>
    <row r="157" spans="2:13" x14ac:dyDescent="0.2">
      <c r="B157">
        <v>3006</v>
      </c>
      <c r="C157">
        <v>3</v>
      </c>
      <c r="D157">
        <v>18.100000000000001</v>
      </c>
      <c r="E157">
        <v>0.3</v>
      </c>
      <c r="F157">
        <v>0.45</v>
      </c>
      <c r="G157">
        <v>0.45</v>
      </c>
      <c r="H157">
        <v>179</v>
      </c>
      <c r="I157">
        <v>11</v>
      </c>
      <c r="J157">
        <v>2</v>
      </c>
      <c r="K157">
        <v>39.200000000000003</v>
      </c>
      <c r="L157" t="s">
        <v>115</v>
      </c>
      <c r="M157" t="s">
        <v>116</v>
      </c>
    </row>
    <row r="158" spans="2:13" x14ac:dyDescent="0.2">
      <c r="B158">
        <v>3006</v>
      </c>
      <c r="C158">
        <v>4</v>
      </c>
      <c r="D158">
        <v>0</v>
      </c>
      <c r="E158">
        <v>0</v>
      </c>
      <c r="F158">
        <v>0.6</v>
      </c>
      <c r="G158">
        <v>0.6</v>
      </c>
      <c r="H158">
        <v>0</v>
      </c>
      <c r="I158">
        <v>0</v>
      </c>
      <c r="J158">
        <v>0</v>
      </c>
      <c r="K158">
        <v>50</v>
      </c>
      <c r="L158" t="s">
        <v>113</v>
      </c>
      <c r="M158" t="s">
        <v>114</v>
      </c>
    </row>
    <row r="159" spans="2:13" x14ac:dyDescent="0.2">
      <c r="B159">
        <v>3006</v>
      </c>
      <c r="C159">
        <v>4</v>
      </c>
      <c r="D159">
        <v>6</v>
      </c>
      <c r="E159">
        <v>0.1</v>
      </c>
      <c r="F159">
        <v>0.6</v>
      </c>
      <c r="G159">
        <v>0.6</v>
      </c>
      <c r="H159">
        <v>65</v>
      </c>
      <c r="I159">
        <v>0</v>
      </c>
      <c r="J159">
        <v>0</v>
      </c>
      <c r="K159">
        <v>43.4</v>
      </c>
      <c r="L159" t="s">
        <v>115</v>
      </c>
      <c r="M159" t="s">
        <v>116</v>
      </c>
    </row>
    <row r="160" spans="2:13" x14ac:dyDescent="0.2">
      <c r="B160">
        <v>3006</v>
      </c>
      <c r="C160">
        <v>4</v>
      </c>
      <c r="D160">
        <v>12.1</v>
      </c>
      <c r="E160">
        <v>0.2</v>
      </c>
      <c r="F160">
        <v>0.6</v>
      </c>
      <c r="G160">
        <v>0.7</v>
      </c>
      <c r="H160">
        <v>130</v>
      </c>
      <c r="I160">
        <v>4</v>
      </c>
      <c r="J160">
        <v>0</v>
      </c>
      <c r="K160">
        <v>93.6</v>
      </c>
      <c r="L160" t="s">
        <v>128</v>
      </c>
      <c r="M160" t="s">
        <v>116</v>
      </c>
    </row>
    <row r="161" spans="2:13" x14ac:dyDescent="0.2">
      <c r="B161">
        <v>3006</v>
      </c>
      <c r="C161">
        <v>4</v>
      </c>
      <c r="D161">
        <v>15</v>
      </c>
      <c r="E161">
        <v>0.25</v>
      </c>
      <c r="F161">
        <v>0.7</v>
      </c>
      <c r="G161">
        <v>0.7</v>
      </c>
      <c r="H161">
        <v>167</v>
      </c>
      <c r="I161">
        <v>7</v>
      </c>
      <c r="J161">
        <v>1</v>
      </c>
      <c r="K161">
        <v>76</v>
      </c>
      <c r="L161" t="s">
        <v>117</v>
      </c>
      <c r="M161" t="s">
        <v>118</v>
      </c>
    </row>
    <row r="162" spans="2:13" x14ac:dyDescent="0.2">
      <c r="B162">
        <v>3006</v>
      </c>
      <c r="C162">
        <v>4</v>
      </c>
      <c r="D162">
        <v>16.2</v>
      </c>
      <c r="E162">
        <v>0.27</v>
      </c>
      <c r="F162">
        <v>0.7</v>
      </c>
      <c r="G162">
        <v>0.7</v>
      </c>
      <c r="H162">
        <v>182</v>
      </c>
      <c r="I162">
        <v>8</v>
      </c>
      <c r="J162">
        <v>2</v>
      </c>
      <c r="K162">
        <v>67.400000000000006</v>
      </c>
      <c r="L162" t="s">
        <v>119</v>
      </c>
      <c r="M162" t="s">
        <v>118</v>
      </c>
    </row>
    <row r="163" spans="2:13" x14ac:dyDescent="0.2">
      <c r="B163">
        <v>3006</v>
      </c>
      <c r="C163">
        <v>4</v>
      </c>
      <c r="D163">
        <v>17.5</v>
      </c>
      <c r="E163">
        <v>0.28999999999999998</v>
      </c>
      <c r="F163">
        <v>0.7</v>
      </c>
      <c r="G163">
        <v>0.7</v>
      </c>
      <c r="H163">
        <v>199</v>
      </c>
      <c r="I163">
        <v>8</v>
      </c>
      <c r="J163">
        <v>3</v>
      </c>
      <c r="K163">
        <v>62.4</v>
      </c>
      <c r="L163" t="s">
        <v>135</v>
      </c>
      <c r="M163" t="s">
        <v>118</v>
      </c>
    </row>
    <row r="164" spans="2:13" x14ac:dyDescent="0.2">
      <c r="B164">
        <v>3006</v>
      </c>
      <c r="C164">
        <v>5</v>
      </c>
      <c r="D164">
        <v>0</v>
      </c>
      <c r="E164">
        <v>0</v>
      </c>
      <c r="F164">
        <v>0.6</v>
      </c>
      <c r="G164">
        <v>0.6</v>
      </c>
      <c r="H164">
        <v>0</v>
      </c>
      <c r="I164">
        <v>0</v>
      </c>
      <c r="J164">
        <v>0</v>
      </c>
      <c r="K164">
        <v>50</v>
      </c>
      <c r="L164" t="s">
        <v>113</v>
      </c>
      <c r="M164" t="s">
        <v>114</v>
      </c>
    </row>
    <row r="165" spans="2:13" x14ac:dyDescent="0.2">
      <c r="B165">
        <v>3006</v>
      </c>
      <c r="C165">
        <v>5</v>
      </c>
      <c r="D165">
        <v>6</v>
      </c>
      <c r="E165">
        <v>0.1</v>
      </c>
      <c r="F165">
        <v>0.6</v>
      </c>
      <c r="G165">
        <v>0.6</v>
      </c>
      <c r="H165">
        <v>65</v>
      </c>
      <c r="I165">
        <v>0</v>
      </c>
      <c r="J165">
        <v>0</v>
      </c>
      <c r="K165">
        <v>43.4</v>
      </c>
      <c r="L165" t="s">
        <v>115</v>
      </c>
      <c r="M165" t="s">
        <v>116</v>
      </c>
    </row>
    <row r="166" spans="2:13" x14ac:dyDescent="0.2">
      <c r="B166">
        <v>3006</v>
      </c>
      <c r="C166">
        <v>5</v>
      </c>
      <c r="D166">
        <v>12.1</v>
      </c>
      <c r="E166">
        <v>0.2</v>
      </c>
      <c r="F166">
        <v>0.6</v>
      </c>
      <c r="G166">
        <v>0.6</v>
      </c>
      <c r="H166">
        <v>130</v>
      </c>
      <c r="I166">
        <v>5</v>
      </c>
      <c r="J166">
        <v>0</v>
      </c>
      <c r="K166">
        <v>40.700000000000003</v>
      </c>
      <c r="L166" t="s">
        <v>115</v>
      </c>
      <c r="M166" t="s">
        <v>116</v>
      </c>
    </row>
    <row r="167" spans="2:13" x14ac:dyDescent="0.2">
      <c r="B167">
        <v>3006</v>
      </c>
      <c r="C167">
        <v>5</v>
      </c>
      <c r="D167">
        <v>18.100000000000001</v>
      </c>
      <c r="E167">
        <v>0.3</v>
      </c>
      <c r="F167">
        <v>0.6</v>
      </c>
      <c r="G167">
        <v>0.6</v>
      </c>
      <c r="H167">
        <v>195</v>
      </c>
      <c r="I167">
        <v>13</v>
      </c>
      <c r="J167">
        <v>0</v>
      </c>
      <c r="K167">
        <v>90.6</v>
      </c>
      <c r="L167" t="s">
        <v>115</v>
      </c>
      <c r="M167" t="s">
        <v>116</v>
      </c>
    </row>
    <row r="168" spans="2:13" x14ac:dyDescent="0.2">
      <c r="B168">
        <v>3007</v>
      </c>
      <c r="C168">
        <v>1</v>
      </c>
      <c r="D168">
        <v>0</v>
      </c>
      <c r="E168">
        <v>0</v>
      </c>
      <c r="F168">
        <v>0.6</v>
      </c>
      <c r="G168">
        <v>0.6</v>
      </c>
      <c r="H168">
        <v>0</v>
      </c>
      <c r="I168">
        <v>0</v>
      </c>
      <c r="J168">
        <v>0</v>
      </c>
      <c r="K168">
        <v>50</v>
      </c>
      <c r="L168" t="s">
        <v>113</v>
      </c>
      <c r="M168" t="s">
        <v>114</v>
      </c>
    </row>
    <row r="169" spans="2:13" x14ac:dyDescent="0.2">
      <c r="B169">
        <v>3007</v>
      </c>
      <c r="C169">
        <v>1</v>
      </c>
      <c r="D169">
        <v>6</v>
      </c>
      <c r="E169">
        <v>0.1</v>
      </c>
      <c r="F169">
        <v>0.6</v>
      </c>
      <c r="G169">
        <v>0.6</v>
      </c>
      <c r="H169">
        <v>65</v>
      </c>
      <c r="I169">
        <v>0</v>
      </c>
      <c r="J169">
        <v>0</v>
      </c>
      <c r="K169">
        <v>43</v>
      </c>
      <c r="L169" t="s">
        <v>115</v>
      </c>
      <c r="M169" t="s">
        <v>116</v>
      </c>
    </row>
    <row r="170" spans="2:13" x14ac:dyDescent="0.2">
      <c r="B170">
        <v>3007</v>
      </c>
      <c r="C170">
        <v>1</v>
      </c>
      <c r="D170">
        <v>9.9</v>
      </c>
      <c r="E170">
        <v>0.17</v>
      </c>
      <c r="F170">
        <v>0.6</v>
      </c>
      <c r="G170">
        <v>0.6</v>
      </c>
      <c r="H170">
        <v>107</v>
      </c>
      <c r="I170">
        <v>2</v>
      </c>
      <c r="J170">
        <v>1</v>
      </c>
      <c r="K170">
        <v>67.7</v>
      </c>
      <c r="L170" t="s">
        <v>122</v>
      </c>
      <c r="M170" t="s">
        <v>118</v>
      </c>
    </row>
    <row r="171" spans="2:13" x14ac:dyDescent="0.2">
      <c r="B171">
        <v>3007</v>
      </c>
      <c r="C171">
        <v>1</v>
      </c>
      <c r="D171">
        <v>12.1</v>
      </c>
      <c r="E171">
        <v>0.2</v>
      </c>
      <c r="F171">
        <v>0.6</v>
      </c>
      <c r="G171">
        <v>0.6</v>
      </c>
      <c r="H171">
        <v>130</v>
      </c>
      <c r="I171">
        <v>4</v>
      </c>
      <c r="J171">
        <v>1</v>
      </c>
      <c r="K171">
        <v>66.900000000000006</v>
      </c>
      <c r="L171" t="s">
        <v>121</v>
      </c>
      <c r="M171" t="s">
        <v>116</v>
      </c>
    </row>
    <row r="172" spans="2:13" x14ac:dyDescent="0.2">
      <c r="B172">
        <v>3007</v>
      </c>
      <c r="C172">
        <v>1</v>
      </c>
      <c r="D172">
        <v>18.100000000000001</v>
      </c>
      <c r="E172">
        <v>0.3</v>
      </c>
      <c r="F172">
        <v>0.6</v>
      </c>
      <c r="G172">
        <v>0.7</v>
      </c>
      <c r="H172">
        <v>195</v>
      </c>
      <c r="I172">
        <v>8</v>
      </c>
      <c r="J172">
        <v>1</v>
      </c>
      <c r="K172">
        <v>82.5</v>
      </c>
      <c r="L172" t="s">
        <v>128</v>
      </c>
      <c r="M172" t="s">
        <v>116</v>
      </c>
    </row>
    <row r="173" spans="2:13" x14ac:dyDescent="0.2">
      <c r="B173">
        <v>3007</v>
      </c>
      <c r="C173">
        <v>2</v>
      </c>
      <c r="D173">
        <v>0</v>
      </c>
      <c r="E173">
        <v>0</v>
      </c>
      <c r="F173">
        <v>0.6</v>
      </c>
      <c r="G173">
        <v>0.6</v>
      </c>
      <c r="H173">
        <v>0</v>
      </c>
      <c r="I173">
        <v>0</v>
      </c>
      <c r="J173">
        <v>0</v>
      </c>
      <c r="K173">
        <v>50</v>
      </c>
      <c r="L173" t="s">
        <v>113</v>
      </c>
      <c r="M173" t="s">
        <v>114</v>
      </c>
    </row>
    <row r="174" spans="2:13" x14ac:dyDescent="0.2">
      <c r="B174">
        <v>3007</v>
      </c>
      <c r="C174">
        <v>2</v>
      </c>
      <c r="D174">
        <v>6</v>
      </c>
      <c r="E174">
        <v>0.1</v>
      </c>
      <c r="F174">
        <v>0.6</v>
      </c>
      <c r="G174">
        <v>0.6</v>
      </c>
      <c r="H174">
        <v>65</v>
      </c>
      <c r="I174">
        <v>0</v>
      </c>
      <c r="J174">
        <v>0</v>
      </c>
      <c r="K174">
        <v>94.2</v>
      </c>
      <c r="L174" t="s">
        <v>115</v>
      </c>
      <c r="M174" t="s">
        <v>116</v>
      </c>
    </row>
    <row r="175" spans="2:13" x14ac:dyDescent="0.2">
      <c r="B175">
        <v>3007</v>
      </c>
      <c r="C175">
        <v>2</v>
      </c>
      <c r="D175">
        <v>7.4</v>
      </c>
      <c r="E175">
        <v>0.12</v>
      </c>
      <c r="F175">
        <v>0.6</v>
      </c>
      <c r="G175">
        <v>0.6</v>
      </c>
      <c r="H175">
        <v>80</v>
      </c>
      <c r="I175">
        <v>0</v>
      </c>
      <c r="J175">
        <v>1</v>
      </c>
      <c r="K175">
        <v>69.599999999999994</v>
      </c>
      <c r="L175" t="s">
        <v>117</v>
      </c>
      <c r="M175" t="s">
        <v>118</v>
      </c>
    </row>
    <row r="176" spans="2:13" x14ac:dyDescent="0.2">
      <c r="B176">
        <v>3007</v>
      </c>
      <c r="C176">
        <v>2</v>
      </c>
      <c r="D176">
        <v>12.1</v>
      </c>
      <c r="E176">
        <v>0.2</v>
      </c>
      <c r="F176">
        <v>0.6</v>
      </c>
      <c r="G176">
        <v>0.6</v>
      </c>
      <c r="H176">
        <v>130</v>
      </c>
      <c r="I176">
        <v>3</v>
      </c>
      <c r="J176">
        <v>1</v>
      </c>
      <c r="K176">
        <v>81.7</v>
      </c>
      <c r="L176" t="s">
        <v>124</v>
      </c>
      <c r="M176" t="s">
        <v>116</v>
      </c>
    </row>
    <row r="177" spans="2:13" x14ac:dyDescent="0.2">
      <c r="B177">
        <v>3007</v>
      </c>
      <c r="C177">
        <v>2</v>
      </c>
      <c r="D177">
        <v>18.100000000000001</v>
      </c>
      <c r="E177">
        <v>0.3</v>
      </c>
      <c r="F177">
        <v>0.6</v>
      </c>
      <c r="G177">
        <v>0.6</v>
      </c>
      <c r="H177">
        <v>195</v>
      </c>
      <c r="I177">
        <v>6</v>
      </c>
      <c r="J177">
        <v>1</v>
      </c>
      <c r="K177">
        <v>81.3</v>
      </c>
      <c r="L177" t="s">
        <v>115</v>
      </c>
      <c r="M177" t="s">
        <v>116</v>
      </c>
    </row>
    <row r="178" spans="2:13" x14ac:dyDescent="0.2">
      <c r="B178">
        <v>3007</v>
      </c>
      <c r="C178">
        <v>3</v>
      </c>
      <c r="D178">
        <v>0</v>
      </c>
      <c r="E178">
        <v>0</v>
      </c>
      <c r="F178">
        <v>0.6</v>
      </c>
      <c r="G178">
        <v>0.6</v>
      </c>
      <c r="H178">
        <v>0</v>
      </c>
      <c r="I178">
        <v>0</v>
      </c>
      <c r="J178">
        <v>0</v>
      </c>
      <c r="K178">
        <v>50</v>
      </c>
      <c r="L178" t="s">
        <v>113</v>
      </c>
      <c r="M178" t="s">
        <v>114</v>
      </c>
    </row>
    <row r="179" spans="2:13" x14ac:dyDescent="0.2">
      <c r="B179">
        <v>3007</v>
      </c>
      <c r="C179">
        <v>3</v>
      </c>
      <c r="D179">
        <v>6</v>
      </c>
      <c r="E179">
        <v>0.1</v>
      </c>
      <c r="F179">
        <v>0.6</v>
      </c>
      <c r="G179">
        <v>0.6</v>
      </c>
      <c r="H179">
        <v>65</v>
      </c>
      <c r="I179">
        <v>0</v>
      </c>
      <c r="J179">
        <v>0</v>
      </c>
      <c r="K179">
        <v>45.5</v>
      </c>
      <c r="L179" t="s">
        <v>115</v>
      </c>
      <c r="M179" t="s">
        <v>116</v>
      </c>
    </row>
    <row r="180" spans="2:13" x14ac:dyDescent="0.2">
      <c r="B180">
        <v>3007</v>
      </c>
      <c r="C180">
        <v>3</v>
      </c>
      <c r="D180">
        <v>12.1</v>
      </c>
      <c r="E180">
        <v>0.2</v>
      </c>
      <c r="F180">
        <v>0.6</v>
      </c>
      <c r="G180">
        <v>0.7</v>
      </c>
      <c r="H180">
        <v>130</v>
      </c>
      <c r="I180">
        <v>2</v>
      </c>
      <c r="J180">
        <v>0</v>
      </c>
      <c r="K180">
        <v>94.4</v>
      </c>
      <c r="L180" t="s">
        <v>128</v>
      </c>
      <c r="M180" t="s">
        <v>116</v>
      </c>
    </row>
    <row r="181" spans="2:13" x14ac:dyDescent="0.2">
      <c r="B181">
        <v>3007</v>
      </c>
      <c r="C181">
        <v>4</v>
      </c>
      <c r="D181">
        <v>0</v>
      </c>
      <c r="E181">
        <v>0</v>
      </c>
      <c r="F181">
        <v>0.6</v>
      </c>
      <c r="G181">
        <v>0.6</v>
      </c>
      <c r="H181">
        <v>0</v>
      </c>
      <c r="I181">
        <v>0</v>
      </c>
      <c r="J181">
        <v>0</v>
      </c>
      <c r="K181">
        <v>50</v>
      </c>
      <c r="L181" t="s">
        <v>113</v>
      </c>
      <c r="M181" t="s">
        <v>114</v>
      </c>
    </row>
    <row r="182" spans="2:13" x14ac:dyDescent="0.2">
      <c r="B182">
        <v>3007</v>
      </c>
      <c r="C182">
        <v>4</v>
      </c>
      <c r="D182">
        <v>6</v>
      </c>
      <c r="E182">
        <v>0.1</v>
      </c>
      <c r="F182">
        <v>0.6</v>
      </c>
      <c r="G182">
        <v>0.6</v>
      </c>
      <c r="H182">
        <v>65</v>
      </c>
      <c r="I182">
        <v>1</v>
      </c>
      <c r="J182">
        <v>0</v>
      </c>
      <c r="K182">
        <v>44.2</v>
      </c>
      <c r="L182" t="s">
        <v>115</v>
      </c>
      <c r="M182" t="s">
        <v>116</v>
      </c>
    </row>
    <row r="183" spans="2:13" x14ac:dyDescent="0.2">
      <c r="B183">
        <v>3007</v>
      </c>
      <c r="C183">
        <v>4</v>
      </c>
      <c r="D183">
        <v>12.1</v>
      </c>
      <c r="E183">
        <v>0.2</v>
      </c>
      <c r="F183">
        <v>0.6</v>
      </c>
      <c r="G183">
        <v>0.6</v>
      </c>
      <c r="H183">
        <v>130</v>
      </c>
      <c r="I183">
        <v>5</v>
      </c>
      <c r="J183">
        <v>0</v>
      </c>
      <c r="K183">
        <v>44.4</v>
      </c>
      <c r="L183" t="s">
        <v>115</v>
      </c>
      <c r="M183" t="s">
        <v>116</v>
      </c>
    </row>
    <row r="184" spans="2:13" x14ac:dyDescent="0.2">
      <c r="B184">
        <v>3007</v>
      </c>
      <c r="C184">
        <v>4</v>
      </c>
      <c r="D184">
        <v>18.100000000000001</v>
      </c>
      <c r="E184">
        <v>0.3</v>
      </c>
      <c r="F184">
        <v>0.6</v>
      </c>
      <c r="G184">
        <v>0.7</v>
      </c>
      <c r="H184">
        <v>195</v>
      </c>
      <c r="I184">
        <v>14</v>
      </c>
      <c r="J184">
        <v>0</v>
      </c>
      <c r="K184">
        <v>94.2</v>
      </c>
      <c r="L184" t="s">
        <v>128</v>
      </c>
      <c r="M184" t="s">
        <v>116</v>
      </c>
    </row>
    <row r="185" spans="2:13" x14ac:dyDescent="0.2">
      <c r="B185">
        <v>3007</v>
      </c>
      <c r="C185">
        <v>4</v>
      </c>
      <c r="D185">
        <v>18.5</v>
      </c>
      <c r="E185">
        <v>0.31</v>
      </c>
      <c r="F185">
        <v>0.7</v>
      </c>
      <c r="G185">
        <v>0.7</v>
      </c>
      <c r="H185">
        <v>201</v>
      </c>
      <c r="I185">
        <v>14</v>
      </c>
      <c r="J185">
        <v>1</v>
      </c>
      <c r="K185">
        <v>81.8</v>
      </c>
      <c r="L185" t="s">
        <v>117</v>
      </c>
      <c r="M185" t="s">
        <v>118</v>
      </c>
    </row>
    <row r="186" spans="2:13" x14ac:dyDescent="0.2">
      <c r="B186">
        <v>3007</v>
      </c>
      <c r="C186">
        <v>5</v>
      </c>
      <c r="D186">
        <v>0</v>
      </c>
      <c r="E186">
        <v>0</v>
      </c>
      <c r="F186">
        <v>0.6</v>
      </c>
      <c r="G186">
        <v>0.6</v>
      </c>
      <c r="H186">
        <v>0</v>
      </c>
      <c r="I186">
        <v>0</v>
      </c>
      <c r="J186">
        <v>0</v>
      </c>
      <c r="K186">
        <v>50</v>
      </c>
      <c r="L186" t="s">
        <v>113</v>
      </c>
      <c r="M186" t="s">
        <v>114</v>
      </c>
    </row>
    <row r="187" spans="2:13" x14ac:dyDescent="0.2">
      <c r="B187">
        <v>3007</v>
      </c>
      <c r="C187">
        <v>5</v>
      </c>
      <c r="D187">
        <v>6</v>
      </c>
      <c r="E187">
        <v>0.1</v>
      </c>
      <c r="F187">
        <v>0.6</v>
      </c>
      <c r="G187">
        <v>0.6</v>
      </c>
      <c r="H187">
        <v>65</v>
      </c>
      <c r="I187">
        <v>0</v>
      </c>
      <c r="J187">
        <v>0</v>
      </c>
      <c r="K187">
        <v>95</v>
      </c>
      <c r="L187" t="s">
        <v>115</v>
      </c>
      <c r="M187" t="s">
        <v>116</v>
      </c>
    </row>
    <row r="188" spans="2:13" x14ac:dyDescent="0.2">
      <c r="B188">
        <v>3007</v>
      </c>
      <c r="C188">
        <v>5</v>
      </c>
      <c r="D188">
        <v>12.1</v>
      </c>
      <c r="E188">
        <v>0.2</v>
      </c>
      <c r="F188">
        <v>0.6</v>
      </c>
      <c r="G188">
        <v>0.7</v>
      </c>
      <c r="H188">
        <v>130</v>
      </c>
      <c r="I188">
        <v>5</v>
      </c>
      <c r="J188">
        <v>0</v>
      </c>
      <c r="K188">
        <v>94.8</v>
      </c>
      <c r="L188" t="s">
        <v>128</v>
      </c>
      <c r="M188" t="s">
        <v>116</v>
      </c>
    </row>
    <row r="189" spans="2:13" x14ac:dyDescent="0.2">
      <c r="B189">
        <v>3008</v>
      </c>
      <c r="C189">
        <v>1</v>
      </c>
      <c r="D189">
        <v>0</v>
      </c>
      <c r="E189">
        <v>0</v>
      </c>
      <c r="F189">
        <v>0.6</v>
      </c>
      <c r="G189">
        <v>0.6</v>
      </c>
      <c r="H189">
        <v>0</v>
      </c>
      <c r="I189">
        <v>0</v>
      </c>
      <c r="J189">
        <v>0</v>
      </c>
      <c r="K189">
        <v>50</v>
      </c>
      <c r="L189" t="s">
        <v>113</v>
      </c>
      <c r="M189" t="s">
        <v>114</v>
      </c>
    </row>
    <row r="190" spans="2:13" x14ac:dyDescent="0.2">
      <c r="B190">
        <v>3008</v>
      </c>
      <c r="C190">
        <v>1</v>
      </c>
      <c r="D190">
        <v>6</v>
      </c>
      <c r="E190">
        <v>0.1</v>
      </c>
      <c r="F190">
        <v>0.6</v>
      </c>
      <c r="G190">
        <v>0.6</v>
      </c>
      <c r="H190">
        <v>65</v>
      </c>
      <c r="I190">
        <v>0</v>
      </c>
      <c r="J190">
        <v>0</v>
      </c>
      <c r="K190">
        <v>41.7</v>
      </c>
      <c r="L190" t="s">
        <v>115</v>
      </c>
      <c r="M190" t="s">
        <v>116</v>
      </c>
    </row>
    <row r="191" spans="2:13" x14ac:dyDescent="0.2">
      <c r="B191">
        <v>3008</v>
      </c>
      <c r="C191">
        <v>1</v>
      </c>
      <c r="D191">
        <v>12.1</v>
      </c>
      <c r="E191">
        <v>0.2</v>
      </c>
      <c r="F191">
        <v>0.6</v>
      </c>
      <c r="G191">
        <v>0.7</v>
      </c>
      <c r="H191">
        <v>130</v>
      </c>
      <c r="I191">
        <v>5</v>
      </c>
      <c r="J191">
        <v>0</v>
      </c>
      <c r="K191">
        <v>91.9</v>
      </c>
      <c r="L191" t="s">
        <v>128</v>
      </c>
      <c r="M191" t="s">
        <v>116</v>
      </c>
    </row>
    <row r="192" spans="2:13" x14ac:dyDescent="0.2">
      <c r="B192">
        <v>3008</v>
      </c>
      <c r="C192">
        <v>1</v>
      </c>
      <c r="D192">
        <v>15.5</v>
      </c>
      <c r="E192">
        <v>0.26</v>
      </c>
      <c r="F192">
        <v>0.7</v>
      </c>
      <c r="G192">
        <v>0.7</v>
      </c>
      <c r="H192">
        <v>173</v>
      </c>
      <c r="I192">
        <v>10</v>
      </c>
      <c r="J192">
        <v>1</v>
      </c>
      <c r="K192">
        <v>82.7</v>
      </c>
      <c r="L192" t="s">
        <v>117</v>
      </c>
      <c r="M192" t="s">
        <v>118</v>
      </c>
    </row>
    <row r="193" spans="2:13" x14ac:dyDescent="0.2">
      <c r="B193">
        <v>3008</v>
      </c>
      <c r="C193">
        <v>2</v>
      </c>
      <c r="D193">
        <v>0</v>
      </c>
      <c r="E193">
        <v>0</v>
      </c>
      <c r="F193">
        <v>0.6</v>
      </c>
      <c r="G193">
        <v>0.6</v>
      </c>
      <c r="H193">
        <v>0</v>
      </c>
      <c r="I193">
        <v>0</v>
      </c>
      <c r="J193">
        <v>0</v>
      </c>
      <c r="K193">
        <v>50</v>
      </c>
      <c r="L193" t="s">
        <v>113</v>
      </c>
      <c r="M193" t="s">
        <v>114</v>
      </c>
    </row>
    <row r="194" spans="2:13" x14ac:dyDescent="0.2">
      <c r="B194">
        <v>3008</v>
      </c>
      <c r="C194">
        <v>2</v>
      </c>
      <c r="D194">
        <v>6</v>
      </c>
      <c r="E194">
        <v>0.1</v>
      </c>
      <c r="F194">
        <v>0.6</v>
      </c>
      <c r="G194">
        <v>0.6</v>
      </c>
      <c r="H194">
        <v>65</v>
      </c>
      <c r="I194">
        <v>1</v>
      </c>
      <c r="J194">
        <v>0</v>
      </c>
      <c r="K194">
        <v>92.6</v>
      </c>
      <c r="L194" t="s">
        <v>115</v>
      </c>
      <c r="M194" t="s">
        <v>116</v>
      </c>
    </row>
    <row r="195" spans="2:13" x14ac:dyDescent="0.2">
      <c r="B195">
        <v>3008</v>
      </c>
      <c r="C195">
        <v>2</v>
      </c>
      <c r="D195">
        <v>7.2</v>
      </c>
      <c r="E195">
        <v>0.12</v>
      </c>
      <c r="F195">
        <v>0.6</v>
      </c>
      <c r="G195">
        <v>0.6</v>
      </c>
      <c r="H195">
        <v>78</v>
      </c>
      <c r="I195">
        <v>2</v>
      </c>
      <c r="J195">
        <v>1</v>
      </c>
      <c r="K195">
        <v>76.7</v>
      </c>
      <c r="L195" t="s">
        <v>117</v>
      </c>
      <c r="M195" t="s">
        <v>118</v>
      </c>
    </row>
    <row r="196" spans="2:13" x14ac:dyDescent="0.2">
      <c r="B196">
        <v>3008</v>
      </c>
      <c r="C196">
        <v>2</v>
      </c>
      <c r="D196">
        <v>12.1</v>
      </c>
      <c r="E196">
        <v>0.2</v>
      </c>
      <c r="F196">
        <v>0.6</v>
      </c>
      <c r="G196">
        <v>0.6</v>
      </c>
      <c r="H196">
        <v>130</v>
      </c>
      <c r="I196">
        <v>8</v>
      </c>
      <c r="J196">
        <v>1</v>
      </c>
      <c r="K196">
        <v>76.099999999999994</v>
      </c>
      <c r="L196" t="s">
        <v>121</v>
      </c>
      <c r="M196" t="s">
        <v>116</v>
      </c>
    </row>
    <row r="197" spans="2:13" x14ac:dyDescent="0.2">
      <c r="B197">
        <v>3008</v>
      </c>
      <c r="C197">
        <v>2</v>
      </c>
      <c r="D197">
        <v>18.100000000000001</v>
      </c>
      <c r="E197">
        <v>0.3</v>
      </c>
      <c r="F197">
        <v>0.6</v>
      </c>
      <c r="G197">
        <v>0.7</v>
      </c>
      <c r="H197">
        <v>195</v>
      </c>
      <c r="I197">
        <v>11</v>
      </c>
      <c r="J197">
        <v>1</v>
      </c>
      <c r="K197">
        <v>82.5</v>
      </c>
      <c r="L197" t="s">
        <v>128</v>
      </c>
      <c r="M197" t="s">
        <v>116</v>
      </c>
    </row>
    <row r="198" spans="2:13" x14ac:dyDescent="0.2">
      <c r="B198">
        <v>3008</v>
      </c>
      <c r="C198">
        <v>3</v>
      </c>
      <c r="D198">
        <v>0</v>
      </c>
      <c r="E198">
        <v>0</v>
      </c>
      <c r="F198">
        <v>0.6</v>
      </c>
      <c r="G198">
        <v>0.6</v>
      </c>
      <c r="H198">
        <v>0</v>
      </c>
      <c r="I198">
        <v>0</v>
      </c>
      <c r="J198">
        <v>0</v>
      </c>
      <c r="K198">
        <v>50</v>
      </c>
      <c r="L198" t="s">
        <v>113</v>
      </c>
      <c r="M198" t="s">
        <v>114</v>
      </c>
    </row>
    <row r="199" spans="2:13" x14ac:dyDescent="0.2">
      <c r="B199">
        <v>3008</v>
      </c>
      <c r="C199">
        <v>3</v>
      </c>
      <c r="D199">
        <v>6</v>
      </c>
      <c r="E199">
        <v>0.1</v>
      </c>
      <c r="F199">
        <v>0.6</v>
      </c>
      <c r="G199">
        <v>0.6</v>
      </c>
      <c r="H199">
        <v>65</v>
      </c>
      <c r="I199">
        <v>1</v>
      </c>
      <c r="J199">
        <v>0</v>
      </c>
      <c r="K199">
        <v>43.4</v>
      </c>
      <c r="L199" t="s">
        <v>115</v>
      </c>
      <c r="M199" t="s">
        <v>116</v>
      </c>
    </row>
    <row r="200" spans="2:13" x14ac:dyDescent="0.2">
      <c r="B200">
        <v>3008</v>
      </c>
      <c r="C200">
        <v>3</v>
      </c>
      <c r="D200">
        <v>12.1</v>
      </c>
      <c r="E200">
        <v>0.2</v>
      </c>
      <c r="F200">
        <v>0.6</v>
      </c>
      <c r="G200">
        <v>0.7</v>
      </c>
      <c r="H200">
        <v>130</v>
      </c>
      <c r="I200">
        <v>13</v>
      </c>
      <c r="J200">
        <v>0</v>
      </c>
      <c r="K200">
        <v>94</v>
      </c>
      <c r="L200" t="s">
        <v>128</v>
      </c>
      <c r="M200" t="s">
        <v>116</v>
      </c>
    </row>
    <row r="201" spans="2:13" x14ac:dyDescent="0.2">
      <c r="B201">
        <v>3008</v>
      </c>
      <c r="C201">
        <v>3</v>
      </c>
      <c r="D201">
        <v>16.399999999999999</v>
      </c>
      <c r="E201">
        <v>0.27</v>
      </c>
      <c r="F201">
        <v>0.7</v>
      </c>
      <c r="G201">
        <v>0.7</v>
      </c>
      <c r="H201">
        <v>185</v>
      </c>
      <c r="I201">
        <v>14</v>
      </c>
      <c r="J201">
        <v>1</v>
      </c>
      <c r="K201">
        <v>81.099999999999994</v>
      </c>
      <c r="L201" t="s">
        <v>117</v>
      </c>
      <c r="M201" t="s">
        <v>118</v>
      </c>
    </row>
    <row r="202" spans="2:13" x14ac:dyDescent="0.2">
      <c r="B202">
        <v>3008</v>
      </c>
      <c r="C202">
        <v>4</v>
      </c>
      <c r="D202">
        <v>0</v>
      </c>
      <c r="E202">
        <v>0</v>
      </c>
      <c r="F202">
        <v>0.6</v>
      </c>
      <c r="G202">
        <v>0.6</v>
      </c>
      <c r="H202">
        <v>0</v>
      </c>
      <c r="I202">
        <v>0</v>
      </c>
      <c r="J202">
        <v>0</v>
      </c>
      <c r="K202">
        <v>50</v>
      </c>
      <c r="L202" t="s">
        <v>113</v>
      </c>
      <c r="M202" t="s">
        <v>114</v>
      </c>
    </row>
    <row r="203" spans="2:13" x14ac:dyDescent="0.2">
      <c r="B203">
        <v>3008</v>
      </c>
      <c r="C203">
        <v>4</v>
      </c>
      <c r="D203">
        <v>6</v>
      </c>
      <c r="E203">
        <v>0.1</v>
      </c>
      <c r="F203">
        <v>0.6</v>
      </c>
      <c r="G203">
        <v>0.6</v>
      </c>
      <c r="H203">
        <v>65</v>
      </c>
      <c r="I203">
        <v>0</v>
      </c>
      <c r="J203">
        <v>0</v>
      </c>
      <c r="K203">
        <v>45.9</v>
      </c>
      <c r="L203" t="s">
        <v>115</v>
      </c>
      <c r="M203" t="s">
        <v>116</v>
      </c>
    </row>
    <row r="204" spans="2:13" x14ac:dyDescent="0.2">
      <c r="B204">
        <v>3008</v>
      </c>
      <c r="C204">
        <v>4</v>
      </c>
      <c r="D204">
        <v>12.1</v>
      </c>
      <c r="E204">
        <v>0.2</v>
      </c>
      <c r="F204">
        <v>0.6</v>
      </c>
      <c r="G204">
        <v>0.6</v>
      </c>
      <c r="H204">
        <v>130</v>
      </c>
      <c r="I204">
        <v>5</v>
      </c>
      <c r="J204">
        <v>0</v>
      </c>
      <c r="K204">
        <v>44.6</v>
      </c>
      <c r="L204" t="s">
        <v>115</v>
      </c>
      <c r="M204" t="s">
        <v>116</v>
      </c>
    </row>
    <row r="205" spans="2:13" x14ac:dyDescent="0.2">
      <c r="B205">
        <v>3008</v>
      </c>
      <c r="C205">
        <v>4</v>
      </c>
      <c r="D205">
        <v>15.5</v>
      </c>
      <c r="E205">
        <v>0.26</v>
      </c>
      <c r="F205">
        <v>0.6</v>
      </c>
      <c r="G205">
        <v>0.6</v>
      </c>
      <c r="H205">
        <v>167</v>
      </c>
      <c r="I205">
        <v>9</v>
      </c>
      <c r="J205">
        <v>1</v>
      </c>
      <c r="K205">
        <v>70</v>
      </c>
      <c r="L205" t="s">
        <v>122</v>
      </c>
      <c r="M205" t="s">
        <v>118</v>
      </c>
    </row>
    <row r="206" spans="2:13" x14ac:dyDescent="0.2">
      <c r="B206">
        <v>3008</v>
      </c>
      <c r="C206">
        <v>4</v>
      </c>
      <c r="D206">
        <v>18.100000000000001</v>
      </c>
      <c r="E206">
        <v>0.3</v>
      </c>
      <c r="F206">
        <v>0.6</v>
      </c>
      <c r="G206">
        <v>0.6</v>
      </c>
      <c r="H206">
        <v>195</v>
      </c>
      <c r="I206">
        <v>11</v>
      </c>
      <c r="J206">
        <v>1</v>
      </c>
      <c r="K206">
        <v>69.7</v>
      </c>
      <c r="L206" t="s">
        <v>121</v>
      </c>
      <c r="M206" t="s">
        <v>116</v>
      </c>
    </row>
    <row r="207" spans="2:13" x14ac:dyDescent="0.2">
      <c r="B207">
        <v>3008</v>
      </c>
      <c r="C207">
        <v>5</v>
      </c>
      <c r="D207">
        <v>0</v>
      </c>
      <c r="E207">
        <v>0</v>
      </c>
      <c r="F207">
        <v>0.6</v>
      </c>
      <c r="G207">
        <v>0.6</v>
      </c>
      <c r="H207">
        <v>0</v>
      </c>
      <c r="I207">
        <v>0</v>
      </c>
      <c r="J207">
        <v>0</v>
      </c>
      <c r="K207">
        <v>50</v>
      </c>
      <c r="L207" t="s">
        <v>113</v>
      </c>
      <c r="M207" t="s">
        <v>114</v>
      </c>
    </row>
    <row r="208" spans="2:13" x14ac:dyDescent="0.2">
      <c r="B208">
        <v>3008</v>
      </c>
      <c r="C208">
        <v>5</v>
      </c>
      <c r="D208">
        <v>6</v>
      </c>
      <c r="E208">
        <v>0.1</v>
      </c>
      <c r="F208">
        <v>0.6</v>
      </c>
      <c r="G208">
        <v>0.6</v>
      </c>
      <c r="H208">
        <v>65</v>
      </c>
      <c r="I208">
        <v>0</v>
      </c>
      <c r="J208">
        <v>0</v>
      </c>
      <c r="K208">
        <v>41.7</v>
      </c>
      <c r="L208" t="s">
        <v>115</v>
      </c>
      <c r="M208" t="s">
        <v>116</v>
      </c>
    </row>
    <row r="209" spans="2:13" x14ac:dyDescent="0.2">
      <c r="B209">
        <v>3008</v>
      </c>
      <c r="C209">
        <v>5</v>
      </c>
      <c r="D209">
        <v>12.1</v>
      </c>
      <c r="E209">
        <v>0.2</v>
      </c>
      <c r="F209">
        <v>0.6</v>
      </c>
      <c r="G209">
        <v>0.6</v>
      </c>
      <c r="H209">
        <v>130</v>
      </c>
      <c r="I209">
        <v>3</v>
      </c>
      <c r="J209">
        <v>0</v>
      </c>
      <c r="K209">
        <v>42.9</v>
      </c>
      <c r="L209" t="s">
        <v>115</v>
      </c>
      <c r="M209" t="s">
        <v>116</v>
      </c>
    </row>
    <row r="210" spans="2:13" x14ac:dyDescent="0.2">
      <c r="B210">
        <v>3008</v>
      </c>
      <c r="C210">
        <v>5</v>
      </c>
      <c r="D210">
        <v>18.100000000000001</v>
      </c>
      <c r="E210">
        <v>0.3</v>
      </c>
      <c r="F210">
        <v>0.6</v>
      </c>
      <c r="G210">
        <v>0.7</v>
      </c>
      <c r="H210">
        <v>195</v>
      </c>
      <c r="I210">
        <v>8</v>
      </c>
      <c r="J210">
        <v>0</v>
      </c>
      <c r="K210">
        <v>94</v>
      </c>
      <c r="L210" t="s">
        <v>128</v>
      </c>
      <c r="M210" t="s">
        <v>116</v>
      </c>
    </row>
    <row r="211" spans="2:13" x14ac:dyDescent="0.2">
      <c r="B211">
        <v>3009</v>
      </c>
      <c r="C211">
        <v>1</v>
      </c>
      <c r="D211">
        <v>0</v>
      </c>
      <c r="E211">
        <v>0</v>
      </c>
      <c r="F211">
        <v>0.6</v>
      </c>
      <c r="G211">
        <v>0.6</v>
      </c>
      <c r="H211">
        <v>0</v>
      </c>
      <c r="I211">
        <v>0</v>
      </c>
      <c r="J211">
        <v>0</v>
      </c>
      <c r="K211">
        <v>50</v>
      </c>
      <c r="L211" t="s">
        <v>113</v>
      </c>
      <c r="M211" t="s">
        <v>114</v>
      </c>
    </row>
    <row r="212" spans="2:13" x14ac:dyDescent="0.2">
      <c r="B212">
        <v>3009</v>
      </c>
      <c r="C212">
        <v>1</v>
      </c>
      <c r="D212">
        <v>6</v>
      </c>
      <c r="E212">
        <v>0.1</v>
      </c>
      <c r="F212">
        <v>0.6</v>
      </c>
      <c r="G212">
        <v>0.6</v>
      </c>
      <c r="H212">
        <v>65</v>
      </c>
      <c r="I212">
        <v>0</v>
      </c>
      <c r="J212">
        <v>0</v>
      </c>
      <c r="K212">
        <v>41.3</v>
      </c>
      <c r="L212" t="s">
        <v>115</v>
      </c>
      <c r="M212" t="s">
        <v>116</v>
      </c>
    </row>
    <row r="213" spans="2:13" x14ac:dyDescent="0.2">
      <c r="B213">
        <v>3009</v>
      </c>
      <c r="C213">
        <v>1</v>
      </c>
      <c r="D213">
        <v>6.3</v>
      </c>
      <c r="E213">
        <v>0.1</v>
      </c>
      <c r="F213">
        <v>0.6</v>
      </c>
      <c r="G213">
        <v>0.6</v>
      </c>
      <c r="H213">
        <v>68</v>
      </c>
      <c r="I213">
        <v>0</v>
      </c>
      <c r="J213">
        <v>1</v>
      </c>
      <c r="K213">
        <v>41.7</v>
      </c>
      <c r="L213" t="s">
        <v>129</v>
      </c>
      <c r="M213" t="s">
        <v>118</v>
      </c>
    </row>
    <row r="214" spans="2:13" x14ac:dyDescent="0.2">
      <c r="B214">
        <v>3009</v>
      </c>
      <c r="C214">
        <v>1</v>
      </c>
      <c r="D214">
        <v>12.1</v>
      </c>
      <c r="E214">
        <v>0.2</v>
      </c>
      <c r="F214">
        <v>0.6</v>
      </c>
      <c r="G214">
        <v>0.6</v>
      </c>
      <c r="H214">
        <v>130</v>
      </c>
      <c r="I214">
        <v>3</v>
      </c>
      <c r="J214">
        <v>1</v>
      </c>
      <c r="K214">
        <v>75.400000000000006</v>
      </c>
      <c r="L214" t="s">
        <v>124</v>
      </c>
      <c r="M214" t="s">
        <v>116</v>
      </c>
    </row>
    <row r="215" spans="2:13" x14ac:dyDescent="0.2">
      <c r="B215">
        <v>3009</v>
      </c>
      <c r="C215">
        <v>1</v>
      </c>
      <c r="D215">
        <v>18.100000000000001</v>
      </c>
      <c r="E215">
        <v>0.3</v>
      </c>
      <c r="F215">
        <v>0.6</v>
      </c>
      <c r="G215">
        <v>0.6</v>
      </c>
      <c r="H215">
        <v>195</v>
      </c>
      <c r="I215">
        <v>7</v>
      </c>
      <c r="J215">
        <v>1</v>
      </c>
      <c r="K215">
        <v>79.900000000000006</v>
      </c>
      <c r="L215" t="s">
        <v>115</v>
      </c>
      <c r="M215" t="s">
        <v>116</v>
      </c>
    </row>
    <row r="216" spans="2:13" x14ac:dyDescent="0.2">
      <c r="B216">
        <v>3009</v>
      </c>
      <c r="C216">
        <v>2</v>
      </c>
      <c r="D216">
        <v>0</v>
      </c>
      <c r="E216">
        <v>0</v>
      </c>
      <c r="F216">
        <v>0.6</v>
      </c>
      <c r="G216">
        <v>0.6</v>
      </c>
      <c r="H216">
        <v>0</v>
      </c>
      <c r="I216">
        <v>0</v>
      </c>
      <c r="J216">
        <v>0</v>
      </c>
      <c r="K216">
        <v>50</v>
      </c>
      <c r="L216" t="s">
        <v>113</v>
      </c>
      <c r="M216" t="s">
        <v>114</v>
      </c>
    </row>
    <row r="217" spans="2:13" x14ac:dyDescent="0.2">
      <c r="B217">
        <v>3009</v>
      </c>
      <c r="C217">
        <v>2</v>
      </c>
      <c r="D217">
        <v>6</v>
      </c>
      <c r="E217">
        <v>0.1</v>
      </c>
      <c r="F217">
        <v>0.6</v>
      </c>
      <c r="G217">
        <v>0.6</v>
      </c>
      <c r="H217">
        <v>65</v>
      </c>
      <c r="I217">
        <v>0</v>
      </c>
      <c r="J217">
        <v>0</v>
      </c>
      <c r="K217">
        <v>41.3</v>
      </c>
      <c r="L217" t="s">
        <v>115</v>
      </c>
      <c r="M217" t="s">
        <v>116</v>
      </c>
    </row>
    <row r="218" spans="2:13" x14ac:dyDescent="0.2">
      <c r="B218">
        <v>3009</v>
      </c>
      <c r="C218">
        <v>2</v>
      </c>
      <c r="D218">
        <v>12.1</v>
      </c>
      <c r="E218">
        <v>0.2</v>
      </c>
      <c r="F218">
        <v>0.6</v>
      </c>
      <c r="G218">
        <v>0.7</v>
      </c>
      <c r="H218">
        <v>130</v>
      </c>
      <c r="I218">
        <v>4</v>
      </c>
      <c r="J218">
        <v>0</v>
      </c>
      <c r="K218">
        <v>90.7</v>
      </c>
      <c r="L218" t="s">
        <v>128</v>
      </c>
      <c r="M218" t="s">
        <v>116</v>
      </c>
    </row>
    <row r="219" spans="2:13" x14ac:dyDescent="0.2">
      <c r="B219">
        <v>3009</v>
      </c>
      <c r="C219">
        <v>2</v>
      </c>
      <c r="D219">
        <v>13.6</v>
      </c>
      <c r="E219">
        <v>0.23</v>
      </c>
      <c r="F219">
        <v>0.7</v>
      </c>
      <c r="G219">
        <v>0.7</v>
      </c>
      <c r="H219">
        <v>150</v>
      </c>
      <c r="I219">
        <v>4</v>
      </c>
      <c r="J219">
        <v>1</v>
      </c>
      <c r="K219">
        <v>79.900000000000006</v>
      </c>
      <c r="L219" t="s">
        <v>122</v>
      </c>
      <c r="M219" t="s">
        <v>118</v>
      </c>
    </row>
    <row r="220" spans="2:13" x14ac:dyDescent="0.2">
      <c r="B220">
        <v>3009</v>
      </c>
      <c r="C220">
        <v>2</v>
      </c>
      <c r="D220">
        <v>14.3</v>
      </c>
      <c r="E220">
        <v>0.24</v>
      </c>
      <c r="F220">
        <v>0.7</v>
      </c>
      <c r="G220">
        <v>0.7</v>
      </c>
      <c r="H220">
        <v>158</v>
      </c>
      <c r="I220">
        <v>4</v>
      </c>
      <c r="J220">
        <v>2</v>
      </c>
      <c r="K220">
        <v>72.8</v>
      </c>
      <c r="L220" t="s">
        <v>119</v>
      </c>
      <c r="M220" t="s">
        <v>118</v>
      </c>
    </row>
    <row r="221" spans="2:13" x14ac:dyDescent="0.2">
      <c r="B221">
        <v>3009</v>
      </c>
      <c r="C221">
        <v>3</v>
      </c>
      <c r="D221">
        <v>0</v>
      </c>
      <c r="E221">
        <v>0</v>
      </c>
      <c r="F221">
        <v>0.6</v>
      </c>
      <c r="G221">
        <v>0.6</v>
      </c>
      <c r="H221">
        <v>0</v>
      </c>
      <c r="I221">
        <v>0</v>
      </c>
      <c r="J221">
        <v>0</v>
      </c>
      <c r="K221">
        <v>50</v>
      </c>
      <c r="L221" t="s">
        <v>113</v>
      </c>
      <c r="M221" t="s">
        <v>114</v>
      </c>
    </row>
    <row r="222" spans="2:13" x14ac:dyDescent="0.2">
      <c r="B222">
        <v>3009</v>
      </c>
      <c r="C222">
        <v>3</v>
      </c>
      <c r="D222">
        <v>6</v>
      </c>
      <c r="E222">
        <v>0.1</v>
      </c>
      <c r="F222">
        <v>0.6</v>
      </c>
      <c r="G222">
        <v>0.6</v>
      </c>
      <c r="H222">
        <v>65</v>
      </c>
      <c r="I222">
        <v>0</v>
      </c>
      <c r="J222">
        <v>0</v>
      </c>
      <c r="K222">
        <v>45</v>
      </c>
      <c r="L222" t="s">
        <v>115</v>
      </c>
      <c r="M222" t="s">
        <v>116</v>
      </c>
    </row>
    <row r="223" spans="2:13" x14ac:dyDescent="0.2">
      <c r="B223">
        <v>3009</v>
      </c>
      <c r="C223">
        <v>3</v>
      </c>
      <c r="D223">
        <v>12.1</v>
      </c>
      <c r="E223">
        <v>0.2</v>
      </c>
      <c r="F223">
        <v>0.6</v>
      </c>
      <c r="G223">
        <v>0.6</v>
      </c>
      <c r="H223">
        <v>130</v>
      </c>
      <c r="I223">
        <v>6</v>
      </c>
      <c r="J223">
        <v>0</v>
      </c>
      <c r="K223">
        <v>44.4</v>
      </c>
      <c r="L223" t="s">
        <v>115</v>
      </c>
      <c r="M223" t="s">
        <v>116</v>
      </c>
    </row>
    <row r="224" spans="2:13" x14ac:dyDescent="0.2">
      <c r="B224">
        <v>3009</v>
      </c>
      <c r="C224">
        <v>3</v>
      </c>
      <c r="D224">
        <v>18.100000000000001</v>
      </c>
      <c r="E224">
        <v>0.3</v>
      </c>
      <c r="F224">
        <v>0.6</v>
      </c>
      <c r="G224">
        <v>0.6</v>
      </c>
      <c r="H224">
        <v>195</v>
      </c>
      <c r="I224">
        <v>11</v>
      </c>
      <c r="J224">
        <v>0</v>
      </c>
      <c r="K224">
        <v>94.9</v>
      </c>
      <c r="L224" t="s">
        <v>115</v>
      </c>
      <c r="M224" t="s">
        <v>116</v>
      </c>
    </row>
    <row r="225" spans="2:13" x14ac:dyDescent="0.2">
      <c r="B225">
        <v>3009</v>
      </c>
      <c r="C225">
        <v>4</v>
      </c>
      <c r="D225">
        <v>0</v>
      </c>
      <c r="E225">
        <v>0</v>
      </c>
      <c r="F225">
        <v>0.6</v>
      </c>
      <c r="G225">
        <v>0.6</v>
      </c>
      <c r="H225">
        <v>0</v>
      </c>
      <c r="I225">
        <v>0</v>
      </c>
      <c r="J225">
        <v>0</v>
      </c>
      <c r="K225">
        <v>50</v>
      </c>
      <c r="L225" t="s">
        <v>113</v>
      </c>
      <c r="M225" t="s">
        <v>114</v>
      </c>
    </row>
    <row r="226" spans="2:13" x14ac:dyDescent="0.2">
      <c r="B226">
        <v>3009</v>
      </c>
      <c r="C226">
        <v>4</v>
      </c>
      <c r="D226">
        <v>6</v>
      </c>
      <c r="E226">
        <v>0.1</v>
      </c>
      <c r="F226">
        <v>0.6</v>
      </c>
      <c r="G226">
        <v>0.6</v>
      </c>
      <c r="H226">
        <v>65</v>
      </c>
      <c r="I226">
        <v>0</v>
      </c>
      <c r="J226">
        <v>0</v>
      </c>
      <c r="K226">
        <v>43.8</v>
      </c>
      <c r="L226" t="s">
        <v>115</v>
      </c>
      <c r="M226" t="s">
        <v>116</v>
      </c>
    </row>
    <row r="227" spans="2:13" x14ac:dyDescent="0.2">
      <c r="B227">
        <v>3009</v>
      </c>
      <c r="C227">
        <v>4</v>
      </c>
      <c r="D227">
        <v>12.1</v>
      </c>
      <c r="E227">
        <v>0.2</v>
      </c>
      <c r="F227">
        <v>0.6</v>
      </c>
      <c r="G227">
        <v>0.6</v>
      </c>
      <c r="H227">
        <v>130</v>
      </c>
      <c r="I227">
        <v>5</v>
      </c>
      <c r="J227">
        <v>0</v>
      </c>
      <c r="K227">
        <v>44</v>
      </c>
      <c r="L227" t="s">
        <v>115</v>
      </c>
      <c r="M227" t="s">
        <v>116</v>
      </c>
    </row>
    <row r="228" spans="2:13" x14ac:dyDescent="0.2">
      <c r="B228">
        <v>3009</v>
      </c>
      <c r="C228">
        <v>4</v>
      </c>
      <c r="D228">
        <v>14.3</v>
      </c>
      <c r="E228">
        <v>0.24</v>
      </c>
      <c r="F228">
        <v>0.6</v>
      </c>
      <c r="G228">
        <v>0.6</v>
      </c>
      <c r="H228">
        <v>154</v>
      </c>
      <c r="I228">
        <v>8</v>
      </c>
      <c r="J228">
        <v>1</v>
      </c>
      <c r="K228">
        <v>68.2</v>
      </c>
      <c r="L228" t="s">
        <v>122</v>
      </c>
      <c r="M228" t="s">
        <v>118</v>
      </c>
    </row>
    <row r="229" spans="2:13" x14ac:dyDescent="0.2">
      <c r="B229">
        <v>3009</v>
      </c>
      <c r="C229">
        <v>4</v>
      </c>
      <c r="D229">
        <v>18.100000000000001</v>
      </c>
      <c r="E229">
        <v>0.3</v>
      </c>
      <c r="F229">
        <v>0.6</v>
      </c>
      <c r="G229">
        <v>0.6</v>
      </c>
      <c r="H229">
        <v>195</v>
      </c>
      <c r="I229">
        <v>8</v>
      </c>
      <c r="J229">
        <v>1</v>
      </c>
      <c r="K229">
        <v>80.3</v>
      </c>
      <c r="L229" t="s">
        <v>136</v>
      </c>
      <c r="M229" t="s">
        <v>116</v>
      </c>
    </row>
    <row r="230" spans="2:13" x14ac:dyDescent="0.2">
      <c r="B230">
        <v>3009</v>
      </c>
      <c r="C230">
        <v>5</v>
      </c>
      <c r="D230">
        <v>0</v>
      </c>
      <c r="E230">
        <v>0</v>
      </c>
      <c r="F230">
        <v>0.6</v>
      </c>
      <c r="G230">
        <v>0.6</v>
      </c>
      <c r="H230">
        <v>0</v>
      </c>
      <c r="I230">
        <v>0</v>
      </c>
      <c r="J230">
        <v>0</v>
      </c>
      <c r="K230">
        <v>50</v>
      </c>
      <c r="L230" t="s">
        <v>113</v>
      </c>
      <c r="M230" t="s">
        <v>114</v>
      </c>
    </row>
    <row r="231" spans="2:13" x14ac:dyDescent="0.2">
      <c r="B231">
        <v>3009</v>
      </c>
      <c r="C231">
        <v>5</v>
      </c>
      <c r="D231">
        <v>5.8</v>
      </c>
      <c r="E231">
        <v>0.1</v>
      </c>
      <c r="F231">
        <v>0.6</v>
      </c>
      <c r="G231">
        <v>0.6</v>
      </c>
      <c r="H231">
        <v>63</v>
      </c>
      <c r="I231">
        <v>2</v>
      </c>
      <c r="J231">
        <v>1</v>
      </c>
      <c r="K231">
        <v>43.5</v>
      </c>
      <c r="L231" t="s">
        <v>117</v>
      </c>
      <c r="M231" t="s">
        <v>118</v>
      </c>
    </row>
    <row r="232" spans="2:13" x14ac:dyDescent="0.2">
      <c r="B232">
        <v>3009</v>
      </c>
      <c r="C232">
        <v>5</v>
      </c>
      <c r="D232">
        <v>6</v>
      </c>
      <c r="E232">
        <v>0.1</v>
      </c>
      <c r="F232">
        <v>0.6</v>
      </c>
      <c r="G232">
        <v>0.6</v>
      </c>
      <c r="H232">
        <v>65</v>
      </c>
      <c r="I232">
        <v>2</v>
      </c>
      <c r="J232">
        <v>1</v>
      </c>
      <c r="K232">
        <v>43.4</v>
      </c>
      <c r="L232" t="s">
        <v>132</v>
      </c>
      <c r="M232" t="s">
        <v>116</v>
      </c>
    </row>
    <row r="233" spans="2:13" x14ac:dyDescent="0.2">
      <c r="B233">
        <v>3009</v>
      </c>
      <c r="C233">
        <v>5</v>
      </c>
      <c r="D233">
        <v>11</v>
      </c>
      <c r="E233">
        <v>0.18</v>
      </c>
      <c r="F233">
        <v>0.6</v>
      </c>
      <c r="G233">
        <v>0.6</v>
      </c>
      <c r="H233">
        <v>119</v>
      </c>
      <c r="I233">
        <v>4</v>
      </c>
      <c r="J233">
        <v>2</v>
      </c>
      <c r="K233">
        <v>42.3</v>
      </c>
      <c r="L233" t="s">
        <v>119</v>
      </c>
      <c r="M233" t="s">
        <v>118</v>
      </c>
    </row>
    <row r="234" spans="2:13" x14ac:dyDescent="0.2">
      <c r="B234">
        <v>3009</v>
      </c>
      <c r="C234">
        <v>5</v>
      </c>
      <c r="D234">
        <v>12.1</v>
      </c>
      <c r="E234">
        <v>0.2</v>
      </c>
      <c r="F234">
        <v>0.6</v>
      </c>
      <c r="G234">
        <v>0.6</v>
      </c>
      <c r="H234">
        <v>130</v>
      </c>
      <c r="I234">
        <v>4</v>
      </c>
      <c r="J234">
        <v>2</v>
      </c>
      <c r="K234">
        <v>42.5</v>
      </c>
      <c r="L234" t="s">
        <v>132</v>
      </c>
      <c r="M234" t="s">
        <v>116</v>
      </c>
    </row>
    <row r="235" spans="2:13" x14ac:dyDescent="0.2">
      <c r="B235">
        <v>3009</v>
      </c>
      <c r="C235">
        <v>5</v>
      </c>
      <c r="D235">
        <v>18.100000000000001</v>
      </c>
      <c r="E235">
        <v>0.3</v>
      </c>
      <c r="F235">
        <v>0.6</v>
      </c>
      <c r="G235">
        <v>0.6</v>
      </c>
      <c r="H235">
        <v>195</v>
      </c>
      <c r="I235">
        <v>9</v>
      </c>
      <c r="J235">
        <v>2</v>
      </c>
      <c r="K235">
        <v>58.8</v>
      </c>
      <c r="L235" t="s">
        <v>115</v>
      </c>
      <c r="M235" t="s">
        <v>116</v>
      </c>
    </row>
    <row r="236" spans="2:13" x14ac:dyDescent="0.2">
      <c r="B236">
        <v>3010</v>
      </c>
      <c r="C236">
        <v>1</v>
      </c>
      <c r="D236">
        <v>0</v>
      </c>
      <c r="E236">
        <v>0</v>
      </c>
      <c r="F236">
        <v>0.6</v>
      </c>
      <c r="G236">
        <v>0.6</v>
      </c>
      <c r="H236">
        <v>0</v>
      </c>
      <c r="I236">
        <v>0</v>
      </c>
      <c r="J236">
        <v>0</v>
      </c>
      <c r="K236">
        <v>50</v>
      </c>
      <c r="L236" t="s">
        <v>113</v>
      </c>
      <c r="M236" t="s">
        <v>114</v>
      </c>
    </row>
    <row r="237" spans="2:13" x14ac:dyDescent="0.2">
      <c r="B237">
        <v>3010</v>
      </c>
      <c r="C237">
        <v>1</v>
      </c>
      <c r="D237">
        <v>6</v>
      </c>
      <c r="E237">
        <v>0.1</v>
      </c>
      <c r="F237">
        <v>0.6</v>
      </c>
      <c r="G237">
        <v>0.6</v>
      </c>
      <c r="H237">
        <v>65</v>
      </c>
      <c r="I237">
        <v>0</v>
      </c>
      <c r="J237">
        <v>0</v>
      </c>
      <c r="K237">
        <v>44.2</v>
      </c>
      <c r="L237" t="s">
        <v>115</v>
      </c>
      <c r="M237" t="s">
        <v>116</v>
      </c>
    </row>
    <row r="238" spans="2:13" x14ac:dyDescent="0.2">
      <c r="B238">
        <v>3010</v>
      </c>
      <c r="C238">
        <v>1</v>
      </c>
      <c r="D238">
        <v>8.1999999999999993</v>
      </c>
      <c r="E238">
        <v>0.14000000000000001</v>
      </c>
      <c r="F238">
        <v>0.6</v>
      </c>
      <c r="G238">
        <v>0.6</v>
      </c>
      <c r="H238">
        <v>89</v>
      </c>
      <c r="I238">
        <v>3</v>
      </c>
      <c r="J238">
        <v>1</v>
      </c>
      <c r="K238">
        <v>43.9</v>
      </c>
      <c r="L238" t="s">
        <v>117</v>
      </c>
      <c r="M238" t="s">
        <v>118</v>
      </c>
    </row>
    <row r="239" spans="2:13" x14ac:dyDescent="0.2">
      <c r="B239">
        <v>3010</v>
      </c>
      <c r="C239">
        <v>1</v>
      </c>
      <c r="D239">
        <v>12.1</v>
      </c>
      <c r="E239">
        <v>0.2</v>
      </c>
      <c r="F239">
        <v>0.6</v>
      </c>
      <c r="G239">
        <v>0.6</v>
      </c>
      <c r="H239">
        <v>130</v>
      </c>
      <c r="I239">
        <v>6</v>
      </c>
      <c r="J239">
        <v>1</v>
      </c>
      <c r="K239">
        <v>43.6</v>
      </c>
      <c r="L239" t="s">
        <v>132</v>
      </c>
      <c r="M239" t="s">
        <v>116</v>
      </c>
    </row>
    <row r="240" spans="2:13" x14ac:dyDescent="0.2">
      <c r="B240">
        <v>3010</v>
      </c>
      <c r="C240">
        <v>1</v>
      </c>
      <c r="D240">
        <v>18.100000000000001</v>
      </c>
      <c r="E240">
        <v>0.3</v>
      </c>
      <c r="F240">
        <v>0.6</v>
      </c>
      <c r="G240">
        <v>0.6</v>
      </c>
      <c r="H240">
        <v>195</v>
      </c>
      <c r="I240">
        <v>8</v>
      </c>
      <c r="J240">
        <v>1</v>
      </c>
      <c r="K240">
        <v>42.7</v>
      </c>
      <c r="L240" t="s">
        <v>115</v>
      </c>
      <c r="M240" t="s">
        <v>116</v>
      </c>
    </row>
    <row r="241" spans="2:13" x14ac:dyDescent="0.2">
      <c r="B241">
        <v>3010</v>
      </c>
      <c r="C241">
        <v>2</v>
      </c>
      <c r="D241">
        <v>0</v>
      </c>
      <c r="E241">
        <v>0</v>
      </c>
      <c r="F241">
        <v>0.6</v>
      </c>
      <c r="G241">
        <v>0.6</v>
      </c>
      <c r="H241">
        <v>0</v>
      </c>
      <c r="I241">
        <v>0</v>
      </c>
      <c r="J241">
        <v>0</v>
      </c>
      <c r="K241">
        <v>50</v>
      </c>
      <c r="L241" t="s">
        <v>113</v>
      </c>
      <c r="M241" t="s">
        <v>114</v>
      </c>
    </row>
    <row r="242" spans="2:13" x14ac:dyDescent="0.2">
      <c r="B242">
        <v>3010</v>
      </c>
      <c r="C242">
        <v>2</v>
      </c>
      <c r="D242">
        <v>6</v>
      </c>
      <c r="E242">
        <v>0.1</v>
      </c>
      <c r="F242">
        <v>0.6</v>
      </c>
      <c r="G242">
        <v>0.6</v>
      </c>
      <c r="H242">
        <v>65</v>
      </c>
      <c r="I242">
        <v>2</v>
      </c>
      <c r="J242">
        <v>0</v>
      </c>
      <c r="K242">
        <v>43.8</v>
      </c>
      <c r="L242" t="s">
        <v>115</v>
      </c>
      <c r="M242" t="s">
        <v>116</v>
      </c>
    </row>
    <row r="243" spans="2:13" x14ac:dyDescent="0.2">
      <c r="B243">
        <v>3010</v>
      </c>
      <c r="C243">
        <v>2</v>
      </c>
      <c r="D243">
        <v>10.1</v>
      </c>
      <c r="E243">
        <v>0.17</v>
      </c>
      <c r="F243">
        <v>0.6</v>
      </c>
      <c r="G243">
        <v>0.6</v>
      </c>
      <c r="H243">
        <v>109</v>
      </c>
      <c r="I243">
        <v>2</v>
      </c>
      <c r="J243">
        <v>1</v>
      </c>
      <c r="K243">
        <v>68.8</v>
      </c>
      <c r="L243" t="s">
        <v>122</v>
      </c>
      <c r="M243" t="s">
        <v>118</v>
      </c>
    </row>
    <row r="244" spans="2:13" x14ac:dyDescent="0.2">
      <c r="B244">
        <v>3010</v>
      </c>
      <c r="C244">
        <v>2</v>
      </c>
      <c r="D244">
        <v>12.1</v>
      </c>
      <c r="E244">
        <v>0.2</v>
      </c>
      <c r="F244">
        <v>0.6</v>
      </c>
      <c r="G244">
        <v>0.6</v>
      </c>
      <c r="H244">
        <v>130</v>
      </c>
      <c r="I244">
        <v>2</v>
      </c>
      <c r="J244">
        <v>1</v>
      </c>
      <c r="K244">
        <v>75.7</v>
      </c>
      <c r="L244" t="s">
        <v>124</v>
      </c>
      <c r="M244" t="s">
        <v>116</v>
      </c>
    </row>
    <row r="245" spans="2:13" x14ac:dyDescent="0.2">
      <c r="B245">
        <v>3010</v>
      </c>
      <c r="C245">
        <v>2</v>
      </c>
      <c r="D245">
        <v>18.100000000000001</v>
      </c>
      <c r="E245">
        <v>0.3</v>
      </c>
      <c r="F245">
        <v>0.6</v>
      </c>
      <c r="G245">
        <v>0.7</v>
      </c>
      <c r="H245">
        <v>195</v>
      </c>
      <c r="I245">
        <v>4</v>
      </c>
      <c r="J245">
        <v>1</v>
      </c>
      <c r="K245">
        <v>81.400000000000006</v>
      </c>
      <c r="L245" t="s">
        <v>128</v>
      </c>
      <c r="M245" t="s">
        <v>116</v>
      </c>
    </row>
    <row r="246" spans="2:13" x14ac:dyDescent="0.2">
      <c r="B246">
        <v>3010</v>
      </c>
      <c r="C246">
        <v>3</v>
      </c>
      <c r="D246">
        <v>0</v>
      </c>
      <c r="E246">
        <v>0</v>
      </c>
      <c r="F246">
        <v>0.6</v>
      </c>
      <c r="G246">
        <v>0.6</v>
      </c>
      <c r="H246">
        <v>0</v>
      </c>
      <c r="I246">
        <v>0</v>
      </c>
      <c r="J246">
        <v>0</v>
      </c>
      <c r="K246">
        <v>50</v>
      </c>
      <c r="L246" t="s">
        <v>113</v>
      </c>
      <c r="M246" t="s">
        <v>114</v>
      </c>
    </row>
    <row r="247" spans="2:13" x14ac:dyDescent="0.2">
      <c r="B247">
        <v>3010</v>
      </c>
      <c r="C247">
        <v>3</v>
      </c>
      <c r="D247">
        <v>6</v>
      </c>
      <c r="E247">
        <v>0.1</v>
      </c>
      <c r="F247">
        <v>0.6</v>
      </c>
      <c r="G247">
        <v>0.6</v>
      </c>
      <c r="H247">
        <v>65</v>
      </c>
      <c r="I247">
        <v>1</v>
      </c>
      <c r="J247">
        <v>0</v>
      </c>
      <c r="K247">
        <v>43.4</v>
      </c>
      <c r="L247" t="s">
        <v>115</v>
      </c>
      <c r="M247" t="s">
        <v>116</v>
      </c>
    </row>
    <row r="248" spans="2:13" x14ac:dyDescent="0.2">
      <c r="B248">
        <v>3010</v>
      </c>
      <c r="C248">
        <v>3</v>
      </c>
      <c r="D248">
        <v>10.6</v>
      </c>
      <c r="E248">
        <v>0.18</v>
      </c>
      <c r="F248">
        <v>0.6</v>
      </c>
      <c r="G248">
        <v>0.6</v>
      </c>
      <c r="H248">
        <v>114</v>
      </c>
      <c r="I248">
        <v>3</v>
      </c>
      <c r="J248">
        <v>1</v>
      </c>
      <c r="K248">
        <v>42</v>
      </c>
      <c r="L248" t="s">
        <v>122</v>
      </c>
      <c r="M248" t="s">
        <v>118</v>
      </c>
    </row>
    <row r="249" spans="2:13" x14ac:dyDescent="0.2">
      <c r="B249">
        <v>3010</v>
      </c>
      <c r="C249">
        <v>3</v>
      </c>
      <c r="D249">
        <v>12.1</v>
      </c>
      <c r="E249">
        <v>0.2</v>
      </c>
      <c r="F249">
        <v>0.6</v>
      </c>
      <c r="G249">
        <v>0.6</v>
      </c>
      <c r="H249">
        <v>130</v>
      </c>
      <c r="I249">
        <v>4</v>
      </c>
      <c r="J249">
        <v>1</v>
      </c>
      <c r="K249">
        <v>42.5</v>
      </c>
      <c r="L249" t="s">
        <v>132</v>
      </c>
      <c r="M249" t="s">
        <v>116</v>
      </c>
    </row>
    <row r="250" spans="2:13" x14ac:dyDescent="0.2">
      <c r="B250">
        <v>3010</v>
      </c>
      <c r="C250">
        <v>3</v>
      </c>
      <c r="D250">
        <v>18.100000000000001</v>
      </c>
      <c r="E250">
        <v>0.3</v>
      </c>
      <c r="F250">
        <v>0.6</v>
      </c>
      <c r="G250">
        <v>0.6</v>
      </c>
      <c r="H250">
        <v>195</v>
      </c>
      <c r="I250">
        <v>9</v>
      </c>
      <c r="J250">
        <v>1</v>
      </c>
      <c r="K250">
        <v>42.5</v>
      </c>
      <c r="L250" t="s">
        <v>115</v>
      </c>
      <c r="M250" t="s">
        <v>116</v>
      </c>
    </row>
    <row r="251" spans="2:13" x14ac:dyDescent="0.2">
      <c r="B251">
        <v>3010</v>
      </c>
      <c r="C251">
        <v>4</v>
      </c>
      <c r="D251">
        <v>0</v>
      </c>
      <c r="E251">
        <v>0</v>
      </c>
      <c r="F251">
        <v>0.6</v>
      </c>
      <c r="G251">
        <v>0.6</v>
      </c>
      <c r="H251">
        <v>0</v>
      </c>
      <c r="I251">
        <v>0</v>
      </c>
      <c r="J251">
        <v>0</v>
      </c>
      <c r="K251">
        <v>50</v>
      </c>
      <c r="L251" t="s">
        <v>113</v>
      </c>
      <c r="M251" t="s">
        <v>114</v>
      </c>
    </row>
    <row r="252" spans="2:13" x14ac:dyDescent="0.2">
      <c r="B252">
        <v>3010</v>
      </c>
      <c r="C252">
        <v>4</v>
      </c>
      <c r="D252">
        <v>6</v>
      </c>
      <c r="E252">
        <v>0.1</v>
      </c>
      <c r="F252">
        <v>0.6</v>
      </c>
      <c r="G252">
        <v>0.6</v>
      </c>
      <c r="H252">
        <v>65</v>
      </c>
      <c r="I252">
        <v>0</v>
      </c>
      <c r="J252">
        <v>0</v>
      </c>
      <c r="K252">
        <v>43.8</v>
      </c>
      <c r="L252" t="s">
        <v>115</v>
      </c>
      <c r="M252" t="s">
        <v>116</v>
      </c>
    </row>
    <row r="253" spans="2:13" x14ac:dyDescent="0.2">
      <c r="B253">
        <v>3010</v>
      </c>
      <c r="C253">
        <v>4</v>
      </c>
      <c r="D253">
        <v>12.1</v>
      </c>
      <c r="E253">
        <v>0.2</v>
      </c>
      <c r="F253">
        <v>0.6</v>
      </c>
      <c r="G253">
        <v>0.7</v>
      </c>
      <c r="H253">
        <v>130</v>
      </c>
      <c r="I253">
        <v>3</v>
      </c>
      <c r="J253">
        <v>0</v>
      </c>
      <c r="K253">
        <v>94</v>
      </c>
      <c r="L253" t="s">
        <v>128</v>
      </c>
      <c r="M253" t="s">
        <v>116</v>
      </c>
    </row>
    <row r="254" spans="2:13" x14ac:dyDescent="0.2">
      <c r="B254">
        <v>3010</v>
      </c>
      <c r="C254">
        <v>5</v>
      </c>
      <c r="D254">
        <v>0</v>
      </c>
      <c r="E254">
        <v>0</v>
      </c>
      <c r="F254">
        <v>0.6</v>
      </c>
      <c r="G254">
        <v>0.6</v>
      </c>
      <c r="H254">
        <v>0</v>
      </c>
      <c r="I254">
        <v>0</v>
      </c>
      <c r="J254">
        <v>0</v>
      </c>
      <c r="K254">
        <v>50</v>
      </c>
      <c r="L254" t="s">
        <v>113</v>
      </c>
      <c r="M254" t="s">
        <v>114</v>
      </c>
    </row>
    <row r="255" spans="2:13" x14ac:dyDescent="0.2">
      <c r="B255">
        <v>3010</v>
      </c>
      <c r="C255">
        <v>5</v>
      </c>
      <c r="D255">
        <v>6</v>
      </c>
      <c r="E255">
        <v>0.1</v>
      </c>
      <c r="F255">
        <v>0.6</v>
      </c>
      <c r="G255">
        <v>0.6</v>
      </c>
      <c r="H255">
        <v>65</v>
      </c>
      <c r="I255">
        <v>0</v>
      </c>
      <c r="J255">
        <v>0</v>
      </c>
      <c r="K255">
        <v>45.5</v>
      </c>
      <c r="L255" t="s">
        <v>115</v>
      </c>
      <c r="M255" t="s">
        <v>116</v>
      </c>
    </row>
    <row r="256" spans="2:13" x14ac:dyDescent="0.2">
      <c r="B256">
        <v>3010</v>
      </c>
      <c r="C256">
        <v>5</v>
      </c>
      <c r="D256">
        <v>11.1</v>
      </c>
      <c r="E256">
        <v>0.19</v>
      </c>
      <c r="F256">
        <v>0.6</v>
      </c>
      <c r="G256">
        <v>0.6</v>
      </c>
      <c r="H256">
        <v>120</v>
      </c>
      <c r="I256">
        <v>8</v>
      </c>
      <c r="J256">
        <v>1</v>
      </c>
      <c r="K256">
        <v>83.7</v>
      </c>
      <c r="L256" t="s">
        <v>137</v>
      </c>
      <c r="M256" t="s">
        <v>118</v>
      </c>
    </row>
    <row r="257" spans="2:13" x14ac:dyDescent="0.2">
      <c r="B257">
        <v>3010</v>
      </c>
      <c r="C257">
        <v>5</v>
      </c>
      <c r="D257">
        <v>12.1</v>
      </c>
      <c r="E257">
        <v>0.2</v>
      </c>
      <c r="F257">
        <v>0.6</v>
      </c>
      <c r="G257">
        <v>0.6</v>
      </c>
      <c r="H257">
        <v>130</v>
      </c>
      <c r="I257">
        <v>9</v>
      </c>
      <c r="J257">
        <v>1</v>
      </c>
      <c r="K257">
        <v>83.8</v>
      </c>
      <c r="L257" t="s">
        <v>138</v>
      </c>
      <c r="M257" t="s">
        <v>116</v>
      </c>
    </row>
    <row r="258" spans="2:13" x14ac:dyDescent="0.2">
      <c r="B258">
        <v>3010</v>
      </c>
      <c r="C258">
        <v>5</v>
      </c>
      <c r="D258">
        <v>18.100000000000001</v>
      </c>
      <c r="E258">
        <v>0.3</v>
      </c>
      <c r="F258">
        <v>0.6</v>
      </c>
      <c r="G258">
        <v>0.7</v>
      </c>
      <c r="H258">
        <v>195</v>
      </c>
      <c r="I258">
        <v>14</v>
      </c>
      <c r="J258">
        <v>1</v>
      </c>
      <c r="K258">
        <v>85.9</v>
      </c>
      <c r="L258" t="s">
        <v>128</v>
      </c>
      <c r="M258" t="s">
        <v>116</v>
      </c>
    </row>
    <row r="259" spans="2:13" x14ac:dyDescent="0.2">
      <c r="B259">
        <v>3011</v>
      </c>
      <c r="C259">
        <v>1</v>
      </c>
      <c r="D259">
        <v>0</v>
      </c>
      <c r="E259">
        <v>0</v>
      </c>
      <c r="F259">
        <v>0.6</v>
      </c>
      <c r="G259">
        <v>0.6</v>
      </c>
      <c r="H259">
        <v>0</v>
      </c>
      <c r="I259">
        <v>0</v>
      </c>
      <c r="J259">
        <v>0</v>
      </c>
      <c r="K259">
        <v>50</v>
      </c>
      <c r="L259" t="s">
        <v>113</v>
      </c>
      <c r="M259" t="s">
        <v>114</v>
      </c>
    </row>
    <row r="260" spans="2:13" x14ac:dyDescent="0.2">
      <c r="B260">
        <v>3011</v>
      </c>
      <c r="C260">
        <v>1</v>
      </c>
      <c r="D260">
        <v>5.8</v>
      </c>
      <c r="E260">
        <v>0.1</v>
      </c>
      <c r="F260">
        <v>0.6</v>
      </c>
      <c r="G260">
        <v>0.6</v>
      </c>
      <c r="H260">
        <v>63</v>
      </c>
      <c r="I260">
        <v>0</v>
      </c>
      <c r="J260">
        <v>1</v>
      </c>
      <c r="K260">
        <v>42.2</v>
      </c>
      <c r="L260" t="s">
        <v>122</v>
      </c>
      <c r="M260" t="s">
        <v>118</v>
      </c>
    </row>
    <row r="261" spans="2:13" x14ac:dyDescent="0.2">
      <c r="B261">
        <v>3011</v>
      </c>
      <c r="C261">
        <v>1</v>
      </c>
      <c r="D261">
        <v>6</v>
      </c>
      <c r="E261">
        <v>0.1</v>
      </c>
      <c r="F261">
        <v>0.6</v>
      </c>
      <c r="G261">
        <v>0.6</v>
      </c>
      <c r="H261">
        <v>65</v>
      </c>
      <c r="I261">
        <v>0</v>
      </c>
      <c r="J261">
        <v>1</v>
      </c>
      <c r="K261">
        <v>42.6</v>
      </c>
      <c r="L261" t="s">
        <v>132</v>
      </c>
      <c r="M261" t="s">
        <v>116</v>
      </c>
    </row>
    <row r="262" spans="2:13" x14ac:dyDescent="0.2">
      <c r="B262">
        <v>3011</v>
      </c>
      <c r="C262">
        <v>1</v>
      </c>
      <c r="D262">
        <v>10.1</v>
      </c>
      <c r="E262">
        <v>0.17</v>
      </c>
      <c r="F262">
        <v>0.6</v>
      </c>
      <c r="G262">
        <v>0.6</v>
      </c>
      <c r="H262">
        <v>109</v>
      </c>
      <c r="I262">
        <v>2</v>
      </c>
      <c r="J262">
        <v>2</v>
      </c>
      <c r="K262">
        <v>41.6</v>
      </c>
      <c r="L262" t="s">
        <v>127</v>
      </c>
      <c r="M262" t="s">
        <v>118</v>
      </c>
    </row>
    <row r="263" spans="2:13" x14ac:dyDescent="0.2">
      <c r="B263">
        <v>3011</v>
      </c>
      <c r="C263">
        <v>1</v>
      </c>
      <c r="D263">
        <v>12.1</v>
      </c>
      <c r="E263">
        <v>0.2</v>
      </c>
      <c r="F263">
        <v>0.6</v>
      </c>
      <c r="G263">
        <v>0.6</v>
      </c>
      <c r="H263">
        <v>130</v>
      </c>
      <c r="I263">
        <v>2</v>
      </c>
      <c r="J263">
        <v>2</v>
      </c>
      <c r="K263">
        <v>41.9</v>
      </c>
      <c r="L263" t="s">
        <v>132</v>
      </c>
      <c r="M263" t="s">
        <v>116</v>
      </c>
    </row>
    <row r="264" spans="2:13" x14ac:dyDescent="0.2">
      <c r="B264">
        <v>3011</v>
      </c>
      <c r="C264">
        <v>1</v>
      </c>
      <c r="D264">
        <v>18.100000000000001</v>
      </c>
      <c r="E264">
        <v>0.3</v>
      </c>
      <c r="F264">
        <v>0.6</v>
      </c>
      <c r="G264">
        <v>0.6</v>
      </c>
      <c r="H264">
        <v>195</v>
      </c>
      <c r="I264">
        <v>9</v>
      </c>
      <c r="J264">
        <v>2</v>
      </c>
      <c r="K264">
        <v>42.1</v>
      </c>
      <c r="L264" t="s">
        <v>115</v>
      </c>
      <c r="M264" t="s">
        <v>116</v>
      </c>
    </row>
    <row r="265" spans="2:13" x14ac:dyDescent="0.2">
      <c r="B265">
        <v>3011</v>
      </c>
      <c r="C265">
        <v>2</v>
      </c>
      <c r="D265">
        <v>0</v>
      </c>
      <c r="E265">
        <v>0</v>
      </c>
      <c r="F265">
        <v>0.6</v>
      </c>
      <c r="G265">
        <v>0.6</v>
      </c>
      <c r="H265">
        <v>0</v>
      </c>
      <c r="I265">
        <v>0</v>
      </c>
      <c r="J265">
        <v>0</v>
      </c>
      <c r="K265">
        <v>50</v>
      </c>
      <c r="L265" t="s">
        <v>113</v>
      </c>
      <c r="M265" t="s">
        <v>114</v>
      </c>
    </row>
    <row r="266" spans="2:13" x14ac:dyDescent="0.2">
      <c r="B266">
        <v>3011</v>
      </c>
      <c r="C266">
        <v>2</v>
      </c>
      <c r="D266">
        <v>6</v>
      </c>
      <c r="E266">
        <v>0.1</v>
      </c>
      <c r="F266">
        <v>0.6</v>
      </c>
      <c r="G266">
        <v>0.6</v>
      </c>
      <c r="H266">
        <v>65</v>
      </c>
      <c r="I266">
        <v>0</v>
      </c>
      <c r="J266">
        <v>0</v>
      </c>
      <c r="K266">
        <v>40.5</v>
      </c>
      <c r="L266" t="s">
        <v>115</v>
      </c>
      <c r="M266" t="s">
        <v>116</v>
      </c>
    </row>
    <row r="267" spans="2:13" x14ac:dyDescent="0.2">
      <c r="B267">
        <v>3011</v>
      </c>
      <c r="C267">
        <v>2</v>
      </c>
      <c r="D267">
        <v>8.5</v>
      </c>
      <c r="E267">
        <v>0.14000000000000001</v>
      </c>
      <c r="F267">
        <v>0.6</v>
      </c>
      <c r="G267">
        <v>0.6</v>
      </c>
      <c r="H267">
        <v>92</v>
      </c>
      <c r="I267">
        <v>2</v>
      </c>
      <c r="J267">
        <v>1</v>
      </c>
      <c r="K267">
        <v>40.299999999999997</v>
      </c>
      <c r="L267" t="s">
        <v>117</v>
      </c>
      <c r="M267" t="s">
        <v>118</v>
      </c>
    </row>
    <row r="268" spans="2:13" x14ac:dyDescent="0.2">
      <c r="B268">
        <v>3011</v>
      </c>
      <c r="C268">
        <v>2</v>
      </c>
      <c r="D268">
        <v>12.1</v>
      </c>
      <c r="E268">
        <v>0.2</v>
      </c>
      <c r="F268">
        <v>0.6</v>
      </c>
      <c r="G268">
        <v>0.6</v>
      </c>
      <c r="H268">
        <v>130</v>
      </c>
      <c r="I268">
        <v>3</v>
      </c>
      <c r="J268">
        <v>1</v>
      </c>
      <c r="K268">
        <v>67.099999999999994</v>
      </c>
      <c r="L268" t="s">
        <v>121</v>
      </c>
      <c r="M268" t="s">
        <v>116</v>
      </c>
    </row>
    <row r="269" spans="2:13" x14ac:dyDescent="0.2">
      <c r="B269">
        <v>3011</v>
      </c>
      <c r="C269">
        <v>2</v>
      </c>
      <c r="D269">
        <v>16.8</v>
      </c>
      <c r="E269">
        <v>0.28000000000000003</v>
      </c>
      <c r="F269">
        <v>0.6</v>
      </c>
      <c r="G269">
        <v>0.6</v>
      </c>
      <c r="H269">
        <v>181</v>
      </c>
      <c r="I269">
        <v>5</v>
      </c>
      <c r="J269">
        <v>2</v>
      </c>
      <c r="K269">
        <v>74.5</v>
      </c>
      <c r="L269" t="s">
        <v>119</v>
      </c>
      <c r="M269" t="s">
        <v>118</v>
      </c>
    </row>
    <row r="270" spans="2:13" x14ac:dyDescent="0.2">
      <c r="B270">
        <v>3011</v>
      </c>
      <c r="C270">
        <v>2</v>
      </c>
      <c r="D270">
        <v>18.100000000000001</v>
      </c>
      <c r="E270">
        <v>0.3</v>
      </c>
      <c r="F270">
        <v>0.6</v>
      </c>
      <c r="G270">
        <v>0.6</v>
      </c>
      <c r="H270">
        <v>195</v>
      </c>
      <c r="I270">
        <v>6</v>
      </c>
      <c r="J270">
        <v>2</v>
      </c>
      <c r="K270">
        <v>74.2</v>
      </c>
      <c r="L270" t="s">
        <v>136</v>
      </c>
      <c r="M270" t="s">
        <v>116</v>
      </c>
    </row>
    <row r="271" spans="2:13" x14ac:dyDescent="0.2">
      <c r="B271">
        <v>3011</v>
      </c>
      <c r="C271">
        <v>2</v>
      </c>
      <c r="D271">
        <v>18.3</v>
      </c>
      <c r="E271">
        <v>0.31</v>
      </c>
      <c r="F271">
        <v>0.6</v>
      </c>
      <c r="G271">
        <v>0.6</v>
      </c>
      <c r="H271">
        <v>198</v>
      </c>
      <c r="I271">
        <v>6</v>
      </c>
      <c r="J271">
        <v>3</v>
      </c>
      <c r="K271">
        <v>69.400000000000006</v>
      </c>
      <c r="L271" t="s">
        <v>125</v>
      </c>
      <c r="M271" t="s">
        <v>118</v>
      </c>
    </row>
    <row r="272" spans="2:13" x14ac:dyDescent="0.2">
      <c r="B272">
        <v>3011</v>
      </c>
      <c r="C272">
        <v>3</v>
      </c>
      <c r="D272">
        <v>0</v>
      </c>
      <c r="E272">
        <v>0</v>
      </c>
      <c r="F272">
        <v>0.6</v>
      </c>
      <c r="G272">
        <v>0.6</v>
      </c>
      <c r="H272">
        <v>0</v>
      </c>
      <c r="I272">
        <v>0</v>
      </c>
      <c r="J272">
        <v>0</v>
      </c>
      <c r="K272">
        <v>50</v>
      </c>
      <c r="L272" t="s">
        <v>113</v>
      </c>
      <c r="M272" t="s">
        <v>114</v>
      </c>
    </row>
    <row r="273" spans="2:13" x14ac:dyDescent="0.2">
      <c r="B273">
        <v>3011</v>
      </c>
      <c r="C273">
        <v>3</v>
      </c>
      <c r="D273">
        <v>5.9</v>
      </c>
      <c r="E273">
        <v>0.1</v>
      </c>
      <c r="F273">
        <v>0.6</v>
      </c>
      <c r="G273">
        <v>0.6</v>
      </c>
      <c r="H273">
        <v>64</v>
      </c>
      <c r="I273">
        <v>1</v>
      </c>
      <c r="J273">
        <v>1</v>
      </c>
      <c r="K273">
        <v>40.700000000000003</v>
      </c>
      <c r="L273" t="s">
        <v>117</v>
      </c>
      <c r="M273" t="s">
        <v>118</v>
      </c>
    </row>
    <row r="274" spans="2:13" x14ac:dyDescent="0.2">
      <c r="B274">
        <v>3011</v>
      </c>
      <c r="C274">
        <v>3</v>
      </c>
      <c r="D274">
        <v>6</v>
      </c>
      <c r="E274">
        <v>0.1</v>
      </c>
      <c r="F274">
        <v>0.6</v>
      </c>
      <c r="G274">
        <v>0.6</v>
      </c>
      <c r="H274">
        <v>65</v>
      </c>
      <c r="I274">
        <v>1</v>
      </c>
      <c r="J274">
        <v>1</v>
      </c>
      <c r="K274">
        <v>40.9</v>
      </c>
      <c r="L274" t="s">
        <v>132</v>
      </c>
      <c r="M274" t="s">
        <v>116</v>
      </c>
    </row>
    <row r="275" spans="2:13" x14ac:dyDescent="0.2">
      <c r="B275">
        <v>3011</v>
      </c>
      <c r="C275">
        <v>3</v>
      </c>
      <c r="D275">
        <v>12.1</v>
      </c>
      <c r="E275">
        <v>0.2</v>
      </c>
      <c r="F275">
        <v>0.6</v>
      </c>
      <c r="G275">
        <v>0.6</v>
      </c>
      <c r="H275">
        <v>130</v>
      </c>
      <c r="I275">
        <v>6</v>
      </c>
      <c r="J275">
        <v>1</v>
      </c>
      <c r="K275">
        <v>65.900000000000006</v>
      </c>
      <c r="L275" t="s">
        <v>115</v>
      </c>
      <c r="M275" t="s">
        <v>116</v>
      </c>
    </row>
    <row r="276" spans="2:13" x14ac:dyDescent="0.2">
      <c r="B276">
        <v>3011</v>
      </c>
      <c r="C276">
        <v>3</v>
      </c>
      <c r="D276">
        <v>12.9</v>
      </c>
      <c r="E276">
        <v>0.22</v>
      </c>
      <c r="F276">
        <v>0.6</v>
      </c>
      <c r="G276">
        <v>0.6</v>
      </c>
      <c r="H276">
        <v>139</v>
      </c>
      <c r="I276">
        <v>6</v>
      </c>
      <c r="J276">
        <v>2</v>
      </c>
      <c r="K276">
        <v>57.8</v>
      </c>
      <c r="L276" t="s">
        <v>139</v>
      </c>
      <c r="M276" t="s">
        <v>118</v>
      </c>
    </row>
    <row r="277" spans="2:13" x14ac:dyDescent="0.2">
      <c r="B277">
        <v>3011</v>
      </c>
      <c r="C277">
        <v>3</v>
      </c>
      <c r="D277">
        <v>18.100000000000001</v>
      </c>
      <c r="E277">
        <v>0.3</v>
      </c>
      <c r="F277">
        <v>0.6</v>
      </c>
      <c r="G277">
        <v>0.6</v>
      </c>
      <c r="H277">
        <v>195</v>
      </c>
      <c r="I277">
        <v>15</v>
      </c>
      <c r="J277">
        <v>2</v>
      </c>
      <c r="K277">
        <v>75.3</v>
      </c>
      <c r="L277" t="s">
        <v>136</v>
      </c>
      <c r="M277" t="s">
        <v>116</v>
      </c>
    </row>
    <row r="278" spans="2:13" x14ac:dyDescent="0.2">
      <c r="B278">
        <v>3011</v>
      </c>
      <c r="C278">
        <v>4</v>
      </c>
      <c r="D278">
        <v>0</v>
      </c>
      <c r="E278">
        <v>0</v>
      </c>
      <c r="F278">
        <v>0.6</v>
      </c>
      <c r="G278">
        <v>0.6</v>
      </c>
      <c r="H278">
        <v>0</v>
      </c>
      <c r="I278">
        <v>0</v>
      </c>
      <c r="J278">
        <v>0</v>
      </c>
      <c r="K278">
        <v>50</v>
      </c>
      <c r="L278" t="s">
        <v>113</v>
      </c>
      <c r="M278" t="s">
        <v>114</v>
      </c>
    </row>
    <row r="279" spans="2:13" x14ac:dyDescent="0.2">
      <c r="B279">
        <v>3011</v>
      </c>
      <c r="C279">
        <v>4</v>
      </c>
      <c r="D279">
        <v>6</v>
      </c>
      <c r="E279">
        <v>0.1</v>
      </c>
      <c r="F279">
        <v>0.6</v>
      </c>
      <c r="G279">
        <v>0.6</v>
      </c>
      <c r="H279">
        <v>65</v>
      </c>
      <c r="I279">
        <v>1</v>
      </c>
      <c r="J279">
        <v>0</v>
      </c>
      <c r="K279">
        <v>40.9</v>
      </c>
      <c r="L279" t="s">
        <v>115</v>
      </c>
      <c r="M279" t="s">
        <v>116</v>
      </c>
    </row>
    <row r="280" spans="2:13" x14ac:dyDescent="0.2">
      <c r="B280">
        <v>3011</v>
      </c>
      <c r="C280">
        <v>4</v>
      </c>
      <c r="D280">
        <v>12.1</v>
      </c>
      <c r="E280">
        <v>0.2</v>
      </c>
      <c r="F280">
        <v>0.6</v>
      </c>
      <c r="G280">
        <v>0.6</v>
      </c>
      <c r="H280">
        <v>130</v>
      </c>
      <c r="I280">
        <v>3</v>
      </c>
      <c r="J280">
        <v>1</v>
      </c>
      <c r="K280">
        <v>41.3</v>
      </c>
      <c r="L280" t="s">
        <v>122</v>
      </c>
      <c r="M280" t="s">
        <v>118</v>
      </c>
    </row>
    <row r="281" spans="2:13" x14ac:dyDescent="0.2">
      <c r="B281">
        <v>3011</v>
      </c>
      <c r="C281">
        <v>4</v>
      </c>
      <c r="D281">
        <v>12.1</v>
      </c>
      <c r="E281">
        <v>0.2</v>
      </c>
      <c r="F281">
        <v>0.6</v>
      </c>
      <c r="G281">
        <v>0.6</v>
      </c>
      <c r="H281">
        <v>130</v>
      </c>
      <c r="I281">
        <v>3</v>
      </c>
      <c r="J281">
        <v>1</v>
      </c>
      <c r="K281">
        <v>41.3</v>
      </c>
      <c r="L281" t="s">
        <v>132</v>
      </c>
      <c r="M281" t="s">
        <v>116</v>
      </c>
    </row>
    <row r="282" spans="2:13" x14ac:dyDescent="0.2">
      <c r="B282">
        <v>3011</v>
      </c>
      <c r="C282">
        <v>4</v>
      </c>
      <c r="D282">
        <v>18.100000000000001</v>
      </c>
      <c r="E282">
        <v>0.3</v>
      </c>
      <c r="F282">
        <v>0.6</v>
      </c>
      <c r="G282">
        <v>0.7</v>
      </c>
      <c r="H282">
        <v>195</v>
      </c>
      <c r="I282">
        <v>6</v>
      </c>
      <c r="J282">
        <v>1</v>
      </c>
      <c r="K282">
        <v>74.7</v>
      </c>
      <c r="L282" t="s">
        <v>128</v>
      </c>
      <c r="M282" t="s">
        <v>116</v>
      </c>
    </row>
    <row r="283" spans="2:13" x14ac:dyDescent="0.2">
      <c r="B283">
        <v>3011</v>
      </c>
      <c r="C283">
        <v>5</v>
      </c>
      <c r="D283">
        <v>0</v>
      </c>
      <c r="E283">
        <v>0</v>
      </c>
      <c r="F283">
        <v>0.6</v>
      </c>
      <c r="G283">
        <v>0.6</v>
      </c>
      <c r="H283">
        <v>0</v>
      </c>
      <c r="I283">
        <v>0</v>
      </c>
      <c r="J283">
        <v>0</v>
      </c>
      <c r="K283">
        <v>50</v>
      </c>
      <c r="L283" t="s">
        <v>113</v>
      </c>
      <c r="M283" t="s">
        <v>114</v>
      </c>
    </row>
    <row r="284" spans="2:13" x14ac:dyDescent="0.2">
      <c r="B284">
        <v>3011</v>
      </c>
      <c r="C284">
        <v>5</v>
      </c>
      <c r="D284">
        <v>6</v>
      </c>
      <c r="E284">
        <v>0.1</v>
      </c>
      <c r="F284">
        <v>0.6</v>
      </c>
      <c r="G284">
        <v>0.6</v>
      </c>
      <c r="H284">
        <v>65</v>
      </c>
      <c r="I284">
        <v>0</v>
      </c>
      <c r="J284">
        <v>0</v>
      </c>
      <c r="K284">
        <v>44.6</v>
      </c>
      <c r="L284" t="s">
        <v>115</v>
      </c>
      <c r="M284" t="s">
        <v>116</v>
      </c>
    </row>
    <row r="285" spans="2:13" x14ac:dyDescent="0.2">
      <c r="B285">
        <v>3011</v>
      </c>
      <c r="C285">
        <v>5</v>
      </c>
      <c r="D285">
        <v>7.8</v>
      </c>
      <c r="E285">
        <v>0.13</v>
      </c>
      <c r="F285">
        <v>0.6</v>
      </c>
      <c r="G285">
        <v>0.6</v>
      </c>
      <c r="H285">
        <v>85</v>
      </c>
      <c r="I285">
        <v>0</v>
      </c>
      <c r="J285">
        <v>1</v>
      </c>
      <c r="K285">
        <v>45.5</v>
      </c>
      <c r="L285" t="s">
        <v>117</v>
      </c>
      <c r="M285" t="s">
        <v>118</v>
      </c>
    </row>
    <row r="286" spans="2:13" x14ac:dyDescent="0.2">
      <c r="B286">
        <v>3011</v>
      </c>
      <c r="C286">
        <v>5</v>
      </c>
      <c r="D286">
        <v>8.8000000000000007</v>
      </c>
      <c r="E286">
        <v>0.15</v>
      </c>
      <c r="F286">
        <v>0.6</v>
      </c>
      <c r="G286">
        <v>0.6</v>
      </c>
      <c r="H286">
        <v>96</v>
      </c>
      <c r="I286">
        <v>2</v>
      </c>
      <c r="J286">
        <v>2</v>
      </c>
      <c r="K286">
        <v>61.9</v>
      </c>
      <c r="L286" t="s">
        <v>119</v>
      </c>
      <c r="M286" t="s">
        <v>118</v>
      </c>
    </row>
    <row r="287" spans="2:13" x14ac:dyDescent="0.2">
      <c r="B287">
        <v>3011</v>
      </c>
      <c r="C287">
        <v>5</v>
      </c>
      <c r="D287">
        <v>11.4</v>
      </c>
      <c r="E287">
        <v>0.19</v>
      </c>
      <c r="F287">
        <v>0.6</v>
      </c>
      <c r="G287">
        <v>0.6</v>
      </c>
      <c r="H287">
        <v>123</v>
      </c>
      <c r="I287">
        <v>4</v>
      </c>
      <c r="J287">
        <v>3</v>
      </c>
      <c r="K287">
        <v>56.3</v>
      </c>
      <c r="L287" t="s">
        <v>135</v>
      </c>
      <c r="M287" t="s">
        <v>118</v>
      </c>
    </row>
    <row r="288" spans="2:13" x14ac:dyDescent="0.2">
      <c r="B288">
        <v>3011</v>
      </c>
      <c r="C288">
        <v>5</v>
      </c>
      <c r="D288">
        <v>12.1</v>
      </c>
      <c r="E288">
        <v>0.2</v>
      </c>
      <c r="F288">
        <v>0.6</v>
      </c>
      <c r="G288">
        <v>0.45</v>
      </c>
      <c r="H288">
        <v>130</v>
      </c>
      <c r="I288">
        <v>4</v>
      </c>
      <c r="J288">
        <v>3</v>
      </c>
      <c r="K288">
        <v>56.5</v>
      </c>
      <c r="L288" t="s">
        <v>131</v>
      </c>
      <c r="M288" t="s">
        <v>116</v>
      </c>
    </row>
    <row r="289" spans="2:13" x14ac:dyDescent="0.2">
      <c r="B289">
        <v>3011</v>
      </c>
      <c r="C289">
        <v>5</v>
      </c>
      <c r="D289">
        <v>17.600000000000001</v>
      </c>
      <c r="E289">
        <v>0.28999999999999998</v>
      </c>
      <c r="F289">
        <v>0.45</v>
      </c>
      <c r="G289">
        <v>0.45</v>
      </c>
      <c r="H289">
        <v>175</v>
      </c>
      <c r="I289">
        <v>6</v>
      </c>
      <c r="J289">
        <v>4</v>
      </c>
      <c r="K289">
        <v>68.2</v>
      </c>
      <c r="L289" t="s">
        <v>140</v>
      </c>
      <c r="M289" t="s">
        <v>118</v>
      </c>
    </row>
    <row r="290" spans="2:13" x14ac:dyDescent="0.2">
      <c r="B290">
        <v>3011</v>
      </c>
      <c r="C290">
        <v>5</v>
      </c>
      <c r="D290">
        <v>18.100000000000001</v>
      </c>
      <c r="E290">
        <v>0.3</v>
      </c>
      <c r="F290">
        <v>0.45</v>
      </c>
      <c r="G290">
        <v>0.45</v>
      </c>
      <c r="H290">
        <v>179</v>
      </c>
      <c r="I290">
        <v>6</v>
      </c>
      <c r="J290">
        <v>4</v>
      </c>
      <c r="K290">
        <v>68.400000000000006</v>
      </c>
      <c r="L290" t="s">
        <v>136</v>
      </c>
      <c r="M290" t="s">
        <v>116</v>
      </c>
    </row>
    <row r="291" spans="2:13" x14ac:dyDescent="0.2">
      <c r="B291">
        <v>3012</v>
      </c>
      <c r="C291">
        <v>1</v>
      </c>
      <c r="D291">
        <v>0</v>
      </c>
      <c r="E291">
        <v>0</v>
      </c>
      <c r="F291">
        <v>0.6</v>
      </c>
      <c r="G291">
        <v>0.6</v>
      </c>
      <c r="H291">
        <v>0</v>
      </c>
      <c r="I291">
        <v>0</v>
      </c>
      <c r="J291">
        <v>0</v>
      </c>
      <c r="K291">
        <v>50</v>
      </c>
      <c r="L291" t="s">
        <v>113</v>
      </c>
      <c r="M291" t="s">
        <v>114</v>
      </c>
    </row>
    <row r="292" spans="2:13" x14ac:dyDescent="0.2">
      <c r="B292">
        <v>3012</v>
      </c>
      <c r="C292">
        <v>1</v>
      </c>
      <c r="D292">
        <v>6</v>
      </c>
      <c r="E292">
        <v>0.1</v>
      </c>
      <c r="F292">
        <v>0.6</v>
      </c>
      <c r="G292">
        <v>0.6</v>
      </c>
      <c r="H292">
        <v>65</v>
      </c>
      <c r="I292">
        <v>0</v>
      </c>
      <c r="J292">
        <v>0</v>
      </c>
      <c r="K292">
        <v>44.2</v>
      </c>
      <c r="L292" t="s">
        <v>115</v>
      </c>
      <c r="M292" t="s">
        <v>116</v>
      </c>
    </row>
    <row r="293" spans="2:13" x14ac:dyDescent="0.2">
      <c r="B293">
        <v>3012</v>
      </c>
      <c r="C293">
        <v>1</v>
      </c>
      <c r="D293">
        <v>6.1</v>
      </c>
      <c r="E293">
        <v>0.1</v>
      </c>
      <c r="F293">
        <v>0.6</v>
      </c>
      <c r="G293">
        <v>0.6</v>
      </c>
      <c r="H293">
        <v>66</v>
      </c>
      <c r="I293">
        <v>0</v>
      </c>
      <c r="J293">
        <v>1</v>
      </c>
      <c r="K293">
        <v>44.3</v>
      </c>
      <c r="L293" t="s">
        <v>117</v>
      </c>
      <c r="M293" t="s">
        <v>118</v>
      </c>
    </row>
    <row r="294" spans="2:13" x14ac:dyDescent="0.2">
      <c r="B294">
        <v>3012</v>
      </c>
      <c r="C294">
        <v>1</v>
      </c>
      <c r="D294">
        <v>8.1999999999999993</v>
      </c>
      <c r="E294">
        <v>0.14000000000000001</v>
      </c>
      <c r="F294">
        <v>0.6</v>
      </c>
      <c r="G294">
        <v>0.6</v>
      </c>
      <c r="H294">
        <v>89</v>
      </c>
      <c r="I294">
        <v>6</v>
      </c>
      <c r="J294">
        <v>2</v>
      </c>
      <c r="K294">
        <v>43.6</v>
      </c>
      <c r="L294" t="s">
        <v>141</v>
      </c>
      <c r="M294" t="s">
        <v>118</v>
      </c>
    </row>
    <row r="295" spans="2:13" x14ac:dyDescent="0.2">
      <c r="B295">
        <v>3012</v>
      </c>
      <c r="C295">
        <v>1</v>
      </c>
      <c r="D295">
        <v>12.1</v>
      </c>
      <c r="E295">
        <v>0.2</v>
      </c>
      <c r="F295">
        <v>0.6</v>
      </c>
      <c r="G295">
        <v>0.6</v>
      </c>
      <c r="H295">
        <v>130</v>
      </c>
      <c r="I295">
        <v>9</v>
      </c>
      <c r="J295">
        <v>2</v>
      </c>
      <c r="K295">
        <v>68.400000000000006</v>
      </c>
      <c r="L295" t="s">
        <v>121</v>
      </c>
      <c r="M295" t="s">
        <v>116</v>
      </c>
    </row>
    <row r="296" spans="2:13" x14ac:dyDescent="0.2">
      <c r="B296">
        <v>3012</v>
      </c>
      <c r="C296">
        <v>1</v>
      </c>
      <c r="D296">
        <v>15.7</v>
      </c>
      <c r="E296">
        <v>0.26</v>
      </c>
      <c r="F296">
        <v>0.6</v>
      </c>
      <c r="G296">
        <v>0.6</v>
      </c>
      <c r="H296">
        <v>170</v>
      </c>
      <c r="I296">
        <v>12</v>
      </c>
      <c r="J296">
        <v>3</v>
      </c>
      <c r="K296">
        <v>62.5</v>
      </c>
      <c r="L296" t="s">
        <v>125</v>
      </c>
      <c r="M296" t="s">
        <v>118</v>
      </c>
    </row>
    <row r="297" spans="2:13" x14ac:dyDescent="0.2">
      <c r="B297">
        <v>3012</v>
      </c>
      <c r="C297">
        <v>1</v>
      </c>
      <c r="D297">
        <v>18.100000000000001</v>
      </c>
      <c r="E297">
        <v>0.3</v>
      </c>
      <c r="F297">
        <v>0.6</v>
      </c>
      <c r="G297">
        <v>0.6</v>
      </c>
      <c r="H297">
        <v>195</v>
      </c>
      <c r="I297">
        <v>14</v>
      </c>
      <c r="J297">
        <v>3</v>
      </c>
      <c r="K297">
        <v>62.4</v>
      </c>
      <c r="L297" t="s">
        <v>132</v>
      </c>
      <c r="M297" t="s">
        <v>116</v>
      </c>
    </row>
    <row r="298" spans="2:13" x14ac:dyDescent="0.2">
      <c r="B298">
        <v>3012</v>
      </c>
      <c r="C298">
        <v>2</v>
      </c>
      <c r="D298">
        <v>0</v>
      </c>
      <c r="E298">
        <v>0</v>
      </c>
      <c r="F298">
        <v>0.6</v>
      </c>
      <c r="G298">
        <v>0.6</v>
      </c>
      <c r="H298">
        <v>0</v>
      </c>
      <c r="I298">
        <v>0</v>
      </c>
      <c r="J298">
        <v>0</v>
      </c>
      <c r="K298">
        <v>50</v>
      </c>
      <c r="L298" t="s">
        <v>113</v>
      </c>
      <c r="M298" t="s">
        <v>114</v>
      </c>
    </row>
    <row r="299" spans="2:13" x14ac:dyDescent="0.2">
      <c r="B299">
        <v>3012</v>
      </c>
      <c r="C299">
        <v>2</v>
      </c>
      <c r="D299">
        <v>6</v>
      </c>
      <c r="E299">
        <v>0.1</v>
      </c>
      <c r="F299">
        <v>0.6</v>
      </c>
      <c r="G299">
        <v>0.6</v>
      </c>
      <c r="H299">
        <v>65</v>
      </c>
      <c r="I299">
        <v>0</v>
      </c>
      <c r="J299">
        <v>0</v>
      </c>
      <c r="K299">
        <v>45.5</v>
      </c>
      <c r="L299" t="s">
        <v>115</v>
      </c>
      <c r="M299" t="s">
        <v>116</v>
      </c>
    </row>
    <row r="300" spans="2:13" x14ac:dyDescent="0.2">
      <c r="B300">
        <v>3012</v>
      </c>
      <c r="C300">
        <v>2</v>
      </c>
      <c r="D300">
        <v>6.1</v>
      </c>
      <c r="E300">
        <v>0.1</v>
      </c>
      <c r="F300">
        <v>0.6</v>
      </c>
      <c r="G300">
        <v>0.6</v>
      </c>
      <c r="H300">
        <v>66</v>
      </c>
      <c r="I300">
        <v>0</v>
      </c>
      <c r="J300">
        <v>1</v>
      </c>
      <c r="K300">
        <v>45.5</v>
      </c>
      <c r="L300" t="s">
        <v>122</v>
      </c>
      <c r="M300" t="s">
        <v>118</v>
      </c>
    </row>
    <row r="301" spans="2:13" x14ac:dyDescent="0.2">
      <c r="B301">
        <v>3012</v>
      </c>
      <c r="C301">
        <v>2</v>
      </c>
      <c r="D301">
        <v>9.1</v>
      </c>
      <c r="E301">
        <v>0.15</v>
      </c>
      <c r="F301">
        <v>0.6</v>
      </c>
      <c r="G301">
        <v>0.6</v>
      </c>
      <c r="H301">
        <v>99</v>
      </c>
      <c r="I301">
        <v>3</v>
      </c>
      <c r="J301">
        <v>2</v>
      </c>
      <c r="K301">
        <v>43.7</v>
      </c>
      <c r="L301" t="s">
        <v>119</v>
      </c>
      <c r="M301" t="s">
        <v>118</v>
      </c>
    </row>
    <row r="302" spans="2:13" x14ac:dyDescent="0.2">
      <c r="B302">
        <v>3012</v>
      </c>
      <c r="C302">
        <v>2</v>
      </c>
      <c r="D302">
        <v>12.1</v>
      </c>
      <c r="E302">
        <v>0.2</v>
      </c>
      <c r="F302">
        <v>0.6</v>
      </c>
      <c r="G302">
        <v>0.45</v>
      </c>
      <c r="H302">
        <v>130</v>
      </c>
      <c r="I302">
        <v>3</v>
      </c>
      <c r="J302">
        <v>2</v>
      </c>
      <c r="K302">
        <v>43.2</v>
      </c>
      <c r="L302" t="s">
        <v>126</v>
      </c>
      <c r="M302" t="s">
        <v>116</v>
      </c>
    </row>
    <row r="303" spans="2:13" x14ac:dyDescent="0.2">
      <c r="B303">
        <v>3012</v>
      </c>
      <c r="C303">
        <v>2</v>
      </c>
      <c r="D303">
        <v>18.100000000000001</v>
      </c>
      <c r="E303">
        <v>0.3</v>
      </c>
      <c r="F303">
        <v>0.45</v>
      </c>
      <c r="G303">
        <v>0.45</v>
      </c>
      <c r="H303">
        <v>179</v>
      </c>
      <c r="I303">
        <v>8</v>
      </c>
      <c r="J303">
        <v>2</v>
      </c>
      <c r="K303">
        <v>43.6</v>
      </c>
      <c r="L303" t="s">
        <v>115</v>
      </c>
      <c r="M303" t="s">
        <v>116</v>
      </c>
    </row>
    <row r="304" spans="2:13" x14ac:dyDescent="0.2">
      <c r="B304">
        <v>3012</v>
      </c>
      <c r="C304">
        <v>3</v>
      </c>
      <c r="D304">
        <v>0</v>
      </c>
      <c r="E304">
        <v>0</v>
      </c>
      <c r="F304">
        <v>0.6</v>
      </c>
      <c r="G304">
        <v>0.6</v>
      </c>
      <c r="H304">
        <v>0</v>
      </c>
      <c r="I304">
        <v>0</v>
      </c>
      <c r="J304">
        <v>0</v>
      </c>
      <c r="K304">
        <v>50</v>
      </c>
      <c r="L304" t="s">
        <v>113</v>
      </c>
      <c r="M304" t="s">
        <v>114</v>
      </c>
    </row>
    <row r="305" spans="2:13" x14ac:dyDescent="0.2">
      <c r="B305">
        <v>3012</v>
      </c>
      <c r="C305">
        <v>3</v>
      </c>
      <c r="D305">
        <v>6</v>
      </c>
      <c r="E305">
        <v>0.1</v>
      </c>
      <c r="F305">
        <v>0.6</v>
      </c>
      <c r="G305">
        <v>0.6</v>
      </c>
      <c r="H305">
        <v>65</v>
      </c>
      <c r="I305">
        <v>0</v>
      </c>
      <c r="J305">
        <v>0</v>
      </c>
      <c r="K305">
        <v>43.8</v>
      </c>
      <c r="L305" t="s">
        <v>115</v>
      </c>
      <c r="M305" t="s">
        <v>116</v>
      </c>
    </row>
    <row r="306" spans="2:13" x14ac:dyDescent="0.2">
      <c r="B306">
        <v>3012</v>
      </c>
      <c r="C306">
        <v>3</v>
      </c>
      <c r="D306">
        <v>12.1</v>
      </c>
      <c r="E306">
        <v>0.2</v>
      </c>
      <c r="F306">
        <v>0.6</v>
      </c>
      <c r="G306">
        <v>0.7</v>
      </c>
      <c r="H306">
        <v>130</v>
      </c>
      <c r="I306">
        <v>4</v>
      </c>
      <c r="J306">
        <v>0</v>
      </c>
      <c r="K306">
        <v>94.8</v>
      </c>
      <c r="L306" t="s">
        <v>128</v>
      </c>
      <c r="M306" t="s">
        <v>116</v>
      </c>
    </row>
    <row r="307" spans="2:13" x14ac:dyDescent="0.2">
      <c r="B307">
        <v>3012</v>
      </c>
      <c r="C307">
        <v>4</v>
      </c>
      <c r="D307">
        <v>0</v>
      </c>
      <c r="E307">
        <v>0</v>
      </c>
      <c r="F307">
        <v>0.6</v>
      </c>
      <c r="G307">
        <v>0.6</v>
      </c>
      <c r="H307">
        <v>0</v>
      </c>
      <c r="I307">
        <v>0</v>
      </c>
      <c r="J307">
        <v>0</v>
      </c>
      <c r="K307">
        <v>50</v>
      </c>
      <c r="L307" t="s">
        <v>113</v>
      </c>
      <c r="M307" t="s">
        <v>114</v>
      </c>
    </row>
    <row r="308" spans="2:13" x14ac:dyDescent="0.2">
      <c r="B308">
        <v>3012</v>
      </c>
      <c r="C308">
        <v>4</v>
      </c>
      <c r="D308">
        <v>6</v>
      </c>
      <c r="E308">
        <v>0.1</v>
      </c>
      <c r="F308">
        <v>0.6</v>
      </c>
      <c r="G308">
        <v>0.6</v>
      </c>
      <c r="H308">
        <v>65</v>
      </c>
      <c r="I308">
        <v>0</v>
      </c>
      <c r="J308">
        <v>0</v>
      </c>
      <c r="K308">
        <v>43.4</v>
      </c>
      <c r="L308" t="s">
        <v>115</v>
      </c>
      <c r="M308" t="s">
        <v>116</v>
      </c>
    </row>
    <row r="309" spans="2:13" x14ac:dyDescent="0.2">
      <c r="B309">
        <v>3012</v>
      </c>
      <c r="C309">
        <v>4</v>
      </c>
      <c r="D309">
        <v>12.1</v>
      </c>
      <c r="E309">
        <v>0.2</v>
      </c>
      <c r="F309">
        <v>0.6</v>
      </c>
      <c r="G309">
        <v>0.7</v>
      </c>
      <c r="H309">
        <v>130</v>
      </c>
      <c r="I309">
        <v>5</v>
      </c>
      <c r="J309">
        <v>0</v>
      </c>
      <c r="K309">
        <v>94</v>
      </c>
      <c r="L309" t="s">
        <v>128</v>
      </c>
      <c r="M309" t="s">
        <v>116</v>
      </c>
    </row>
    <row r="310" spans="2:13" x14ac:dyDescent="0.2">
      <c r="B310">
        <v>3012</v>
      </c>
      <c r="C310">
        <v>4</v>
      </c>
      <c r="D310">
        <v>13.2</v>
      </c>
      <c r="E310">
        <v>0.22</v>
      </c>
      <c r="F310">
        <v>0.7</v>
      </c>
      <c r="G310">
        <v>0.7</v>
      </c>
      <c r="H310">
        <v>145</v>
      </c>
      <c r="I310">
        <v>7</v>
      </c>
      <c r="J310">
        <v>1</v>
      </c>
      <c r="K310">
        <v>83.9</v>
      </c>
      <c r="L310" t="s">
        <v>122</v>
      </c>
      <c r="M310" t="s">
        <v>118</v>
      </c>
    </row>
    <row r="311" spans="2:13" x14ac:dyDescent="0.2">
      <c r="B311">
        <v>3012</v>
      </c>
      <c r="C311">
        <v>5</v>
      </c>
      <c r="D311">
        <v>0</v>
      </c>
      <c r="E311">
        <v>0</v>
      </c>
      <c r="F311">
        <v>0.6</v>
      </c>
      <c r="G311">
        <v>0.6</v>
      </c>
      <c r="H311">
        <v>0</v>
      </c>
      <c r="I311">
        <v>0</v>
      </c>
      <c r="J311">
        <v>0</v>
      </c>
      <c r="K311">
        <v>50</v>
      </c>
      <c r="L311" t="s">
        <v>113</v>
      </c>
      <c r="M311" t="s">
        <v>114</v>
      </c>
    </row>
    <row r="312" spans="2:13" x14ac:dyDescent="0.2">
      <c r="B312">
        <v>3012</v>
      </c>
      <c r="C312">
        <v>5</v>
      </c>
      <c r="D312">
        <v>6</v>
      </c>
      <c r="E312">
        <v>0.1</v>
      </c>
      <c r="F312">
        <v>0.6</v>
      </c>
      <c r="G312">
        <v>0.6</v>
      </c>
      <c r="H312">
        <v>65</v>
      </c>
      <c r="I312">
        <v>0</v>
      </c>
      <c r="J312">
        <v>0</v>
      </c>
      <c r="K312">
        <v>43.4</v>
      </c>
      <c r="L312" t="s">
        <v>115</v>
      </c>
      <c r="M312" t="s">
        <v>116</v>
      </c>
    </row>
    <row r="313" spans="2:13" x14ac:dyDescent="0.2">
      <c r="B313">
        <v>3012</v>
      </c>
      <c r="C313">
        <v>5</v>
      </c>
      <c r="D313">
        <v>11.6</v>
      </c>
      <c r="E313">
        <v>0.19</v>
      </c>
      <c r="F313">
        <v>0.6</v>
      </c>
      <c r="G313">
        <v>0.6</v>
      </c>
      <c r="H313">
        <v>125</v>
      </c>
      <c r="I313">
        <v>3</v>
      </c>
      <c r="J313">
        <v>1</v>
      </c>
      <c r="K313">
        <v>81.2</v>
      </c>
      <c r="L313" t="s">
        <v>122</v>
      </c>
      <c r="M313" t="s">
        <v>118</v>
      </c>
    </row>
    <row r="314" spans="2:13" x14ac:dyDescent="0.2">
      <c r="B314">
        <v>3012</v>
      </c>
      <c r="C314">
        <v>5</v>
      </c>
      <c r="D314">
        <v>12.1</v>
      </c>
      <c r="E314">
        <v>0.2</v>
      </c>
      <c r="F314">
        <v>0.6</v>
      </c>
      <c r="G314">
        <v>0.6</v>
      </c>
      <c r="H314">
        <v>130</v>
      </c>
      <c r="I314">
        <v>3</v>
      </c>
      <c r="J314">
        <v>1</v>
      </c>
      <c r="K314">
        <v>81.5</v>
      </c>
      <c r="L314" t="s">
        <v>136</v>
      </c>
      <c r="M314" t="s">
        <v>116</v>
      </c>
    </row>
    <row r="315" spans="2:13" x14ac:dyDescent="0.2">
      <c r="B315">
        <v>3012</v>
      </c>
      <c r="C315">
        <v>5</v>
      </c>
      <c r="D315">
        <v>18.100000000000001</v>
      </c>
      <c r="E315">
        <v>0.3</v>
      </c>
      <c r="F315">
        <v>0.6</v>
      </c>
      <c r="G315">
        <v>0.6</v>
      </c>
      <c r="H315">
        <v>195</v>
      </c>
      <c r="I315">
        <v>7</v>
      </c>
      <c r="J315">
        <v>1</v>
      </c>
      <c r="K315">
        <v>84.9</v>
      </c>
      <c r="L315" t="s">
        <v>115</v>
      </c>
      <c r="M315" t="s">
        <v>116</v>
      </c>
    </row>
    <row r="316" spans="2:13" x14ac:dyDescent="0.2">
      <c r="B316">
        <v>3013</v>
      </c>
      <c r="C316">
        <v>1</v>
      </c>
      <c r="D316">
        <v>0</v>
      </c>
      <c r="E316">
        <v>0</v>
      </c>
      <c r="F316">
        <v>0.6</v>
      </c>
      <c r="G316">
        <v>0.6</v>
      </c>
      <c r="H316">
        <v>0</v>
      </c>
      <c r="I316">
        <v>0</v>
      </c>
      <c r="J316">
        <v>0</v>
      </c>
      <c r="K316">
        <v>50</v>
      </c>
      <c r="L316" t="s">
        <v>113</v>
      </c>
      <c r="M316" t="s">
        <v>114</v>
      </c>
    </row>
    <row r="317" spans="2:13" x14ac:dyDescent="0.2">
      <c r="B317">
        <v>3013</v>
      </c>
      <c r="C317">
        <v>1</v>
      </c>
      <c r="D317">
        <v>6</v>
      </c>
      <c r="E317">
        <v>0.1</v>
      </c>
      <c r="F317">
        <v>0.6</v>
      </c>
      <c r="G317">
        <v>0.6</v>
      </c>
      <c r="H317">
        <v>65</v>
      </c>
      <c r="I317">
        <v>0</v>
      </c>
      <c r="J317">
        <v>0</v>
      </c>
      <c r="K317">
        <v>41.7</v>
      </c>
      <c r="L317" t="s">
        <v>115</v>
      </c>
      <c r="M317" t="s">
        <v>116</v>
      </c>
    </row>
    <row r="318" spans="2:13" x14ac:dyDescent="0.2">
      <c r="B318">
        <v>3013</v>
      </c>
      <c r="C318">
        <v>1</v>
      </c>
      <c r="D318">
        <v>8.6</v>
      </c>
      <c r="E318">
        <v>0.14000000000000001</v>
      </c>
      <c r="F318">
        <v>0.6</v>
      </c>
      <c r="G318">
        <v>0.6</v>
      </c>
      <c r="H318">
        <v>93</v>
      </c>
      <c r="I318">
        <v>1</v>
      </c>
      <c r="J318">
        <v>1</v>
      </c>
      <c r="K318">
        <v>82.5</v>
      </c>
      <c r="L318" t="s">
        <v>117</v>
      </c>
      <c r="M318" t="s">
        <v>118</v>
      </c>
    </row>
    <row r="319" spans="2:13" x14ac:dyDescent="0.2">
      <c r="B319">
        <v>3013</v>
      </c>
      <c r="C319">
        <v>1</v>
      </c>
      <c r="D319">
        <v>12.1</v>
      </c>
      <c r="E319">
        <v>0.2</v>
      </c>
      <c r="F319">
        <v>0.6</v>
      </c>
      <c r="G319">
        <v>0.6</v>
      </c>
      <c r="H319">
        <v>130</v>
      </c>
      <c r="I319">
        <v>4</v>
      </c>
      <c r="J319">
        <v>1</v>
      </c>
      <c r="K319">
        <v>82.1</v>
      </c>
      <c r="L319" t="s">
        <v>138</v>
      </c>
      <c r="M319" t="s">
        <v>116</v>
      </c>
    </row>
    <row r="320" spans="2:13" x14ac:dyDescent="0.2">
      <c r="B320">
        <v>3013</v>
      </c>
      <c r="C320">
        <v>1</v>
      </c>
      <c r="D320">
        <v>14.1</v>
      </c>
      <c r="E320">
        <v>0.24</v>
      </c>
      <c r="F320">
        <v>0.6</v>
      </c>
      <c r="G320">
        <v>0.6</v>
      </c>
      <c r="H320">
        <v>152</v>
      </c>
      <c r="I320">
        <v>4</v>
      </c>
      <c r="J320">
        <v>2</v>
      </c>
      <c r="K320">
        <v>79.900000000000006</v>
      </c>
      <c r="L320" t="s">
        <v>119</v>
      </c>
      <c r="M320" t="s">
        <v>118</v>
      </c>
    </row>
    <row r="321" spans="2:13" x14ac:dyDescent="0.2">
      <c r="B321">
        <v>3013</v>
      </c>
      <c r="C321">
        <v>1</v>
      </c>
      <c r="D321">
        <v>18.100000000000001</v>
      </c>
      <c r="E321">
        <v>0.3</v>
      </c>
      <c r="F321">
        <v>0.6</v>
      </c>
      <c r="G321">
        <v>0.6</v>
      </c>
      <c r="H321">
        <v>195</v>
      </c>
      <c r="I321">
        <v>6</v>
      </c>
      <c r="J321">
        <v>2</v>
      </c>
      <c r="K321">
        <v>80.3</v>
      </c>
      <c r="L321" t="s">
        <v>124</v>
      </c>
      <c r="M321" t="s">
        <v>116</v>
      </c>
    </row>
    <row r="322" spans="2:13" x14ac:dyDescent="0.2">
      <c r="B322">
        <v>3013</v>
      </c>
      <c r="C322">
        <v>2</v>
      </c>
      <c r="D322">
        <v>0</v>
      </c>
      <c r="E322">
        <v>0</v>
      </c>
      <c r="F322">
        <v>0.6</v>
      </c>
      <c r="G322">
        <v>0.6</v>
      </c>
      <c r="H322">
        <v>0</v>
      </c>
      <c r="I322">
        <v>0</v>
      </c>
      <c r="J322">
        <v>0</v>
      </c>
      <c r="K322">
        <v>50</v>
      </c>
      <c r="L322" t="s">
        <v>113</v>
      </c>
      <c r="M322" t="s">
        <v>114</v>
      </c>
    </row>
    <row r="323" spans="2:13" x14ac:dyDescent="0.2">
      <c r="B323">
        <v>3013</v>
      </c>
      <c r="C323">
        <v>2</v>
      </c>
      <c r="D323">
        <v>6</v>
      </c>
      <c r="E323">
        <v>0.1</v>
      </c>
      <c r="F323">
        <v>0.6</v>
      </c>
      <c r="G323">
        <v>0.7</v>
      </c>
      <c r="H323">
        <v>65</v>
      </c>
      <c r="I323">
        <v>0</v>
      </c>
      <c r="J323">
        <v>0</v>
      </c>
      <c r="K323">
        <v>93.4</v>
      </c>
      <c r="L323" t="s">
        <v>128</v>
      </c>
      <c r="M323" t="s">
        <v>116</v>
      </c>
    </row>
    <row r="324" spans="2:13" x14ac:dyDescent="0.2">
      <c r="B324">
        <v>3013</v>
      </c>
      <c r="C324">
        <v>2</v>
      </c>
      <c r="D324">
        <v>7.5</v>
      </c>
      <c r="E324">
        <v>0.12</v>
      </c>
      <c r="F324">
        <v>0.7</v>
      </c>
      <c r="G324">
        <v>0.7</v>
      </c>
      <c r="H324">
        <v>84</v>
      </c>
      <c r="I324">
        <v>0</v>
      </c>
      <c r="J324">
        <v>1</v>
      </c>
      <c r="K324">
        <v>83</v>
      </c>
      <c r="L324" t="s">
        <v>117</v>
      </c>
      <c r="M324" t="s">
        <v>118</v>
      </c>
    </row>
    <row r="325" spans="2:13" x14ac:dyDescent="0.2">
      <c r="B325">
        <v>3013</v>
      </c>
      <c r="C325">
        <v>2</v>
      </c>
      <c r="D325">
        <v>12.1</v>
      </c>
      <c r="E325">
        <v>0.2</v>
      </c>
      <c r="F325">
        <v>0.7</v>
      </c>
      <c r="G325">
        <v>0.7</v>
      </c>
      <c r="H325">
        <v>141</v>
      </c>
      <c r="I325">
        <v>2</v>
      </c>
      <c r="J325">
        <v>1</v>
      </c>
      <c r="K325">
        <v>86.4</v>
      </c>
      <c r="L325" t="s">
        <v>136</v>
      </c>
      <c r="M325" t="s">
        <v>116</v>
      </c>
    </row>
    <row r="326" spans="2:13" x14ac:dyDescent="0.2">
      <c r="B326">
        <v>3013</v>
      </c>
      <c r="C326">
        <v>3</v>
      </c>
      <c r="D326">
        <v>0</v>
      </c>
      <c r="E326">
        <v>0</v>
      </c>
      <c r="F326">
        <v>0.6</v>
      </c>
      <c r="G326">
        <v>0.6</v>
      </c>
      <c r="H326">
        <v>0</v>
      </c>
      <c r="I326">
        <v>0</v>
      </c>
      <c r="J326">
        <v>0</v>
      </c>
      <c r="K326">
        <v>50</v>
      </c>
      <c r="L326" t="s">
        <v>113</v>
      </c>
      <c r="M326" t="s">
        <v>114</v>
      </c>
    </row>
    <row r="327" spans="2:13" x14ac:dyDescent="0.2">
      <c r="B327">
        <v>3013</v>
      </c>
      <c r="C327">
        <v>3</v>
      </c>
      <c r="D327">
        <v>6</v>
      </c>
      <c r="E327">
        <v>0.1</v>
      </c>
      <c r="F327">
        <v>0.6</v>
      </c>
      <c r="G327">
        <v>0.6</v>
      </c>
      <c r="H327">
        <v>65</v>
      </c>
      <c r="I327">
        <v>0</v>
      </c>
      <c r="J327">
        <v>0</v>
      </c>
      <c r="K327">
        <v>43.8</v>
      </c>
      <c r="L327" t="s">
        <v>115</v>
      </c>
      <c r="M327" t="s">
        <v>116</v>
      </c>
    </row>
    <row r="328" spans="2:13" x14ac:dyDescent="0.2">
      <c r="B328">
        <v>3013</v>
      </c>
      <c r="C328">
        <v>3</v>
      </c>
      <c r="D328">
        <v>6.5</v>
      </c>
      <c r="E328">
        <v>0.11</v>
      </c>
      <c r="F328">
        <v>0.6</v>
      </c>
      <c r="G328">
        <v>0.6</v>
      </c>
      <c r="H328">
        <v>71</v>
      </c>
      <c r="I328">
        <v>0</v>
      </c>
      <c r="J328">
        <v>1</v>
      </c>
      <c r="K328">
        <v>43.9</v>
      </c>
      <c r="L328" t="s">
        <v>122</v>
      </c>
      <c r="M328" t="s">
        <v>118</v>
      </c>
    </row>
    <row r="329" spans="2:13" x14ac:dyDescent="0.2">
      <c r="B329">
        <v>3013</v>
      </c>
      <c r="C329">
        <v>3</v>
      </c>
      <c r="D329">
        <v>12.1</v>
      </c>
      <c r="E329">
        <v>0.2</v>
      </c>
      <c r="F329">
        <v>0.6</v>
      </c>
      <c r="G329">
        <v>0.6</v>
      </c>
      <c r="H329">
        <v>130</v>
      </c>
      <c r="I329">
        <v>5</v>
      </c>
      <c r="J329">
        <v>1</v>
      </c>
      <c r="K329">
        <v>43.6</v>
      </c>
      <c r="L329" t="s">
        <v>132</v>
      </c>
      <c r="M329" t="s">
        <v>116</v>
      </c>
    </row>
    <row r="330" spans="2:13" x14ac:dyDescent="0.2">
      <c r="B330">
        <v>3013</v>
      </c>
      <c r="C330">
        <v>3</v>
      </c>
      <c r="D330">
        <v>18.100000000000001</v>
      </c>
      <c r="E330">
        <v>0.3</v>
      </c>
      <c r="F330">
        <v>0.6</v>
      </c>
      <c r="G330">
        <v>0.6</v>
      </c>
      <c r="H330">
        <v>195</v>
      </c>
      <c r="I330">
        <v>7</v>
      </c>
      <c r="J330">
        <v>1</v>
      </c>
      <c r="K330">
        <v>42.5</v>
      </c>
      <c r="L330" t="s">
        <v>115</v>
      </c>
      <c r="M330" t="s">
        <v>116</v>
      </c>
    </row>
    <row r="331" spans="2:13" x14ac:dyDescent="0.2">
      <c r="B331">
        <v>3013</v>
      </c>
      <c r="C331">
        <v>4</v>
      </c>
      <c r="D331">
        <v>0</v>
      </c>
      <c r="E331">
        <v>0</v>
      </c>
      <c r="F331">
        <v>0.6</v>
      </c>
      <c r="G331">
        <v>0.6</v>
      </c>
      <c r="H331">
        <v>0</v>
      </c>
      <c r="I331">
        <v>0</v>
      </c>
      <c r="J331">
        <v>0</v>
      </c>
      <c r="K331">
        <v>50</v>
      </c>
      <c r="L331" t="s">
        <v>113</v>
      </c>
      <c r="M331" t="s">
        <v>114</v>
      </c>
    </row>
    <row r="332" spans="2:13" x14ac:dyDescent="0.2">
      <c r="B332">
        <v>3013</v>
      </c>
      <c r="C332">
        <v>4</v>
      </c>
      <c r="D332">
        <v>6</v>
      </c>
      <c r="E332">
        <v>0.1</v>
      </c>
      <c r="F332">
        <v>0.6</v>
      </c>
      <c r="G332">
        <v>0.6</v>
      </c>
      <c r="H332">
        <v>65</v>
      </c>
      <c r="I332">
        <v>1</v>
      </c>
      <c r="J332">
        <v>0</v>
      </c>
      <c r="K332">
        <v>43.8</v>
      </c>
      <c r="L332" t="s">
        <v>115</v>
      </c>
      <c r="M332" t="s">
        <v>116</v>
      </c>
    </row>
    <row r="333" spans="2:13" x14ac:dyDescent="0.2">
      <c r="B333">
        <v>3013</v>
      </c>
      <c r="C333">
        <v>4</v>
      </c>
      <c r="D333">
        <v>9.4</v>
      </c>
      <c r="E333">
        <v>0.16</v>
      </c>
      <c r="F333">
        <v>0.6</v>
      </c>
      <c r="G333">
        <v>0.6</v>
      </c>
      <c r="H333">
        <v>102</v>
      </c>
      <c r="I333">
        <v>2</v>
      </c>
      <c r="J333">
        <v>1</v>
      </c>
      <c r="K333">
        <v>43.9</v>
      </c>
      <c r="L333" t="s">
        <v>117</v>
      </c>
      <c r="M333" t="s">
        <v>118</v>
      </c>
    </row>
    <row r="334" spans="2:13" x14ac:dyDescent="0.2">
      <c r="B334">
        <v>3013</v>
      </c>
      <c r="C334">
        <v>4</v>
      </c>
      <c r="D334">
        <v>12.1</v>
      </c>
      <c r="E334">
        <v>0.2</v>
      </c>
      <c r="F334">
        <v>0.6</v>
      </c>
      <c r="G334">
        <v>0.6</v>
      </c>
      <c r="H334">
        <v>130</v>
      </c>
      <c r="I334">
        <v>6</v>
      </c>
      <c r="J334">
        <v>1</v>
      </c>
      <c r="K334">
        <v>43.4</v>
      </c>
      <c r="L334" t="s">
        <v>132</v>
      </c>
      <c r="M334" t="s">
        <v>116</v>
      </c>
    </row>
    <row r="335" spans="2:13" x14ac:dyDescent="0.2">
      <c r="B335">
        <v>3013</v>
      </c>
      <c r="C335">
        <v>4</v>
      </c>
      <c r="D335">
        <v>14.1</v>
      </c>
      <c r="E335">
        <v>0.24</v>
      </c>
      <c r="F335">
        <v>0.6</v>
      </c>
      <c r="G335">
        <v>0.6</v>
      </c>
      <c r="H335">
        <v>152</v>
      </c>
      <c r="I335">
        <v>7</v>
      </c>
      <c r="J335">
        <v>2</v>
      </c>
      <c r="K335">
        <v>43.3</v>
      </c>
      <c r="L335" t="s">
        <v>119</v>
      </c>
      <c r="M335" t="s">
        <v>118</v>
      </c>
    </row>
    <row r="336" spans="2:13" x14ac:dyDescent="0.2">
      <c r="B336">
        <v>3013</v>
      </c>
      <c r="C336">
        <v>4</v>
      </c>
      <c r="D336">
        <v>14.5</v>
      </c>
      <c r="E336">
        <v>0.24</v>
      </c>
      <c r="F336">
        <v>0.6</v>
      </c>
      <c r="G336">
        <v>0.6</v>
      </c>
      <c r="H336">
        <v>156</v>
      </c>
      <c r="I336">
        <v>7</v>
      </c>
      <c r="J336">
        <v>3</v>
      </c>
      <c r="K336">
        <v>43.4</v>
      </c>
      <c r="L336" t="s">
        <v>125</v>
      </c>
      <c r="M336" t="s">
        <v>118</v>
      </c>
    </row>
    <row r="337" spans="2:13" x14ac:dyDescent="0.2">
      <c r="B337">
        <v>3013</v>
      </c>
      <c r="C337">
        <v>4</v>
      </c>
      <c r="D337">
        <v>18.100000000000001</v>
      </c>
      <c r="E337">
        <v>0.3</v>
      </c>
      <c r="F337">
        <v>0.6</v>
      </c>
      <c r="G337">
        <v>0.45</v>
      </c>
      <c r="H337">
        <v>195</v>
      </c>
      <c r="I337">
        <v>10</v>
      </c>
      <c r="J337">
        <v>3</v>
      </c>
      <c r="K337">
        <v>42.9</v>
      </c>
      <c r="L337" t="s">
        <v>126</v>
      </c>
      <c r="M337" t="s">
        <v>116</v>
      </c>
    </row>
    <row r="338" spans="2:13" x14ac:dyDescent="0.2">
      <c r="B338">
        <v>3013</v>
      </c>
      <c r="C338">
        <v>5</v>
      </c>
      <c r="D338">
        <v>0</v>
      </c>
      <c r="E338">
        <v>0</v>
      </c>
      <c r="F338">
        <v>0.6</v>
      </c>
      <c r="G338">
        <v>0.6</v>
      </c>
      <c r="H338">
        <v>0</v>
      </c>
      <c r="I338">
        <v>0</v>
      </c>
      <c r="J338">
        <v>0</v>
      </c>
      <c r="K338">
        <v>50</v>
      </c>
      <c r="L338" t="s">
        <v>113</v>
      </c>
      <c r="M338" t="s">
        <v>114</v>
      </c>
    </row>
    <row r="339" spans="2:13" x14ac:dyDescent="0.2">
      <c r="B339">
        <v>3013</v>
      </c>
      <c r="C339">
        <v>5</v>
      </c>
      <c r="D339">
        <v>6</v>
      </c>
      <c r="E339">
        <v>0.1</v>
      </c>
      <c r="F339">
        <v>0.6</v>
      </c>
      <c r="G339">
        <v>0.6</v>
      </c>
      <c r="H339">
        <v>65</v>
      </c>
      <c r="I339">
        <v>0</v>
      </c>
      <c r="J339">
        <v>0</v>
      </c>
      <c r="K339">
        <v>42.6</v>
      </c>
      <c r="L339" t="s">
        <v>115</v>
      </c>
      <c r="M339" t="s">
        <v>116</v>
      </c>
    </row>
    <row r="340" spans="2:13" x14ac:dyDescent="0.2">
      <c r="B340">
        <v>3013</v>
      </c>
      <c r="C340">
        <v>5</v>
      </c>
      <c r="D340">
        <v>10.3</v>
      </c>
      <c r="E340">
        <v>0.17</v>
      </c>
      <c r="F340">
        <v>0.6</v>
      </c>
      <c r="G340">
        <v>0.6</v>
      </c>
      <c r="H340">
        <v>111</v>
      </c>
      <c r="I340">
        <v>6</v>
      </c>
      <c r="J340">
        <v>1</v>
      </c>
      <c r="K340">
        <v>77.2</v>
      </c>
      <c r="L340" t="s">
        <v>122</v>
      </c>
      <c r="M340" t="s">
        <v>118</v>
      </c>
    </row>
    <row r="341" spans="2:13" x14ac:dyDescent="0.2">
      <c r="B341">
        <v>3013</v>
      </c>
      <c r="C341">
        <v>5</v>
      </c>
      <c r="D341">
        <v>12.1</v>
      </c>
      <c r="E341">
        <v>0.2</v>
      </c>
      <c r="F341">
        <v>0.6</v>
      </c>
      <c r="G341">
        <v>0.6</v>
      </c>
      <c r="H341">
        <v>130</v>
      </c>
      <c r="I341">
        <v>6</v>
      </c>
      <c r="J341">
        <v>1</v>
      </c>
      <c r="K341">
        <v>77.7</v>
      </c>
      <c r="L341" t="s">
        <v>124</v>
      </c>
      <c r="M341" t="s">
        <v>116</v>
      </c>
    </row>
    <row r="342" spans="2:13" x14ac:dyDescent="0.2">
      <c r="B342">
        <v>3013</v>
      </c>
      <c r="C342">
        <v>5</v>
      </c>
      <c r="D342">
        <v>18.100000000000001</v>
      </c>
      <c r="E342">
        <v>0.3</v>
      </c>
      <c r="F342">
        <v>0.6</v>
      </c>
      <c r="G342">
        <v>0.6</v>
      </c>
      <c r="H342">
        <v>195</v>
      </c>
      <c r="I342">
        <v>8</v>
      </c>
      <c r="J342">
        <v>1</v>
      </c>
      <c r="K342">
        <v>82.1</v>
      </c>
      <c r="L342" t="s">
        <v>115</v>
      </c>
      <c r="M342" t="s">
        <v>116</v>
      </c>
    </row>
    <row r="343" spans="2:13" x14ac:dyDescent="0.2">
      <c r="B343">
        <v>3014</v>
      </c>
      <c r="C343">
        <v>1</v>
      </c>
      <c r="D343">
        <v>0</v>
      </c>
      <c r="E343">
        <v>0</v>
      </c>
      <c r="F343">
        <v>0.6</v>
      </c>
      <c r="G343">
        <v>0.6</v>
      </c>
      <c r="H343">
        <v>0</v>
      </c>
      <c r="I343">
        <v>0</v>
      </c>
      <c r="J343">
        <v>0</v>
      </c>
      <c r="K343">
        <v>50</v>
      </c>
      <c r="L343" t="s">
        <v>113</v>
      </c>
      <c r="M343" t="s">
        <v>114</v>
      </c>
    </row>
    <row r="344" spans="2:13" x14ac:dyDescent="0.2">
      <c r="B344">
        <v>3014</v>
      </c>
      <c r="C344">
        <v>1</v>
      </c>
      <c r="D344">
        <v>5.6</v>
      </c>
      <c r="E344">
        <v>0.09</v>
      </c>
      <c r="F344">
        <v>0.6</v>
      </c>
      <c r="G344">
        <v>0.6</v>
      </c>
      <c r="H344">
        <v>60</v>
      </c>
      <c r="I344">
        <v>0</v>
      </c>
      <c r="J344">
        <v>1</v>
      </c>
      <c r="K344">
        <v>34.4</v>
      </c>
      <c r="L344" t="s">
        <v>122</v>
      </c>
      <c r="M344" t="s">
        <v>118</v>
      </c>
    </row>
    <row r="345" spans="2:13" x14ac:dyDescent="0.2">
      <c r="B345">
        <v>3014</v>
      </c>
      <c r="C345">
        <v>1</v>
      </c>
      <c r="D345">
        <v>6</v>
      </c>
      <c r="E345">
        <v>0.1</v>
      </c>
      <c r="F345">
        <v>0.6</v>
      </c>
      <c r="G345">
        <v>0.6</v>
      </c>
      <c r="H345">
        <v>65</v>
      </c>
      <c r="I345">
        <v>0</v>
      </c>
      <c r="J345">
        <v>1</v>
      </c>
      <c r="K345">
        <v>34.700000000000003</v>
      </c>
      <c r="L345" t="s">
        <v>132</v>
      </c>
      <c r="M345" t="s">
        <v>116</v>
      </c>
    </row>
    <row r="346" spans="2:13" x14ac:dyDescent="0.2">
      <c r="B346">
        <v>3014</v>
      </c>
      <c r="C346">
        <v>1</v>
      </c>
      <c r="D346">
        <v>12.1</v>
      </c>
      <c r="E346">
        <v>0.2</v>
      </c>
      <c r="F346">
        <v>0.6</v>
      </c>
      <c r="G346">
        <v>0.6</v>
      </c>
      <c r="H346">
        <v>130</v>
      </c>
      <c r="I346">
        <v>4</v>
      </c>
      <c r="J346">
        <v>1</v>
      </c>
      <c r="K346">
        <v>35.5</v>
      </c>
      <c r="L346" t="s">
        <v>115</v>
      </c>
      <c r="M346" t="s">
        <v>116</v>
      </c>
    </row>
    <row r="347" spans="2:13" x14ac:dyDescent="0.2">
      <c r="B347">
        <v>3014</v>
      </c>
      <c r="C347">
        <v>1</v>
      </c>
      <c r="D347">
        <v>18.100000000000001</v>
      </c>
      <c r="E347">
        <v>0.3</v>
      </c>
      <c r="F347">
        <v>0.6</v>
      </c>
      <c r="G347">
        <v>0.6</v>
      </c>
      <c r="H347">
        <v>195</v>
      </c>
      <c r="I347">
        <v>9</v>
      </c>
      <c r="J347">
        <v>1</v>
      </c>
      <c r="K347">
        <v>35.5</v>
      </c>
      <c r="L347" t="s">
        <v>115</v>
      </c>
      <c r="M347" t="s">
        <v>116</v>
      </c>
    </row>
    <row r="348" spans="2:13" x14ac:dyDescent="0.2">
      <c r="B348">
        <v>3014</v>
      </c>
      <c r="C348">
        <v>1</v>
      </c>
      <c r="D348">
        <v>18.600000000000001</v>
      </c>
      <c r="E348">
        <v>0.31</v>
      </c>
      <c r="F348">
        <v>0.6</v>
      </c>
      <c r="G348">
        <v>0.6</v>
      </c>
      <c r="H348">
        <v>200</v>
      </c>
      <c r="I348">
        <v>9</v>
      </c>
      <c r="J348">
        <v>2</v>
      </c>
      <c r="K348">
        <v>35.799999999999997</v>
      </c>
      <c r="L348" t="s">
        <v>117</v>
      </c>
      <c r="M348" t="s">
        <v>118</v>
      </c>
    </row>
    <row r="349" spans="2:13" x14ac:dyDescent="0.2">
      <c r="B349">
        <v>3014</v>
      </c>
      <c r="C349">
        <v>2</v>
      </c>
      <c r="D349">
        <v>0</v>
      </c>
      <c r="E349">
        <v>0</v>
      </c>
      <c r="F349">
        <v>0.6</v>
      </c>
      <c r="G349">
        <v>0.6</v>
      </c>
      <c r="H349">
        <v>0</v>
      </c>
      <c r="I349">
        <v>0</v>
      </c>
      <c r="J349">
        <v>0</v>
      </c>
      <c r="K349">
        <v>50</v>
      </c>
      <c r="L349" t="s">
        <v>113</v>
      </c>
      <c r="M349" t="s">
        <v>114</v>
      </c>
    </row>
    <row r="350" spans="2:13" x14ac:dyDescent="0.2">
      <c r="B350">
        <v>3014</v>
      </c>
      <c r="C350">
        <v>2</v>
      </c>
      <c r="D350">
        <v>6</v>
      </c>
      <c r="E350">
        <v>0.1</v>
      </c>
      <c r="F350">
        <v>0.6</v>
      </c>
      <c r="G350">
        <v>0.6</v>
      </c>
      <c r="H350">
        <v>65</v>
      </c>
      <c r="I350">
        <v>1</v>
      </c>
      <c r="J350">
        <v>0</v>
      </c>
      <c r="K350">
        <v>35.5</v>
      </c>
      <c r="L350" t="s">
        <v>115</v>
      </c>
      <c r="M350" t="s">
        <v>116</v>
      </c>
    </row>
    <row r="351" spans="2:13" x14ac:dyDescent="0.2">
      <c r="B351">
        <v>3014</v>
      </c>
      <c r="C351">
        <v>2</v>
      </c>
      <c r="D351">
        <v>6.8</v>
      </c>
      <c r="E351">
        <v>0.11</v>
      </c>
      <c r="F351">
        <v>0.6</v>
      </c>
      <c r="G351">
        <v>0.6</v>
      </c>
      <c r="H351">
        <v>74</v>
      </c>
      <c r="I351">
        <v>1</v>
      </c>
      <c r="J351">
        <v>1</v>
      </c>
      <c r="K351">
        <v>35.799999999999997</v>
      </c>
      <c r="L351" t="s">
        <v>117</v>
      </c>
      <c r="M351" t="s">
        <v>118</v>
      </c>
    </row>
    <row r="352" spans="2:13" x14ac:dyDescent="0.2">
      <c r="B352">
        <v>3014</v>
      </c>
      <c r="C352">
        <v>2</v>
      </c>
      <c r="D352">
        <v>12.1</v>
      </c>
      <c r="E352">
        <v>0.2</v>
      </c>
      <c r="F352">
        <v>0.6</v>
      </c>
      <c r="G352">
        <v>0.6</v>
      </c>
      <c r="H352">
        <v>130</v>
      </c>
      <c r="I352">
        <v>4</v>
      </c>
      <c r="J352">
        <v>1</v>
      </c>
      <c r="K352">
        <v>34</v>
      </c>
      <c r="L352" t="s">
        <v>132</v>
      </c>
      <c r="M352" t="s">
        <v>116</v>
      </c>
    </row>
    <row r="353" spans="2:13" x14ac:dyDescent="0.2">
      <c r="B353">
        <v>3014</v>
      </c>
      <c r="C353">
        <v>2</v>
      </c>
      <c r="D353">
        <v>13.5</v>
      </c>
      <c r="E353">
        <v>0.23</v>
      </c>
      <c r="F353">
        <v>0.6</v>
      </c>
      <c r="G353">
        <v>0.6</v>
      </c>
      <c r="H353">
        <v>146</v>
      </c>
      <c r="I353">
        <v>5</v>
      </c>
      <c r="J353">
        <v>2</v>
      </c>
      <c r="K353">
        <v>34.299999999999997</v>
      </c>
      <c r="L353" t="s">
        <v>119</v>
      </c>
      <c r="M353" t="s">
        <v>118</v>
      </c>
    </row>
    <row r="354" spans="2:13" x14ac:dyDescent="0.2">
      <c r="B354">
        <v>3014</v>
      </c>
      <c r="C354">
        <v>2</v>
      </c>
      <c r="D354">
        <v>18.100000000000001</v>
      </c>
      <c r="E354">
        <v>0.3</v>
      </c>
      <c r="F354">
        <v>0.6</v>
      </c>
      <c r="G354">
        <v>0.6</v>
      </c>
      <c r="H354">
        <v>195</v>
      </c>
      <c r="I354">
        <v>6</v>
      </c>
      <c r="J354">
        <v>2</v>
      </c>
      <c r="K354">
        <v>35.200000000000003</v>
      </c>
      <c r="L354" t="s">
        <v>132</v>
      </c>
      <c r="M354" t="s">
        <v>116</v>
      </c>
    </row>
    <row r="355" spans="2:13" x14ac:dyDescent="0.2">
      <c r="B355">
        <v>3014</v>
      </c>
      <c r="C355">
        <v>3</v>
      </c>
      <c r="D355">
        <v>0</v>
      </c>
      <c r="E355">
        <v>0</v>
      </c>
      <c r="F355">
        <v>0.6</v>
      </c>
      <c r="G355">
        <v>0.6</v>
      </c>
      <c r="H355">
        <v>0</v>
      </c>
      <c r="I355">
        <v>0</v>
      </c>
      <c r="J355">
        <v>0</v>
      </c>
      <c r="K355">
        <v>50</v>
      </c>
      <c r="L355" t="s">
        <v>113</v>
      </c>
      <c r="M355" t="s">
        <v>114</v>
      </c>
    </row>
    <row r="356" spans="2:13" x14ac:dyDescent="0.2">
      <c r="B356">
        <v>3014</v>
      </c>
      <c r="C356">
        <v>3</v>
      </c>
      <c r="D356">
        <v>6</v>
      </c>
      <c r="E356">
        <v>0.1</v>
      </c>
      <c r="F356">
        <v>0.6</v>
      </c>
      <c r="G356">
        <v>0.6</v>
      </c>
      <c r="H356">
        <v>65</v>
      </c>
      <c r="I356">
        <v>0</v>
      </c>
      <c r="J356">
        <v>0</v>
      </c>
      <c r="K356">
        <v>33.9</v>
      </c>
      <c r="L356" t="s">
        <v>115</v>
      </c>
      <c r="M356" t="s">
        <v>116</v>
      </c>
    </row>
    <row r="357" spans="2:13" x14ac:dyDescent="0.2">
      <c r="B357">
        <v>3014</v>
      </c>
      <c r="C357">
        <v>3</v>
      </c>
      <c r="D357">
        <v>12.1</v>
      </c>
      <c r="E357">
        <v>0.2</v>
      </c>
      <c r="F357">
        <v>0.6</v>
      </c>
      <c r="G357">
        <v>0.7</v>
      </c>
      <c r="H357">
        <v>130</v>
      </c>
      <c r="I357">
        <v>2</v>
      </c>
      <c r="J357">
        <v>0</v>
      </c>
      <c r="K357">
        <v>86.7</v>
      </c>
      <c r="L357" t="s">
        <v>128</v>
      </c>
      <c r="M357" t="s">
        <v>116</v>
      </c>
    </row>
    <row r="358" spans="2:13" x14ac:dyDescent="0.2">
      <c r="B358">
        <v>3014</v>
      </c>
      <c r="C358">
        <v>3</v>
      </c>
      <c r="D358">
        <v>12.4</v>
      </c>
      <c r="E358">
        <v>0.21</v>
      </c>
      <c r="F358">
        <v>0.7</v>
      </c>
      <c r="G358">
        <v>0.7</v>
      </c>
      <c r="H358">
        <v>135</v>
      </c>
      <c r="I358">
        <v>2</v>
      </c>
      <c r="J358">
        <v>1</v>
      </c>
      <c r="K358">
        <v>76.900000000000006</v>
      </c>
      <c r="L358" t="s">
        <v>117</v>
      </c>
      <c r="M358" t="s">
        <v>118</v>
      </c>
    </row>
    <row r="359" spans="2:13" x14ac:dyDescent="0.2">
      <c r="B359">
        <v>3014</v>
      </c>
      <c r="C359">
        <v>3</v>
      </c>
      <c r="D359">
        <v>15.9</v>
      </c>
      <c r="E359">
        <v>0.26</v>
      </c>
      <c r="F359">
        <v>0.7</v>
      </c>
      <c r="G359">
        <v>0.7</v>
      </c>
      <c r="H359">
        <v>178</v>
      </c>
      <c r="I359">
        <v>6</v>
      </c>
      <c r="J359">
        <v>2</v>
      </c>
      <c r="K359">
        <v>73.900000000000006</v>
      </c>
      <c r="L359" t="s">
        <v>119</v>
      </c>
      <c r="M359" t="s">
        <v>118</v>
      </c>
    </row>
    <row r="360" spans="2:13" x14ac:dyDescent="0.2">
      <c r="B360">
        <v>3014</v>
      </c>
      <c r="C360">
        <v>3</v>
      </c>
      <c r="D360">
        <v>16</v>
      </c>
      <c r="E360">
        <v>0.27</v>
      </c>
      <c r="F360">
        <v>0.7</v>
      </c>
      <c r="G360">
        <v>0.7</v>
      </c>
      <c r="H360">
        <v>179</v>
      </c>
      <c r="I360">
        <v>7</v>
      </c>
      <c r="J360">
        <v>3</v>
      </c>
      <c r="K360">
        <v>69.900000000000006</v>
      </c>
      <c r="L360" t="s">
        <v>125</v>
      </c>
      <c r="M360" t="s">
        <v>118</v>
      </c>
    </row>
    <row r="361" spans="2:13" x14ac:dyDescent="0.2">
      <c r="B361">
        <v>3014</v>
      </c>
      <c r="C361">
        <v>4</v>
      </c>
      <c r="D361">
        <v>0</v>
      </c>
      <c r="E361">
        <v>0</v>
      </c>
      <c r="F361">
        <v>0.6</v>
      </c>
      <c r="G361">
        <v>0.6</v>
      </c>
      <c r="H361">
        <v>0</v>
      </c>
      <c r="I361">
        <v>0</v>
      </c>
      <c r="J361">
        <v>0</v>
      </c>
      <c r="K361">
        <v>50</v>
      </c>
      <c r="L361" t="s">
        <v>113</v>
      </c>
      <c r="M361" t="s">
        <v>114</v>
      </c>
    </row>
    <row r="362" spans="2:13" x14ac:dyDescent="0.2">
      <c r="B362">
        <v>3014</v>
      </c>
      <c r="C362">
        <v>4</v>
      </c>
      <c r="D362">
        <v>6</v>
      </c>
      <c r="E362">
        <v>0.1</v>
      </c>
      <c r="F362">
        <v>0.6</v>
      </c>
      <c r="G362">
        <v>0.7</v>
      </c>
      <c r="H362">
        <v>65</v>
      </c>
      <c r="I362">
        <v>0</v>
      </c>
      <c r="J362">
        <v>0</v>
      </c>
      <c r="K362">
        <v>91.3</v>
      </c>
      <c r="L362" t="s">
        <v>128</v>
      </c>
      <c r="M362" t="s">
        <v>116</v>
      </c>
    </row>
    <row r="363" spans="2:13" x14ac:dyDescent="0.2">
      <c r="B363">
        <v>3014</v>
      </c>
      <c r="C363">
        <v>4</v>
      </c>
      <c r="D363">
        <v>6.5</v>
      </c>
      <c r="E363">
        <v>0.11</v>
      </c>
      <c r="F363">
        <v>0.7</v>
      </c>
      <c r="G363">
        <v>0.7</v>
      </c>
      <c r="H363">
        <v>71</v>
      </c>
      <c r="I363">
        <v>1</v>
      </c>
      <c r="J363">
        <v>1</v>
      </c>
      <c r="K363">
        <v>74.099999999999994</v>
      </c>
      <c r="L363" t="s">
        <v>142</v>
      </c>
      <c r="M363" t="s">
        <v>118</v>
      </c>
    </row>
    <row r="364" spans="2:13" x14ac:dyDescent="0.2">
      <c r="B364">
        <v>3014</v>
      </c>
      <c r="C364">
        <v>4</v>
      </c>
      <c r="D364">
        <v>11.4</v>
      </c>
      <c r="E364">
        <v>0.19</v>
      </c>
      <c r="F364">
        <v>0.7</v>
      </c>
      <c r="G364">
        <v>0.7</v>
      </c>
      <c r="H364">
        <v>133</v>
      </c>
      <c r="I364">
        <v>2</v>
      </c>
      <c r="J364">
        <v>2</v>
      </c>
      <c r="K364">
        <v>64.900000000000006</v>
      </c>
      <c r="L364" t="s">
        <v>127</v>
      </c>
      <c r="M364" t="s">
        <v>118</v>
      </c>
    </row>
    <row r="365" spans="2:13" x14ac:dyDescent="0.2">
      <c r="B365">
        <v>3014</v>
      </c>
      <c r="C365">
        <v>4</v>
      </c>
      <c r="D365">
        <v>11.5</v>
      </c>
      <c r="E365">
        <v>0.19</v>
      </c>
      <c r="F365">
        <v>0.7</v>
      </c>
      <c r="G365">
        <v>0.7</v>
      </c>
      <c r="H365">
        <v>134</v>
      </c>
      <c r="I365">
        <v>2</v>
      </c>
      <c r="J365">
        <v>3</v>
      </c>
      <c r="K365">
        <v>60</v>
      </c>
      <c r="L365" t="s">
        <v>125</v>
      </c>
      <c r="M365" t="s">
        <v>118</v>
      </c>
    </row>
    <row r="366" spans="2:13" x14ac:dyDescent="0.2">
      <c r="B366">
        <v>3014</v>
      </c>
      <c r="C366">
        <v>4</v>
      </c>
      <c r="D366">
        <v>12.1</v>
      </c>
      <c r="E366">
        <v>0.2</v>
      </c>
      <c r="F366">
        <v>0.7</v>
      </c>
      <c r="G366">
        <v>0.55000000000000004</v>
      </c>
      <c r="H366">
        <v>141</v>
      </c>
      <c r="I366">
        <v>2</v>
      </c>
      <c r="J366">
        <v>3</v>
      </c>
      <c r="K366">
        <v>60</v>
      </c>
      <c r="L366" t="s">
        <v>126</v>
      </c>
      <c r="M366" t="s">
        <v>116</v>
      </c>
    </row>
    <row r="367" spans="2:13" x14ac:dyDescent="0.2">
      <c r="B367">
        <v>3014</v>
      </c>
      <c r="C367">
        <v>4</v>
      </c>
      <c r="D367">
        <v>16</v>
      </c>
      <c r="E367">
        <v>0.27</v>
      </c>
      <c r="F367">
        <v>0.55000000000000004</v>
      </c>
      <c r="G367">
        <v>0.55000000000000004</v>
      </c>
      <c r="H367">
        <v>180</v>
      </c>
      <c r="I367">
        <v>3</v>
      </c>
      <c r="J367">
        <v>4</v>
      </c>
      <c r="K367">
        <v>56.3</v>
      </c>
      <c r="L367" t="s">
        <v>140</v>
      </c>
      <c r="M367" t="s">
        <v>118</v>
      </c>
    </row>
    <row r="368" spans="2:13" x14ac:dyDescent="0.2">
      <c r="B368">
        <v>3014</v>
      </c>
      <c r="C368">
        <v>4</v>
      </c>
      <c r="D368">
        <v>18.100000000000001</v>
      </c>
      <c r="E368">
        <v>0.3</v>
      </c>
      <c r="F368">
        <v>0.55000000000000004</v>
      </c>
      <c r="G368">
        <v>0.55000000000000004</v>
      </c>
      <c r="H368">
        <v>200</v>
      </c>
      <c r="I368">
        <v>3</v>
      </c>
      <c r="J368">
        <v>4</v>
      </c>
      <c r="K368">
        <v>56.1</v>
      </c>
      <c r="L368" t="s">
        <v>132</v>
      </c>
      <c r="M368" t="s">
        <v>116</v>
      </c>
    </row>
    <row r="369" spans="2:13" x14ac:dyDescent="0.2">
      <c r="B369">
        <v>3014</v>
      </c>
      <c r="C369">
        <v>5</v>
      </c>
      <c r="D369">
        <v>0</v>
      </c>
      <c r="E369">
        <v>0</v>
      </c>
      <c r="F369">
        <v>0.6</v>
      </c>
      <c r="G369">
        <v>0.6</v>
      </c>
      <c r="H369">
        <v>0</v>
      </c>
      <c r="I369">
        <v>0</v>
      </c>
      <c r="J369">
        <v>0</v>
      </c>
      <c r="K369">
        <v>50</v>
      </c>
      <c r="L369" t="s">
        <v>113</v>
      </c>
      <c r="M369" t="s">
        <v>114</v>
      </c>
    </row>
    <row r="370" spans="2:13" x14ac:dyDescent="0.2">
      <c r="B370">
        <v>3014</v>
      </c>
      <c r="C370">
        <v>5</v>
      </c>
      <c r="D370">
        <v>6</v>
      </c>
      <c r="E370">
        <v>0.1</v>
      </c>
      <c r="F370">
        <v>0.6</v>
      </c>
      <c r="G370">
        <v>0.6</v>
      </c>
      <c r="H370">
        <v>65</v>
      </c>
      <c r="I370">
        <v>1</v>
      </c>
      <c r="J370">
        <v>0</v>
      </c>
      <c r="K370">
        <v>37.200000000000003</v>
      </c>
      <c r="L370" t="s">
        <v>115</v>
      </c>
      <c r="M370" t="s">
        <v>116</v>
      </c>
    </row>
    <row r="371" spans="2:13" x14ac:dyDescent="0.2">
      <c r="B371">
        <v>3014</v>
      </c>
      <c r="C371">
        <v>5</v>
      </c>
      <c r="D371">
        <v>12.1</v>
      </c>
      <c r="E371">
        <v>0.2</v>
      </c>
      <c r="F371">
        <v>0.6</v>
      </c>
      <c r="G371">
        <v>0.6</v>
      </c>
      <c r="H371">
        <v>130</v>
      </c>
      <c r="I371">
        <v>4</v>
      </c>
      <c r="J371">
        <v>0</v>
      </c>
      <c r="K371">
        <v>87.8</v>
      </c>
      <c r="L371" t="s">
        <v>115</v>
      </c>
      <c r="M371" t="s">
        <v>116</v>
      </c>
    </row>
    <row r="372" spans="2:13" x14ac:dyDescent="0.2">
      <c r="B372">
        <v>3014</v>
      </c>
      <c r="C372">
        <v>5</v>
      </c>
      <c r="D372">
        <v>16.100000000000001</v>
      </c>
      <c r="E372">
        <v>0.27</v>
      </c>
      <c r="F372">
        <v>0.6</v>
      </c>
      <c r="G372">
        <v>0.6</v>
      </c>
      <c r="H372">
        <v>174</v>
      </c>
      <c r="I372">
        <v>5</v>
      </c>
      <c r="J372">
        <v>1</v>
      </c>
      <c r="K372">
        <v>63.7</v>
      </c>
      <c r="L372" t="s">
        <v>117</v>
      </c>
      <c r="M372" t="s">
        <v>118</v>
      </c>
    </row>
    <row r="373" spans="2:13" x14ac:dyDescent="0.2">
      <c r="B373">
        <v>3014</v>
      </c>
      <c r="C373">
        <v>5</v>
      </c>
      <c r="D373">
        <v>16.399999999999999</v>
      </c>
      <c r="E373">
        <v>0.27</v>
      </c>
      <c r="F373">
        <v>0.6</v>
      </c>
      <c r="G373">
        <v>0.6</v>
      </c>
      <c r="H373">
        <v>177</v>
      </c>
      <c r="I373">
        <v>5</v>
      </c>
      <c r="J373">
        <v>2</v>
      </c>
      <c r="K373">
        <v>55.2</v>
      </c>
      <c r="L373" t="s">
        <v>119</v>
      </c>
      <c r="M373" t="s">
        <v>118</v>
      </c>
    </row>
    <row r="374" spans="2:13" x14ac:dyDescent="0.2">
      <c r="B374">
        <v>3014</v>
      </c>
      <c r="C374">
        <v>5</v>
      </c>
      <c r="D374">
        <v>18.100000000000001</v>
      </c>
      <c r="E374">
        <v>0.3</v>
      </c>
      <c r="F374">
        <v>0.6</v>
      </c>
      <c r="G374">
        <v>0.45</v>
      </c>
      <c r="H374">
        <v>195</v>
      </c>
      <c r="I374">
        <v>9</v>
      </c>
      <c r="J374">
        <v>2</v>
      </c>
      <c r="K374">
        <v>55.4</v>
      </c>
      <c r="L374" t="s">
        <v>126</v>
      </c>
      <c r="M374" t="s">
        <v>116</v>
      </c>
    </row>
    <row r="375" spans="2:13" x14ac:dyDescent="0.2">
      <c r="B375">
        <v>3015</v>
      </c>
      <c r="C375">
        <v>1</v>
      </c>
      <c r="D375">
        <v>0</v>
      </c>
      <c r="E375">
        <v>0</v>
      </c>
      <c r="F375">
        <v>0.6</v>
      </c>
      <c r="G375">
        <v>0.6</v>
      </c>
      <c r="H375">
        <v>0</v>
      </c>
      <c r="I375">
        <v>0</v>
      </c>
      <c r="J375">
        <v>0</v>
      </c>
      <c r="K375">
        <v>50</v>
      </c>
      <c r="L375" t="s">
        <v>113</v>
      </c>
      <c r="M375" t="s">
        <v>114</v>
      </c>
    </row>
    <row r="376" spans="2:13" x14ac:dyDescent="0.2">
      <c r="B376">
        <v>3015</v>
      </c>
      <c r="C376">
        <v>1</v>
      </c>
      <c r="D376">
        <v>6</v>
      </c>
      <c r="E376">
        <v>0.1</v>
      </c>
      <c r="F376">
        <v>0.6</v>
      </c>
      <c r="G376">
        <v>0.6</v>
      </c>
      <c r="H376">
        <v>65</v>
      </c>
      <c r="I376">
        <v>0</v>
      </c>
      <c r="J376">
        <v>0</v>
      </c>
      <c r="K376">
        <v>46.7</v>
      </c>
      <c r="L376" t="s">
        <v>115</v>
      </c>
      <c r="M376" t="s">
        <v>116</v>
      </c>
    </row>
    <row r="377" spans="2:13" x14ac:dyDescent="0.2">
      <c r="B377">
        <v>3015</v>
      </c>
      <c r="C377">
        <v>1</v>
      </c>
      <c r="D377">
        <v>12.1</v>
      </c>
      <c r="E377">
        <v>0.2</v>
      </c>
      <c r="F377">
        <v>0.6</v>
      </c>
      <c r="G377">
        <v>0.7</v>
      </c>
      <c r="H377">
        <v>130</v>
      </c>
      <c r="I377">
        <v>1</v>
      </c>
      <c r="J377">
        <v>0</v>
      </c>
      <c r="K377">
        <v>96.3</v>
      </c>
      <c r="L377" t="s">
        <v>128</v>
      </c>
      <c r="M377" t="s">
        <v>116</v>
      </c>
    </row>
    <row r="378" spans="2:13" x14ac:dyDescent="0.2">
      <c r="B378">
        <v>3015</v>
      </c>
      <c r="C378">
        <v>2</v>
      </c>
      <c r="D378">
        <v>0</v>
      </c>
      <c r="E378">
        <v>0</v>
      </c>
      <c r="F378">
        <v>0.6</v>
      </c>
      <c r="G378">
        <v>0.6</v>
      </c>
      <c r="H378">
        <v>0</v>
      </c>
      <c r="I378">
        <v>0</v>
      </c>
      <c r="J378">
        <v>0</v>
      </c>
      <c r="K378">
        <v>50</v>
      </c>
      <c r="L378" t="s">
        <v>113</v>
      </c>
      <c r="M378" t="s">
        <v>114</v>
      </c>
    </row>
    <row r="379" spans="2:13" x14ac:dyDescent="0.2">
      <c r="B379">
        <v>3015</v>
      </c>
      <c r="C379">
        <v>2</v>
      </c>
      <c r="D379">
        <v>6</v>
      </c>
      <c r="E379">
        <v>0.1</v>
      </c>
      <c r="F379">
        <v>0.6</v>
      </c>
      <c r="G379">
        <v>0.7</v>
      </c>
      <c r="H379">
        <v>65</v>
      </c>
      <c r="I379">
        <v>0</v>
      </c>
      <c r="J379">
        <v>0</v>
      </c>
      <c r="K379">
        <v>94.6</v>
      </c>
      <c r="L379" t="s">
        <v>128</v>
      </c>
      <c r="M379" t="s">
        <v>116</v>
      </c>
    </row>
    <row r="380" spans="2:13" x14ac:dyDescent="0.2">
      <c r="B380">
        <v>3015</v>
      </c>
      <c r="C380">
        <v>2</v>
      </c>
      <c r="D380">
        <v>12.1</v>
      </c>
      <c r="E380">
        <v>0.2</v>
      </c>
      <c r="F380">
        <v>0.7</v>
      </c>
      <c r="G380">
        <v>0.8</v>
      </c>
      <c r="H380">
        <v>141</v>
      </c>
      <c r="I380">
        <v>5</v>
      </c>
      <c r="J380">
        <v>0</v>
      </c>
      <c r="K380">
        <v>93.8</v>
      </c>
      <c r="L380" t="s">
        <v>128</v>
      </c>
      <c r="M380" t="s">
        <v>116</v>
      </c>
    </row>
    <row r="381" spans="2:13" x14ac:dyDescent="0.2">
      <c r="B381">
        <v>3015</v>
      </c>
      <c r="C381">
        <v>3</v>
      </c>
      <c r="D381">
        <v>0</v>
      </c>
      <c r="E381">
        <v>0</v>
      </c>
      <c r="F381">
        <v>0.6</v>
      </c>
      <c r="G381">
        <v>0.6</v>
      </c>
      <c r="H381">
        <v>0</v>
      </c>
      <c r="I381">
        <v>0</v>
      </c>
      <c r="J381">
        <v>0</v>
      </c>
      <c r="K381">
        <v>50</v>
      </c>
      <c r="L381" t="s">
        <v>113</v>
      </c>
      <c r="M381" t="s">
        <v>114</v>
      </c>
    </row>
    <row r="382" spans="2:13" x14ac:dyDescent="0.2">
      <c r="B382">
        <v>3015</v>
      </c>
      <c r="C382">
        <v>3</v>
      </c>
      <c r="D382">
        <v>6</v>
      </c>
      <c r="E382">
        <v>0.1</v>
      </c>
      <c r="F382">
        <v>0.6</v>
      </c>
      <c r="G382">
        <v>0.6</v>
      </c>
      <c r="H382">
        <v>65</v>
      </c>
      <c r="I382">
        <v>0</v>
      </c>
      <c r="J382">
        <v>0</v>
      </c>
      <c r="K382">
        <v>45.5</v>
      </c>
      <c r="L382" t="s">
        <v>115</v>
      </c>
      <c r="M382" t="s">
        <v>116</v>
      </c>
    </row>
    <row r="383" spans="2:13" x14ac:dyDescent="0.2">
      <c r="B383">
        <v>3015</v>
      </c>
      <c r="C383">
        <v>3</v>
      </c>
      <c r="D383">
        <v>12.1</v>
      </c>
      <c r="E383">
        <v>0.2</v>
      </c>
      <c r="F383">
        <v>0.6</v>
      </c>
      <c r="G383">
        <v>0.7</v>
      </c>
      <c r="H383">
        <v>130</v>
      </c>
      <c r="I383">
        <v>2</v>
      </c>
      <c r="J383">
        <v>0</v>
      </c>
      <c r="K383">
        <v>96.1</v>
      </c>
      <c r="L383" t="s">
        <v>128</v>
      </c>
      <c r="M383" t="s">
        <v>116</v>
      </c>
    </row>
    <row r="384" spans="2:13" x14ac:dyDescent="0.2">
      <c r="B384">
        <v>3015</v>
      </c>
      <c r="C384">
        <v>4</v>
      </c>
      <c r="D384">
        <v>0</v>
      </c>
      <c r="E384">
        <v>0</v>
      </c>
      <c r="F384">
        <v>0.6</v>
      </c>
      <c r="G384">
        <v>0.6</v>
      </c>
      <c r="H384">
        <v>0</v>
      </c>
      <c r="I384">
        <v>0</v>
      </c>
      <c r="J384">
        <v>0</v>
      </c>
      <c r="K384">
        <v>50</v>
      </c>
      <c r="L384" t="s">
        <v>113</v>
      </c>
      <c r="M384" t="s">
        <v>114</v>
      </c>
    </row>
    <row r="385" spans="2:13" x14ac:dyDescent="0.2">
      <c r="B385">
        <v>3015</v>
      </c>
      <c r="C385">
        <v>4</v>
      </c>
      <c r="D385">
        <v>6</v>
      </c>
      <c r="E385">
        <v>0.1</v>
      </c>
      <c r="F385">
        <v>0.6</v>
      </c>
      <c r="G385">
        <v>0.6</v>
      </c>
      <c r="H385">
        <v>65</v>
      </c>
      <c r="I385">
        <v>0</v>
      </c>
      <c r="J385">
        <v>0</v>
      </c>
      <c r="K385">
        <v>47.1</v>
      </c>
      <c r="L385" t="s">
        <v>115</v>
      </c>
      <c r="M385" t="s">
        <v>116</v>
      </c>
    </row>
    <row r="386" spans="2:13" x14ac:dyDescent="0.2">
      <c r="B386">
        <v>3015</v>
      </c>
      <c r="C386">
        <v>4</v>
      </c>
      <c r="D386">
        <v>12.1</v>
      </c>
      <c r="E386">
        <v>0.2</v>
      </c>
      <c r="F386">
        <v>0.6</v>
      </c>
      <c r="G386">
        <v>0.6</v>
      </c>
      <c r="H386">
        <v>130</v>
      </c>
      <c r="I386">
        <v>4</v>
      </c>
      <c r="J386">
        <v>0</v>
      </c>
      <c r="K386">
        <v>96.3</v>
      </c>
      <c r="L386" t="s">
        <v>115</v>
      </c>
      <c r="M386" t="s">
        <v>116</v>
      </c>
    </row>
    <row r="387" spans="2:13" x14ac:dyDescent="0.2">
      <c r="B387">
        <v>3015</v>
      </c>
      <c r="C387">
        <v>4</v>
      </c>
      <c r="D387">
        <v>14.2</v>
      </c>
      <c r="E387">
        <v>0.24</v>
      </c>
      <c r="F387">
        <v>0.6</v>
      </c>
      <c r="G387">
        <v>0.6</v>
      </c>
      <c r="H387">
        <v>153</v>
      </c>
      <c r="I387">
        <v>7</v>
      </c>
      <c r="J387">
        <v>1</v>
      </c>
      <c r="K387">
        <v>79.599999999999994</v>
      </c>
      <c r="L387" t="s">
        <v>122</v>
      </c>
      <c r="M387" t="s">
        <v>118</v>
      </c>
    </row>
    <row r="388" spans="2:13" x14ac:dyDescent="0.2">
      <c r="B388">
        <v>3015</v>
      </c>
      <c r="C388">
        <v>4</v>
      </c>
      <c r="D388">
        <v>18.100000000000001</v>
      </c>
      <c r="E388">
        <v>0.3</v>
      </c>
      <c r="F388">
        <v>0.6</v>
      </c>
      <c r="G388">
        <v>0.6</v>
      </c>
      <c r="H388">
        <v>195</v>
      </c>
      <c r="I388">
        <v>10</v>
      </c>
      <c r="J388">
        <v>1</v>
      </c>
      <c r="K388">
        <v>79.5</v>
      </c>
      <c r="L388" t="s">
        <v>121</v>
      </c>
      <c r="M388" t="s">
        <v>116</v>
      </c>
    </row>
    <row r="389" spans="2:13" x14ac:dyDescent="0.2">
      <c r="B389">
        <v>3015</v>
      </c>
      <c r="C389">
        <v>5</v>
      </c>
      <c r="D389">
        <v>0</v>
      </c>
      <c r="E389">
        <v>0</v>
      </c>
      <c r="F389">
        <v>0.6</v>
      </c>
      <c r="G389">
        <v>0.6</v>
      </c>
      <c r="H389">
        <v>0</v>
      </c>
      <c r="I389">
        <v>0</v>
      </c>
      <c r="J389">
        <v>0</v>
      </c>
      <c r="K389">
        <v>50</v>
      </c>
      <c r="L389" t="s">
        <v>113</v>
      </c>
      <c r="M389" t="s">
        <v>114</v>
      </c>
    </row>
    <row r="390" spans="2:13" x14ac:dyDescent="0.2">
      <c r="B390">
        <v>3015</v>
      </c>
      <c r="C390">
        <v>5</v>
      </c>
      <c r="D390">
        <v>6</v>
      </c>
      <c r="E390">
        <v>0.1</v>
      </c>
      <c r="F390">
        <v>0.6</v>
      </c>
      <c r="G390">
        <v>0.6</v>
      </c>
      <c r="H390">
        <v>65</v>
      </c>
      <c r="I390">
        <v>0</v>
      </c>
      <c r="J390">
        <v>0</v>
      </c>
      <c r="K390">
        <v>47.9</v>
      </c>
      <c r="L390" t="s">
        <v>115</v>
      </c>
      <c r="M390" t="s">
        <v>116</v>
      </c>
    </row>
    <row r="391" spans="2:13" x14ac:dyDescent="0.2">
      <c r="B391">
        <v>3015</v>
      </c>
      <c r="C391">
        <v>5</v>
      </c>
      <c r="D391">
        <v>12.1</v>
      </c>
      <c r="E391">
        <v>0.2</v>
      </c>
      <c r="F391">
        <v>0.6</v>
      </c>
      <c r="G391">
        <v>0.7</v>
      </c>
      <c r="H391">
        <v>130</v>
      </c>
      <c r="I391">
        <v>5</v>
      </c>
      <c r="J391">
        <v>0</v>
      </c>
      <c r="K391">
        <v>97.7</v>
      </c>
      <c r="L391" t="s">
        <v>128</v>
      </c>
      <c r="M391" t="s">
        <v>116</v>
      </c>
    </row>
    <row r="392" spans="2:13" x14ac:dyDescent="0.2">
      <c r="B392">
        <v>3015</v>
      </c>
      <c r="C392">
        <v>5</v>
      </c>
      <c r="D392">
        <v>16.2</v>
      </c>
      <c r="E392">
        <v>0.27</v>
      </c>
      <c r="F392">
        <v>0.7</v>
      </c>
      <c r="G392">
        <v>0.7</v>
      </c>
      <c r="H392">
        <v>182</v>
      </c>
      <c r="I392">
        <v>8</v>
      </c>
      <c r="J392">
        <v>1</v>
      </c>
      <c r="K392">
        <v>86.4</v>
      </c>
      <c r="L392" t="s">
        <v>117</v>
      </c>
      <c r="M392" t="s">
        <v>118</v>
      </c>
    </row>
    <row r="393" spans="2:13" x14ac:dyDescent="0.2">
      <c r="B393">
        <v>3016</v>
      </c>
      <c r="C393">
        <v>1</v>
      </c>
      <c r="D393">
        <v>0</v>
      </c>
      <c r="E393">
        <v>0</v>
      </c>
      <c r="F393">
        <v>0.6</v>
      </c>
      <c r="G393">
        <v>0.6</v>
      </c>
      <c r="H393">
        <v>0</v>
      </c>
      <c r="I393">
        <v>0</v>
      </c>
      <c r="J393">
        <v>0</v>
      </c>
      <c r="K393">
        <v>50</v>
      </c>
      <c r="L393" t="s">
        <v>113</v>
      </c>
      <c r="M393" t="s">
        <v>114</v>
      </c>
    </row>
    <row r="394" spans="2:13" x14ac:dyDescent="0.2">
      <c r="B394">
        <v>3016</v>
      </c>
      <c r="C394">
        <v>1</v>
      </c>
      <c r="D394">
        <v>6</v>
      </c>
      <c r="E394">
        <v>0.1</v>
      </c>
      <c r="F394">
        <v>0.6</v>
      </c>
      <c r="G394">
        <v>0.6</v>
      </c>
      <c r="H394">
        <v>65</v>
      </c>
      <c r="I394">
        <v>1</v>
      </c>
      <c r="J394">
        <v>0</v>
      </c>
      <c r="K394">
        <v>44.2</v>
      </c>
      <c r="L394" t="s">
        <v>115</v>
      </c>
      <c r="M394" t="s">
        <v>116</v>
      </c>
    </row>
    <row r="395" spans="2:13" x14ac:dyDescent="0.2">
      <c r="B395">
        <v>3016</v>
      </c>
      <c r="C395">
        <v>1</v>
      </c>
      <c r="D395">
        <v>12.1</v>
      </c>
      <c r="E395">
        <v>0.2</v>
      </c>
      <c r="F395">
        <v>0.6</v>
      </c>
      <c r="G395">
        <v>0.6</v>
      </c>
      <c r="H395">
        <v>130</v>
      </c>
      <c r="I395">
        <v>4</v>
      </c>
      <c r="J395">
        <v>0</v>
      </c>
      <c r="K395">
        <v>94</v>
      </c>
      <c r="L395" t="s">
        <v>115</v>
      </c>
      <c r="M395" t="s">
        <v>116</v>
      </c>
    </row>
    <row r="396" spans="2:13" x14ac:dyDescent="0.2">
      <c r="B396">
        <v>3016</v>
      </c>
      <c r="C396">
        <v>1</v>
      </c>
      <c r="D396">
        <v>18.100000000000001</v>
      </c>
      <c r="E396">
        <v>0.3</v>
      </c>
      <c r="F396">
        <v>0.6</v>
      </c>
      <c r="G396">
        <v>0.6</v>
      </c>
      <c r="H396">
        <v>195</v>
      </c>
      <c r="I396">
        <v>7</v>
      </c>
      <c r="J396">
        <v>0</v>
      </c>
      <c r="K396">
        <v>93.1</v>
      </c>
      <c r="L396" t="s">
        <v>115</v>
      </c>
      <c r="M396" t="s">
        <v>116</v>
      </c>
    </row>
    <row r="397" spans="2:13" x14ac:dyDescent="0.2">
      <c r="B397">
        <v>3016</v>
      </c>
      <c r="C397">
        <v>2</v>
      </c>
      <c r="D397">
        <v>0</v>
      </c>
      <c r="E397">
        <v>0</v>
      </c>
      <c r="F397">
        <v>0.6</v>
      </c>
      <c r="G397">
        <v>0.6</v>
      </c>
      <c r="H397">
        <v>0</v>
      </c>
      <c r="I397">
        <v>0</v>
      </c>
      <c r="J397">
        <v>0</v>
      </c>
      <c r="K397">
        <v>50</v>
      </c>
      <c r="L397" t="s">
        <v>113</v>
      </c>
      <c r="M397" t="s">
        <v>114</v>
      </c>
    </row>
    <row r="398" spans="2:13" x14ac:dyDescent="0.2">
      <c r="B398">
        <v>3016</v>
      </c>
      <c r="C398">
        <v>2</v>
      </c>
      <c r="D398">
        <v>6</v>
      </c>
      <c r="E398">
        <v>0.1</v>
      </c>
      <c r="F398">
        <v>0.6</v>
      </c>
      <c r="G398">
        <v>0.6</v>
      </c>
      <c r="H398">
        <v>65</v>
      </c>
      <c r="I398">
        <v>0</v>
      </c>
      <c r="J398">
        <v>0</v>
      </c>
      <c r="K398">
        <v>96.3</v>
      </c>
      <c r="L398" t="s">
        <v>115</v>
      </c>
      <c r="M398" t="s">
        <v>116</v>
      </c>
    </row>
    <row r="399" spans="2:13" x14ac:dyDescent="0.2">
      <c r="B399">
        <v>3016</v>
      </c>
      <c r="C399">
        <v>2</v>
      </c>
      <c r="D399">
        <v>12.1</v>
      </c>
      <c r="E399">
        <v>0.2</v>
      </c>
      <c r="F399">
        <v>0.6</v>
      </c>
      <c r="G399">
        <v>0.7</v>
      </c>
      <c r="H399">
        <v>130</v>
      </c>
      <c r="I399">
        <v>3</v>
      </c>
      <c r="J399">
        <v>0</v>
      </c>
      <c r="K399">
        <v>96.9</v>
      </c>
      <c r="L399" t="s">
        <v>128</v>
      </c>
      <c r="M399" t="s">
        <v>116</v>
      </c>
    </row>
    <row r="400" spans="2:13" x14ac:dyDescent="0.2">
      <c r="B400">
        <v>3016</v>
      </c>
      <c r="C400">
        <v>3</v>
      </c>
      <c r="D400">
        <v>0</v>
      </c>
      <c r="E400">
        <v>0</v>
      </c>
      <c r="F400">
        <v>0.6</v>
      </c>
      <c r="G400">
        <v>0.6</v>
      </c>
      <c r="H400">
        <v>0</v>
      </c>
      <c r="I400">
        <v>0</v>
      </c>
      <c r="J400">
        <v>0</v>
      </c>
      <c r="K400">
        <v>50</v>
      </c>
      <c r="L400" t="s">
        <v>113</v>
      </c>
      <c r="M400" t="s">
        <v>114</v>
      </c>
    </row>
    <row r="401" spans="2:13" x14ac:dyDescent="0.2">
      <c r="B401">
        <v>3016</v>
      </c>
      <c r="C401">
        <v>3</v>
      </c>
      <c r="D401">
        <v>6</v>
      </c>
      <c r="E401">
        <v>0.1</v>
      </c>
      <c r="F401">
        <v>0.6</v>
      </c>
      <c r="G401">
        <v>0.6</v>
      </c>
      <c r="H401">
        <v>65</v>
      </c>
      <c r="I401">
        <v>2</v>
      </c>
      <c r="J401">
        <v>0</v>
      </c>
      <c r="K401">
        <v>42.1</v>
      </c>
      <c r="L401" t="s">
        <v>115</v>
      </c>
      <c r="M401" t="s">
        <v>116</v>
      </c>
    </row>
    <row r="402" spans="2:13" x14ac:dyDescent="0.2">
      <c r="B402">
        <v>3016</v>
      </c>
      <c r="C402">
        <v>3</v>
      </c>
      <c r="D402">
        <v>12.1</v>
      </c>
      <c r="E402">
        <v>0.2</v>
      </c>
      <c r="F402">
        <v>0.6</v>
      </c>
      <c r="G402">
        <v>0.6</v>
      </c>
      <c r="H402">
        <v>130</v>
      </c>
      <c r="I402">
        <v>7</v>
      </c>
      <c r="J402">
        <v>0</v>
      </c>
      <c r="K402">
        <v>42.9</v>
      </c>
      <c r="L402" t="s">
        <v>115</v>
      </c>
      <c r="M402" t="s">
        <v>116</v>
      </c>
    </row>
    <row r="403" spans="2:13" x14ac:dyDescent="0.2">
      <c r="B403">
        <v>3016</v>
      </c>
      <c r="C403">
        <v>3</v>
      </c>
      <c r="D403">
        <v>18.100000000000001</v>
      </c>
      <c r="E403">
        <v>0.3</v>
      </c>
      <c r="F403">
        <v>0.6</v>
      </c>
      <c r="G403">
        <v>0.6</v>
      </c>
      <c r="H403">
        <v>195</v>
      </c>
      <c r="I403">
        <v>15</v>
      </c>
      <c r="J403">
        <v>0</v>
      </c>
      <c r="K403">
        <v>94.7</v>
      </c>
      <c r="L403" t="s">
        <v>115</v>
      </c>
      <c r="M403" t="s">
        <v>116</v>
      </c>
    </row>
    <row r="404" spans="2:13" x14ac:dyDescent="0.2">
      <c r="B404">
        <v>3016</v>
      </c>
      <c r="C404">
        <v>4</v>
      </c>
      <c r="D404">
        <v>0</v>
      </c>
      <c r="E404">
        <v>0</v>
      </c>
      <c r="F404">
        <v>0.6</v>
      </c>
      <c r="G404">
        <v>0.6</v>
      </c>
      <c r="H404">
        <v>0</v>
      </c>
      <c r="I404">
        <v>0</v>
      </c>
      <c r="J404">
        <v>0</v>
      </c>
      <c r="K404">
        <v>50</v>
      </c>
      <c r="L404" t="s">
        <v>113</v>
      </c>
      <c r="M404" t="s">
        <v>114</v>
      </c>
    </row>
    <row r="405" spans="2:13" x14ac:dyDescent="0.2">
      <c r="B405">
        <v>3016</v>
      </c>
      <c r="C405">
        <v>4</v>
      </c>
      <c r="D405">
        <v>6</v>
      </c>
      <c r="E405">
        <v>0.1</v>
      </c>
      <c r="F405">
        <v>0.6</v>
      </c>
      <c r="G405">
        <v>0.6</v>
      </c>
      <c r="H405">
        <v>65</v>
      </c>
      <c r="I405">
        <v>0</v>
      </c>
      <c r="J405">
        <v>0</v>
      </c>
      <c r="K405">
        <v>45</v>
      </c>
      <c r="L405" t="s">
        <v>115</v>
      </c>
      <c r="M405" t="s">
        <v>116</v>
      </c>
    </row>
    <row r="406" spans="2:13" x14ac:dyDescent="0.2">
      <c r="B406">
        <v>3016</v>
      </c>
      <c r="C406">
        <v>4</v>
      </c>
      <c r="D406">
        <v>12.1</v>
      </c>
      <c r="E406">
        <v>0.2</v>
      </c>
      <c r="F406">
        <v>0.6</v>
      </c>
      <c r="G406">
        <v>0.7</v>
      </c>
      <c r="H406">
        <v>130</v>
      </c>
      <c r="I406">
        <v>8</v>
      </c>
      <c r="J406">
        <v>0</v>
      </c>
      <c r="K406">
        <v>96.5</v>
      </c>
      <c r="L406" t="s">
        <v>128</v>
      </c>
      <c r="M406" t="s">
        <v>116</v>
      </c>
    </row>
    <row r="407" spans="2:13" x14ac:dyDescent="0.2">
      <c r="B407">
        <v>3016</v>
      </c>
      <c r="C407">
        <v>4</v>
      </c>
      <c r="D407">
        <v>15.2</v>
      </c>
      <c r="E407">
        <v>0.25</v>
      </c>
      <c r="F407">
        <v>0.7</v>
      </c>
      <c r="G407">
        <v>0.7</v>
      </c>
      <c r="H407">
        <v>170</v>
      </c>
      <c r="I407">
        <v>8</v>
      </c>
      <c r="J407">
        <v>1</v>
      </c>
      <c r="K407">
        <v>88</v>
      </c>
      <c r="L407" t="s">
        <v>117</v>
      </c>
      <c r="M407" t="s">
        <v>118</v>
      </c>
    </row>
    <row r="408" spans="2:13" x14ac:dyDescent="0.2">
      <c r="B408">
        <v>3016</v>
      </c>
      <c r="C408">
        <v>5</v>
      </c>
      <c r="D408">
        <v>0</v>
      </c>
      <c r="E408">
        <v>0</v>
      </c>
      <c r="F408">
        <v>0.6</v>
      </c>
      <c r="G408">
        <v>0.6</v>
      </c>
      <c r="H408">
        <v>0</v>
      </c>
      <c r="I408">
        <v>0</v>
      </c>
      <c r="J408">
        <v>0</v>
      </c>
      <c r="K408">
        <v>50</v>
      </c>
      <c r="L408" t="s">
        <v>113</v>
      </c>
      <c r="M408" t="s">
        <v>114</v>
      </c>
    </row>
    <row r="409" spans="2:13" x14ac:dyDescent="0.2">
      <c r="B409">
        <v>3016</v>
      </c>
      <c r="C409">
        <v>5</v>
      </c>
      <c r="D409">
        <v>6</v>
      </c>
      <c r="E409">
        <v>0.1</v>
      </c>
      <c r="F409">
        <v>0.6</v>
      </c>
      <c r="G409">
        <v>0.6</v>
      </c>
      <c r="H409">
        <v>65</v>
      </c>
      <c r="I409">
        <v>0</v>
      </c>
      <c r="J409">
        <v>0</v>
      </c>
      <c r="K409">
        <v>44.2</v>
      </c>
      <c r="L409" t="s">
        <v>115</v>
      </c>
      <c r="M409" t="s">
        <v>116</v>
      </c>
    </row>
    <row r="410" spans="2:13" x14ac:dyDescent="0.2">
      <c r="B410">
        <v>3016</v>
      </c>
      <c r="C410">
        <v>5</v>
      </c>
      <c r="D410">
        <v>12.1</v>
      </c>
      <c r="E410">
        <v>0.2</v>
      </c>
      <c r="F410">
        <v>0.6</v>
      </c>
      <c r="G410">
        <v>0.7</v>
      </c>
      <c r="H410">
        <v>130</v>
      </c>
      <c r="I410">
        <v>5</v>
      </c>
      <c r="J410">
        <v>0</v>
      </c>
      <c r="K410">
        <v>94.6</v>
      </c>
      <c r="L410" t="s">
        <v>128</v>
      </c>
      <c r="M410" t="s">
        <v>116</v>
      </c>
    </row>
    <row r="411" spans="2:13" x14ac:dyDescent="0.2">
      <c r="B411">
        <v>3016</v>
      </c>
      <c r="C411">
        <v>5</v>
      </c>
      <c r="D411">
        <v>16.600000000000001</v>
      </c>
      <c r="E411">
        <v>0.28000000000000003</v>
      </c>
      <c r="F411">
        <v>0.7</v>
      </c>
      <c r="G411">
        <v>0.7</v>
      </c>
      <c r="H411">
        <v>187</v>
      </c>
      <c r="I411">
        <v>7</v>
      </c>
      <c r="J411">
        <v>1</v>
      </c>
      <c r="K411">
        <v>89.2</v>
      </c>
      <c r="L411" t="s">
        <v>117</v>
      </c>
      <c r="M411" t="s">
        <v>118</v>
      </c>
    </row>
    <row r="412" spans="2:13" x14ac:dyDescent="0.2">
      <c r="B412">
        <v>3017</v>
      </c>
      <c r="C412">
        <v>1</v>
      </c>
      <c r="D412">
        <v>0</v>
      </c>
      <c r="E412">
        <v>0</v>
      </c>
      <c r="F412">
        <v>0.6</v>
      </c>
      <c r="G412">
        <v>0.6</v>
      </c>
      <c r="H412">
        <v>0</v>
      </c>
      <c r="I412">
        <v>0</v>
      </c>
      <c r="J412">
        <v>0</v>
      </c>
      <c r="K412">
        <v>50</v>
      </c>
      <c r="L412" t="s">
        <v>113</v>
      </c>
      <c r="M412" t="s">
        <v>114</v>
      </c>
    </row>
    <row r="413" spans="2:13" x14ac:dyDescent="0.2">
      <c r="B413">
        <v>3017</v>
      </c>
      <c r="C413">
        <v>1</v>
      </c>
      <c r="D413">
        <v>6</v>
      </c>
      <c r="E413">
        <v>0.1</v>
      </c>
      <c r="F413">
        <v>0.6</v>
      </c>
      <c r="G413">
        <v>0.6</v>
      </c>
      <c r="H413">
        <v>65</v>
      </c>
      <c r="I413">
        <v>1</v>
      </c>
      <c r="J413">
        <v>0</v>
      </c>
      <c r="K413">
        <v>44.2</v>
      </c>
      <c r="L413" t="s">
        <v>115</v>
      </c>
      <c r="M413" t="s">
        <v>116</v>
      </c>
    </row>
    <row r="414" spans="2:13" x14ac:dyDescent="0.2">
      <c r="B414">
        <v>3017</v>
      </c>
      <c r="C414">
        <v>1</v>
      </c>
      <c r="D414">
        <v>11</v>
      </c>
      <c r="E414">
        <v>0.18</v>
      </c>
      <c r="F414">
        <v>0.6</v>
      </c>
      <c r="G414">
        <v>0.6</v>
      </c>
      <c r="H414">
        <v>119</v>
      </c>
      <c r="I414">
        <v>6</v>
      </c>
      <c r="J414">
        <v>1</v>
      </c>
      <c r="K414">
        <v>42.7</v>
      </c>
      <c r="L414" t="s">
        <v>122</v>
      </c>
      <c r="M414" t="s">
        <v>118</v>
      </c>
    </row>
    <row r="415" spans="2:13" x14ac:dyDescent="0.2">
      <c r="B415">
        <v>3017</v>
      </c>
      <c r="C415">
        <v>1</v>
      </c>
      <c r="D415">
        <v>12.1</v>
      </c>
      <c r="E415">
        <v>0.2</v>
      </c>
      <c r="F415">
        <v>0.6</v>
      </c>
      <c r="G415">
        <v>0.6</v>
      </c>
      <c r="H415">
        <v>130</v>
      </c>
      <c r="I415">
        <v>6</v>
      </c>
      <c r="J415">
        <v>1</v>
      </c>
      <c r="K415">
        <v>42.7</v>
      </c>
      <c r="L415" t="s">
        <v>132</v>
      </c>
      <c r="M415" t="s">
        <v>116</v>
      </c>
    </row>
    <row r="416" spans="2:13" x14ac:dyDescent="0.2">
      <c r="B416">
        <v>3017</v>
      </c>
      <c r="C416">
        <v>1</v>
      </c>
      <c r="D416">
        <v>18.100000000000001</v>
      </c>
      <c r="E416">
        <v>0.3</v>
      </c>
      <c r="F416">
        <v>0.6</v>
      </c>
      <c r="G416">
        <v>0.7</v>
      </c>
      <c r="H416">
        <v>195</v>
      </c>
      <c r="I416">
        <v>7</v>
      </c>
      <c r="J416">
        <v>1</v>
      </c>
      <c r="K416">
        <v>83.4</v>
      </c>
      <c r="L416" t="s">
        <v>128</v>
      </c>
      <c r="M416" t="s">
        <v>116</v>
      </c>
    </row>
    <row r="417" spans="2:13" x14ac:dyDescent="0.2">
      <c r="B417">
        <v>3017</v>
      </c>
      <c r="C417">
        <v>2</v>
      </c>
      <c r="D417">
        <v>0</v>
      </c>
      <c r="E417">
        <v>0</v>
      </c>
      <c r="F417">
        <v>0.6</v>
      </c>
      <c r="G417">
        <v>0.6</v>
      </c>
      <c r="H417">
        <v>0</v>
      </c>
      <c r="I417">
        <v>0</v>
      </c>
      <c r="J417">
        <v>0</v>
      </c>
      <c r="K417">
        <v>50</v>
      </c>
      <c r="L417" t="s">
        <v>113</v>
      </c>
      <c r="M417" t="s">
        <v>114</v>
      </c>
    </row>
    <row r="418" spans="2:13" x14ac:dyDescent="0.2">
      <c r="B418">
        <v>3017</v>
      </c>
      <c r="C418">
        <v>2</v>
      </c>
      <c r="D418">
        <v>6</v>
      </c>
      <c r="E418">
        <v>0.1</v>
      </c>
      <c r="F418">
        <v>0.6</v>
      </c>
      <c r="G418">
        <v>0.6</v>
      </c>
      <c r="H418">
        <v>65</v>
      </c>
      <c r="I418">
        <v>0</v>
      </c>
      <c r="J418">
        <v>0</v>
      </c>
      <c r="K418">
        <v>45</v>
      </c>
      <c r="L418" t="s">
        <v>115</v>
      </c>
      <c r="M418" t="s">
        <v>116</v>
      </c>
    </row>
    <row r="419" spans="2:13" x14ac:dyDescent="0.2">
      <c r="B419">
        <v>3017</v>
      </c>
      <c r="C419">
        <v>2</v>
      </c>
      <c r="D419">
        <v>12.1</v>
      </c>
      <c r="E419">
        <v>0.2</v>
      </c>
      <c r="F419">
        <v>0.6</v>
      </c>
      <c r="G419">
        <v>0.7</v>
      </c>
      <c r="H419">
        <v>130</v>
      </c>
      <c r="I419">
        <v>6</v>
      </c>
      <c r="J419">
        <v>0</v>
      </c>
      <c r="K419">
        <v>94.8</v>
      </c>
      <c r="L419" t="s">
        <v>128</v>
      </c>
      <c r="M419" t="s">
        <v>116</v>
      </c>
    </row>
    <row r="420" spans="2:13" x14ac:dyDescent="0.2">
      <c r="B420">
        <v>3017</v>
      </c>
      <c r="C420">
        <v>2</v>
      </c>
      <c r="D420">
        <v>14.7</v>
      </c>
      <c r="E420">
        <v>0.25</v>
      </c>
      <c r="F420">
        <v>0.7</v>
      </c>
      <c r="G420">
        <v>0.7</v>
      </c>
      <c r="H420">
        <v>164</v>
      </c>
      <c r="I420">
        <v>6</v>
      </c>
      <c r="J420">
        <v>1</v>
      </c>
      <c r="K420">
        <v>81.900000000000006</v>
      </c>
      <c r="L420" t="s">
        <v>117</v>
      </c>
      <c r="M420" t="s">
        <v>118</v>
      </c>
    </row>
    <row r="421" spans="2:13" x14ac:dyDescent="0.2">
      <c r="B421">
        <v>3017</v>
      </c>
      <c r="C421">
        <v>3</v>
      </c>
      <c r="D421">
        <v>0</v>
      </c>
      <c r="E421">
        <v>0</v>
      </c>
      <c r="F421">
        <v>0.6</v>
      </c>
      <c r="G421">
        <v>0.6</v>
      </c>
      <c r="H421">
        <v>0</v>
      </c>
      <c r="I421">
        <v>0</v>
      </c>
      <c r="J421">
        <v>0</v>
      </c>
      <c r="K421">
        <v>50</v>
      </c>
      <c r="L421" t="s">
        <v>113</v>
      </c>
      <c r="M421" t="s">
        <v>114</v>
      </c>
    </row>
    <row r="422" spans="2:13" x14ac:dyDescent="0.2">
      <c r="B422">
        <v>3017</v>
      </c>
      <c r="C422">
        <v>3</v>
      </c>
      <c r="D422">
        <v>6</v>
      </c>
      <c r="E422">
        <v>0.1</v>
      </c>
      <c r="F422">
        <v>0.6</v>
      </c>
      <c r="G422">
        <v>0.6</v>
      </c>
      <c r="H422">
        <v>65</v>
      </c>
      <c r="I422">
        <v>0</v>
      </c>
      <c r="J422">
        <v>0</v>
      </c>
      <c r="K422">
        <v>46.3</v>
      </c>
      <c r="L422" t="s">
        <v>115</v>
      </c>
      <c r="M422" t="s">
        <v>116</v>
      </c>
    </row>
    <row r="423" spans="2:13" x14ac:dyDescent="0.2">
      <c r="B423">
        <v>3017</v>
      </c>
      <c r="C423">
        <v>3</v>
      </c>
      <c r="D423">
        <v>12.1</v>
      </c>
      <c r="E423">
        <v>0.2</v>
      </c>
      <c r="F423">
        <v>0.6</v>
      </c>
      <c r="G423">
        <v>0.6</v>
      </c>
      <c r="H423">
        <v>130</v>
      </c>
      <c r="I423">
        <v>1</v>
      </c>
      <c r="J423">
        <v>0</v>
      </c>
      <c r="K423">
        <v>46.1</v>
      </c>
      <c r="L423" t="s">
        <v>115</v>
      </c>
      <c r="M423" t="s">
        <v>116</v>
      </c>
    </row>
    <row r="424" spans="2:13" x14ac:dyDescent="0.2">
      <c r="B424">
        <v>3017</v>
      </c>
      <c r="C424">
        <v>3</v>
      </c>
      <c r="D424">
        <v>18.100000000000001</v>
      </c>
      <c r="E424">
        <v>0.3</v>
      </c>
      <c r="F424">
        <v>0.6</v>
      </c>
      <c r="G424">
        <v>0.7</v>
      </c>
      <c r="H424">
        <v>195</v>
      </c>
      <c r="I424">
        <v>5</v>
      </c>
      <c r="J424">
        <v>0</v>
      </c>
      <c r="K424">
        <v>95.4</v>
      </c>
      <c r="L424" t="s">
        <v>128</v>
      </c>
      <c r="M424" t="s">
        <v>116</v>
      </c>
    </row>
    <row r="425" spans="2:13" x14ac:dyDescent="0.2">
      <c r="B425">
        <v>3017</v>
      </c>
      <c r="C425">
        <v>4</v>
      </c>
      <c r="D425">
        <v>0</v>
      </c>
      <c r="E425">
        <v>0</v>
      </c>
      <c r="F425">
        <v>0.6</v>
      </c>
      <c r="G425">
        <v>0.6</v>
      </c>
      <c r="H425">
        <v>0</v>
      </c>
      <c r="I425">
        <v>0</v>
      </c>
      <c r="J425">
        <v>0</v>
      </c>
      <c r="K425">
        <v>50</v>
      </c>
      <c r="L425" t="s">
        <v>113</v>
      </c>
      <c r="M425" t="s">
        <v>114</v>
      </c>
    </row>
    <row r="426" spans="2:13" x14ac:dyDescent="0.2">
      <c r="B426">
        <v>3017</v>
      </c>
      <c r="C426">
        <v>4</v>
      </c>
      <c r="D426">
        <v>6</v>
      </c>
      <c r="E426">
        <v>0.1</v>
      </c>
      <c r="F426">
        <v>0.6</v>
      </c>
      <c r="G426">
        <v>0.6</v>
      </c>
      <c r="H426">
        <v>65</v>
      </c>
      <c r="I426">
        <v>0</v>
      </c>
      <c r="J426">
        <v>0</v>
      </c>
      <c r="K426">
        <v>45.5</v>
      </c>
      <c r="L426" t="s">
        <v>115</v>
      </c>
      <c r="M426" t="s">
        <v>116</v>
      </c>
    </row>
    <row r="427" spans="2:13" x14ac:dyDescent="0.2">
      <c r="B427">
        <v>3017</v>
      </c>
      <c r="C427">
        <v>4</v>
      </c>
      <c r="D427">
        <v>12.1</v>
      </c>
      <c r="E427">
        <v>0.2</v>
      </c>
      <c r="F427">
        <v>0.6</v>
      </c>
      <c r="G427">
        <v>0.7</v>
      </c>
      <c r="H427">
        <v>130</v>
      </c>
      <c r="I427">
        <v>8</v>
      </c>
      <c r="J427">
        <v>0</v>
      </c>
      <c r="K427">
        <v>94.6</v>
      </c>
      <c r="L427" t="s">
        <v>128</v>
      </c>
      <c r="M427" t="s">
        <v>116</v>
      </c>
    </row>
    <row r="428" spans="2:13" x14ac:dyDescent="0.2">
      <c r="B428">
        <v>3017</v>
      </c>
      <c r="C428">
        <v>4</v>
      </c>
      <c r="D428">
        <v>14.9</v>
      </c>
      <c r="E428">
        <v>0.25</v>
      </c>
      <c r="F428">
        <v>0.7</v>
      </c>
      <c r="G428">
        <v>0.7</v>
      </c>
      <c r="H428">
        <v>166</v>
      </c>
      <c r="I428">
        <v>8</v>
      </c>
      <c r="J428">
        <v>1</v>
      </c>
      <c r="K428">
        <v>84.3</v>
      </c>
      <c r="L428" t="s">
        <v>122</v>
      </c>
      <c r="M428" t="s">
        <v>118</v>
      </c>
    </row>
    <row r="429" spans="2:13" x14ac:dyDescent="0.2">
      <c r="B429">
        <v>3017</v>
      </c>
      <c r="C429">
        <v>5</v>
      </c>
      <c r="D429">
        <v>0</v>
      </c>
      <c r="E429">
        <v>0</v>
      </c>
      <c r="F429">
        <v>0.6</v>
      </c>
      <c r="G429">
        <v>0.6</v>
      </c>
      <c r="H429">
        <v>0</v>
      </c>
      <c r="I429">
        <v>0</v>
      </c>
      <c r="J429">
        <v>0</v>
      </c>
      <c r="K429">
        <v>50</v>
      </c>
      <c r="L429" t="s">
        <v>113</v>
      </c>
      <c r="M429" t="s">
        <v>114</v>
      </c>
    </row>
    <row r="430" spans="2:13" x14ac:dyDescent="0.2">
      <c r="B430">
        <v>3017</v>
      </c>
      <c r="C430">
        <v>5</v>
      </c>
      <c r="D430">
        <v>6</v>
      </c>
      <c r="E430">
        <v>0.1</v>
      </c>
      <c r="F430">
        <v>0.6</v>
      </c>
      <c r="G430">
        <v>0.6</v>
      </c>
      <c r="H430">
        <v>65</v>
      </c>
      <c r="I430">
        <v>1</v>
      </c>
      <c r="J430">
        <v>0</v>
      </c>
      <c r="K430">
        <v>47.5</v>
      </c>
      <c r="L430" t="s">
        <v>115</v>
      </c>
      <c r="M430" t="s">
        <v>116</v>
      </c>
    </row>
    <row r="431" spans="2:13" x14ac:dyDescent="0.2">
      <c r="B431">
        <v>3017</v>
      </c>
      <c r="C431">
        <v>5</v>
      </c>
      <c r="D431">
        <v>12.1</v>
      </c>
      <c r="E431">
        <v>0.2</v>
      </c>
      <c r="F431">
        <v>0.6</v>
      </c>
      <c r="G431">
        <v>0.7</v>
      </c>
      <c r="H431">
        <v>130</v>
      </c>
      <c r="I431">
        <v>3</v>
      </c>
      <c r="J431">
        <v>0</v>
      </c>
      <c r="K431">
        <v>96.9</v>
      </c>
      <c r="L431" t="s">
        <v>128</v>
      </c>
      <c r="M431" t="s">
        <v>116</v>
      </c>
    </row>
    <row r="432" spans="2:13" x14ac:dyDescent="0.2">
      <c r="B432">
        <v>3017</v>
      </c>
      <c r="C432">
        <v>5</v>
      </c>
      <c r="D432">
        <v>12.2</v>
      </c>
      <c r="E432">
        <v>0.2</v>
      </c>
      <c r="F432">
        <v>0.7</v>
      </c>
      <c r="G432">
        <v>0.7</v>
      </c>
      <c r="H432">
        <v>132</v>
      </c>
      <c r="I432">
        <v>3</v>
      </c>
      <c r="J432">
        <v>1</v>
      </c>
      <c r="K432">
        <v>79.8</v>
      </c>
      <c r="L432" t="s">
        <v>117</v>
      </c>
      <c r="M432" t="s">
        <v>118</v>
      </c>
    </row>
    <row r="433" spans="2:13" x14ac:dyDescent="0.2">
      <c r="B433">
        <v>3017</v>
      </c>
      <c r="C433">
        <v>5</v>
      </c>
      <c r="D433">
        <v>13.2</v>
      </c>
      <c r="E433">
        <v>0.22</v>
      </c>
      <c r="F433">
        <v>0.7</v>
      </c>
      <c r="G433">
        <v>0.7</v>
      </c>
      <c r="H433">
        <v>145</v>
      </c>
      <c r="I433">
        <v>3</v>
      </c>
      <c r="J433">
        <v>2</v>
      </c>
      <c r="K433">
        <v>71.2</v>
      </c>
      <c r="L433" t="s">
        <v>119</v>
      </c>
      <c r="M433" t="s">
        <v>118</v>
      </c>
    </row>
    <row r="434" spans="2:13" x14ac:dyDescent="0.2">
      <c r="B434">
        <v>3018</v>
      </c>
      <c r="C434">
        <v>1</v>
      </c>
      <c r="D434">
        <v>0</v>
      </c>
      <c r="E434">
        <v>0</v>
      </c>
      <c r="F434">
        <v>0.6</v>
      </c>
      <c r="G434">
        <v>0.6</v>
      </c>
      <c r="H434">
        <v>0</v>
      </c>
      <c r="I434">
        <v>0</v>
      </c>
      <c r="J434">
        <v>0</v>
      </c>
      <c r="K434">
        <v>50</v>
      </c>
      <c r="L434" t="s">
        <v>113</v>
      </c>
      <c r="M434" t="s">
        <v>114</v>
      </c>
    </row>
    <row r="435" spans="2:13" x14ac:dyDescent="0.2">
      <c r="B435">
        <v>3018</v>
      </c>
      <c r="C435">
        <v>1</v>
      </c>
      <c r="D435">
        <v>6</v>
      </c>
      <c r="E435">
        <v>0.1</v>
      </c>
      <c r="F435">
        <v>0.6</v>
      </c>
      <c r="G435">
        <v>0.6</v>
      </c>
      <c r="H435">
        <v>65</v>
      </c>
      <c r="I435">
        <v>0</v>
      </c>
      <c r="J435">
        <v>0</v>
      </c>
      <c r="K435">
        <v>93.8</v>
      </c>
      <c r="L435" t="s">
        <v>115</v>
      </c>
      <c r="M435" t="s">
        <v>116</v>
      </c>
    </row>
    <row r="436" spans="2:13" x14ac:dyDescent="0.2">
      <c r="B436">
        <v>3018</v>
      </c>
      <c r="C436">
        <v>1</v>
      </c>
      <c r="D436">
        <v>6.6</v>
      </c>
      <c r="E436">
        <v>0.11</v>
      </c>
      <c r="F436">
        <v>0.6</v>
      </c>
      <c r="G436">
        <v>0.6</v>
      </c>
      <c r="H436">
        <v>71</v>
      </c>
      <c r="I436">
        <v>1</v>
      </c>
      <c r="J436">
        <v>1</v>
      </c>
      <c r="K436">
        <v>69.3</v>
      </c>
      <c r="L436" t="s">
        <v>117</v>
      </c>
      <c r="M436" t="s">
        <v>118</v>
      </c>
    </row>
    <row r="437" spans="2:13" x14ac:dyDescent="0.2">
      <c r="B437">
        <v>3018</v>
      </c>
      <c r="C437">
        <v>1</v>
      </c>
      <c r="D437">
        <v>12.1</v>
      </c>
      <c r="E437">
        <v>0.2</v>
      </c>
      <c r="F437">
        <v>0.6</v>
      </c>
      <c r="G437">
        <v>0.6</v>
      </c>
      <c r="H437">
        <v>130</v>
      </c>
      <c r="I437">
        <v>3</v>
      </c>
      <c r="J437">
        <v>1</v>
      </c>
      <c r="K437">
        <v>69.400000000000006</v>
      </c>
      <c r="L437" t="s">
        <v>132</v>
      </c>
      <c r="M437" t="s">
        <v>116</v>
      </c>
    </row>
    <row r="438" spans="2:13" x14ac:dyDescent="0.2">
      <c r="B438">
        <v>3018</v>
      </c>
      <c r="C438">
        <v>1</v>
      </c>
      <c r="D438">
        <v>18.100000000000001</v>
      </c>
      <c r="E438">
        <v>0.3</v>
      </c>
      <c r="F438">
        <v>0.6</v>
      </c>
      <c r="G438">
        <v>0.6</v>
      </c>
      <c r="H438">
        <v>195</v>
      </c>
      <c r="I438">
        <v>8</v>
      </c>
      <c r="J438">
        <v>1</v>
      </c>
      <c r="K438">
        <v>77.5</v>
      </c>
      <c r="L438" t="s">
        <v>115</v>
      </c>
      <c r="M438" t="s">
        <v>116</v>
      </c>
    </row>
    <row r="439" spans="2:13" x14ac:dyDescent="0.2">
      <c r="B439">
        <v>3018</v>
      </c>
      <c r="C439">
        <v>2</v>
      </c>
      <c r="D439">
        <v>0</v>
      </c>
      <c r="E439">
        <v>0</v>
      </c>
      <c r="F439">
        <v>0.6</v>
      </c>
      <c r="G439">
        <v>0.6</v>
      </c>
      <c r="H439">
        <v>0</v>
      </c>
      <c r="I439">
        <v>0</v>
      </c>
      <c r="J439">
        <v>0</v>
      </c>
      <c r="K439">
        <v>50</v>
      </c>
      <c r="L439" t="s">
        <v>113</v>
      </c>
      <c r="M439" t="s">
        <v>114</v>
      </c>
    </row>
    <row r="440" spans="2:13" x14ac:dyDescent="0.2">
      <c r="B440">
        <v>3018</v>
      </c>
      <c r="C440">
        <v>2</v>
      </c>
      <c r="D440">
        <v>6</v>
      </c>
      <c r="E440">
        <v>0.1</v>
      </c>
      <c r="F440">
        <v>0.6</v>
      </c>
      <c r="G440">
        <v>0.6</v>
      </c>
      <c r="H440">
        <v>65</v>
      </c>
      <c r="I440">
        <v>1</v>
      </c>
      <c r="J440">
        <v>0</v>
      </c>
      <c r="K440">
        <v>44.6</v>
      </c>
      <c r="L440" t="s">
        <v>115</v>
      </c>
      <c r="M440" t="s">
        <v>116</v>
      </c>
    </row>
    <row r="441" spans="2:13" x14ac:dyDescent="0.2">
      <c r="B441">
        <v>3018</v>
      </c>
      <c r="C441">
        <v>2</v>
      </c>
      <c r="D441">
        <v>12.1</v>
      </c>
      <c r="E441">
        <v>0.2</v>
      </c>
      <c r="F441">
        <v>0.6</v>
      </c>
      <c r="G441">
        <v>0.7</v>
      </c>
      <c r="H441">
        <v>130</v>
      </c>
      <c r="I441">
        <v>6</v>
      </c>
      <c r="J441">
        <v>0</v>
      </c>
      <c r="K441">
        <v>95.2</v>
      </c>
      <c r="L441" t="s">
        <v>128</v>
      </c>
      <c r="M441" t="s">
        <v>116</v>
      </c>
    </row>
    <row r="442" spans="2:13" x14ac:dyDescent="0.2">
      <c r="B442">
        <v>3018</v>
      </c>
      <c r="C442">
        <v>2</v>
      </c>
      <c r="D442">
        <v>17.600000000000001</v>
      </c>
      <c r="E442">
        <v>0.28999999999999998</v>
      </c>
      <c r="F442">
        <v>0.7</v>
      </c>
      <c r="G442">
        <v>0.7</v>
      </c>
      <c r="H442">
        <v>200</v>
      </c>
      <c r="I442">
        <v>11</v>
      </c>
      <c r="J442">
        <v>1</v>
      </c>
      <c r="K442">
        <v>82.7</v>
      </c>
      <c r="L442" t="s">
        <v>117</v>
      </c>
      <c r="M442" t="s">
        <v>118</v>
      </c>
    </row>
    <row r="443" spans="2:13" x14ac:dyDescent="0.2">
      <c r="B443">
        <v>3018</v>
      </c>
      <c r="C443">
        <v>3</v>
      </c>
      <c r="D443">
        <v>0</v>
      </c>
      <c r="E443">
        <v>0</v>
      </c>
      <c r="F443">
        <v>0.6</v>
      </c>
      <c r="G443">
        <v>0.6</v>
      </c>
      <c r="H443">
        <v>0</v>
      </c>
      <c r="I443">
        <v>0</v>
      </c>
      <c r="J443">
        <v>0</v>
      </c>
      <c r="K443">
        <v>50</v>
      </c>
      <c r="L443" t="s">
        <v>113</v>
      </c>
      <c r="M443" t="s">
        <v>114</v>
      </c>
    </row>
    <row r="444" spans="2:13" x14ac:dyDescent="0.2">
      <c r="B444">
        <v>3018</v>
      </c>
      <c r="C444">
        <v>3</v>
      </c>
      <c r="D444">
        <v>6</v>
      </c>
      <c r="E444">
        <v>0.1</v>
      </c>
      <c r="F444">
        <v>0.6</v>
      </c>
      <c r="G444">
        <v>0.6</v>
      </c>
      <c r="H444">
        <v>65</v>
      </c>
      <c r="I444">
        <v>0</v>
      </c>
      <c r="J444">
        <v>0</v>
      </c>
      <c r="K444">
        <v>43.8</v>
      </c>
      <c r="L444" t="s">
        <v>115</v>
      </c>
      <c r="M444" t="s">
        <v>116</v>
      </c>
    </row>
    <row r="445" spans="2:13" x14ac:dyDescent="0.2">
      <c r="B445">
        <v>3018</v>
      </c>
      <c r="C445">
        <v>3</v>
      </c>
      <c r="D445">
        <v>12.1</v>
      </c>
      <c r="E445">
        <v>0.2</v>
      </c>
      <c r="F445">
        <v>0.6</v>
      </c>
      <c r="G445">
        <v>0.7</v>
      </c>
      <c r="H445">
        <v>130</v>
      </c>
      <c r="I445">
        <v>5</v>
      </c>
      <c r="J445">
        <v>0</v>
      </c>
      <c r="K445">
        <v>93.2</v>
      </c>
      <c r="L445" t="s">
        <v>128</v>
      </c>
      <c r="M445" t="s">
        <v>116</v>
      </c>
    </row>
    <row r="446" spans="2:13" x14ac:dyDescent="0.2">
      <c r="B446">
        <v>3018</v>
      </c>
      <c r="C446">
        <v>3</v>
      </c>
      <c r="D446">
        <v>14.9</v>
      </c>
      <c r="E446">
        <v>0.25</v>
      </c>
      <c r="F446">
        <v>0.7</v>
      </c>
      <c r="G446">
        <v>0.7</v>
      </c>
      <c r="H446">
        <v>165</v>
      </c>
      <c r="I446">
        <v>7</v>
      </c>
      <c r="J446">
        <v>1</v>
      </c>
      <c r="K446">
        <v>80.8</v>
      </c>
      <c r="L446" t="s">
        <v>129</v>
      </c>
      <c r="M446" t="s">
        <v>118</v>
      </c>
    </row>
    <row r="447" spans="2:13" x14ac:dyDescent="0.2">
      <c r="B447">
        <v>3018</v>
      </c>
      <c r="C447">
        <v>4</v>
      </c>
      <c r="D447">
        <v>0</v>
      </c>
      <c r="E447">
        <v>0</v>
      </c>
      <c r="F447">
        <v>0.6</v>
      </c>
      <c r="G447">
        <v>0.6</v>
      </c>
      <c r="H447">
        <v>0</v>
      </c>
      <c r="I447">
        <v>0</v>
      </c>
      <c r="J447">
        <v>0</v>
      </c>
      <c r="K447">
        <v>50</v>
      </c>
      <c r="L447" t="s">
        <v>113</v>
      </c>
      <c r="M447" t="s">
        <v>114</v>
      </c>
    </row>
    <row r="448" spans="2:13" x14ac:dyDescent="0.2">
      <c r="B448">
        <v>3018</v>
      </c>
      <c r="C448">
        <v>4</v>
      </c>
      <c r="D448">
        <v>6</v>
      </c>
      <c r="E448">
        <v>0.1</v>
      </c>
      <c r="F448">
        <v>0.6</v>
      </c>
      <c r="G448">
        <v>0.6</v>
      </c>
      <c r="H448">
        <v>65</v>
      </c>
      <c r="I448">
        <v>0</v>
      </c>
      <c r="J448">
        <v>0</v>
      </c>
      <c r="K448">
        <v>96.3</v>
      </c>
      <c r="L448" t="s">
        <v>115</v>
      </c>
      <c r="M448" t="s">
        <v>116</v>
      </c>
    </row>
    <row r="449" spans="2:13" x14ac:dyDescent="0.2">
      <c r="B449">
        <v>3018</v>
      </c>
      <c r="C449">
        <v>4</v>
      </c>
      <c r="D449">
        <v>9.6</v>
      </c>
      <c r="E449">
        <v>0.16</v>
      </c>
      <c r="F449">
        <v>0.6</v>
      </c>
      <c r="G449">
        <v>0.6</v>
      </c>
      <c r="H449">
        <v>104</v>
      </c>
      <c r="I449">
        <v>2</v>
      </c>
      <c r="J449">
        <v>1</v>
      </c>
      <c r="K449">
        <v>78.599999999999994</v>
      </c>
      <c r="L449" t="s">
        <v>129</v>
      </c>
      <c r="M449" t="s">
        <v>118</v>
      </c>
    </row>
    <row r="450" spans="2:13" x14ac:dyDescent="0.2">
      <c r="B450">
        <v>3018</v>
      </c>
      <c r="C450">
        <v>4</v>
      </c>
      <c r="D450">
        <v>12.1</v>
      </c>
      <c r="E450">
        <v>0.2</v>
      </c>
      <c r="F450">
        <v>0.6</v>
      </c>
      <c r="G450">
        <v>0.6</v>
      </c>
      <c r="H450">
        <v>130</v>
      </c>
      <c r="I450">
        <v>4</v>
      </c>
      <c r="J450">
        <v>1</v>
      </c>
      <c r="K450">
        <v>77.900000000000006</v>
      </c>
      <c r="L450" t="s">
        <v>121</v>
      </c>
      <c r="M450" t="s">
        <v>116</v>
      </c>
    </row>
    <row r="451" spans="2:13" x14ac:dyDescent="0.2">
      <c r="B451">
        <v>3018</v>
      </c>
      <c r="C451">
        <v>4</v>
      </c>
      <c r="D451">
        <v>18.100000000000001</v>
      </c>
      <c r="E451">
        <v>0.3</v>
      </c>
      <c r="F451">
        <v>0.6</v>
      </c>
      <c r="G451">
        <v>0.7</v>
      </c>
      <c r="H451">
        <v>195</v>
      </c>
      <c r="I451">
        <v>6</v>
      </c>
      <c r="J451">
        <v>1</v>
      </c>
      <c r="K451">
        <v>88</v>
      </c>
      <c r="L451" t="s">
        <v>128</v>
      </c>
      <c r="M451" t="s">
        <v>116</v>
      </c>
    </row>
    <row r="452" spans="2:13" x14ac:dyDescent="0.2">
      <c r="B452">
        <v>3018</v>
      </c>
      <c r="C452">
        <v>5</v>
      </c>
      <c r="D452">
        <v>0</v>
      </c>
      <c r="E452">
        <v>0</v>
      </c>
      <c r="F452">
        <v>0.6</v>
      </c>
      <c r="G452">
        <v>0.6</v>
      </c>
      <c r="H452">
        <v>0</v>
      </c>
      <c r="I452">
        <v>0</v>
      </c>
      <c r="J452">
        <v>0</v>
      </c>
      <c r="K452">
        <v>50</v>
      </c>
      <c r="L452" t="s">
        <v>113</v>
      </c>
      <c r="M452" t="s">
        <v>114</v>
      </c>
    </row>
    <row r="453" spans="2:13" x14ac:dyDescent="0.2">
      <c r="B453">
        <v>3018</v>
      </c>
      <c r="C453">
        <v>5</v>
      </c>
      <c r="D453">
        <v>6</v>
      </c>
      <c r="E453">
        <v>0.1</v>
      </c>
      <c r="F453">
        <v>0.6</v>
      </c>
      <c r="G453">
        <v>0.6</v>
      </c>
      <c r="H453">
        <v>65</v>
      </c>
      <c r="I453">
        <v>0</v>
      </c>
      <c r="J453">
        <v>0</v>
      </c>
      <c r="K453">
        <v>47.1</v>
      </c>
      <c r="L453" t="s">
        <v>115</v>
      </c>
      <c r="M453" t="s">
        <v>116</v>
      </c>
    </row>
    <row r="454" spans="2:13" x14ac:dyDescent="0.2">
      <c r="B454">
        <v>3018</v>
      </c>
      <c r="C454">
        <v>5</v>
      </c>
      <c r="D454">
        <v>9.3000000000000007</v>
      </c>
      <c r="E454">
        <v>0.16</v>
      </c>
      <c r="F454">
        <v>0.6</v>
      </c>
      <c r="G454">
        <v>0.6</v>
      </c>
      <c r="H454">
        <v>101</v>
      </c>
      <c r="I454">
        <v>1</v>
      </c>
      <c r="J454">
        <v>1</v>
      </c>
      <c r="K454">
        <v>83</v>
      </c>
      <c r="L454" t="s">
        <v>117</v>
      </c>
      <c r="M454" t="s">
        <v>118</v>
      </c>
    </row>
    <row r="455" spans="2:13" x14ac:dyDescent="0.2">
      <c r="B455">
        <v>3018</v>
      </c>
      <c r="C455">
        <v>5</v>
      </c>
      <c r="D455">
        <v>12.1</v>
      </c>
      <c r="E455">
        <v>0.2</v>
      </c>
      <c r="F455">
        <v>0.6</v>
      </c>
      <c r="G455">
        <v>0.7</v>
      </c>
      <c r="H455">
        <v>130</v>
      </c>
      <c r="I455">
        <v>4</v>
      </c>
      <c r="J455">
        <v>1</v>
      </c>
      <c r="K455">
        <v>86.9</v>
      </c>
      <c r="L455" t="s">
        <v>143</v>
      </c>
      <c r="M455" t="s">
        <v>116</v>
      </c>
    </row>
    <row r="456" spans="2:13" x14ac:dyDescent="0.2">
      <c r="B456">
        <v>3018</v>
      </c>
      <c r="C456">
        <v>5</v>
      </c>
      <c r="D456">
        <v>16.7</v>
      </c>
      <c r="E456">
        <v>0.28000000000000003</v>
      </c>
      <c r="F456">
        <v>0.7</v>
      </c>
      <c r="G456">
        <v>0.7</v>
      </c>
      <c r="H456">
        <v>189</v>
      </c>
      <c r="I456">
        <v>5</v>
      </c>
      <c r="J456">
        <v>2</v>
      </c>
      <c r="K456">
        <v>83</v>
      </c>
      <c r="L456" t="s">
        <v>127</v>
      </c>
      <c r="M456" t="s">
        <v>118</v>
      </c>
    </row>
    <row r="457" spans="2:13" x14ac:dyDescent="0.2">
      <c r="B457">
        <v>3019</v>
      </c>
      <c r="C457">
        <v>1</v>
      </c>
      <c r="D457">
        <v>0</v>
      </c>
      <c r="E457">
        <v>0</v>
      </c>
      <c r="F457">
        <v>0.6</v>
      </c>
      <c r="G457">
        <v>0.6</v>
      </c>
      <c r="H457">
        <v>0</v>
      </c>
      <c r="I457">
        <v>0</v>
      </c>
      <c r="J457">
        <v>0</v>
      </c>
      <c r="K457">
        <v>50</v>
      </c>
      <c r="L457" t="s">
        <v>113</v>
      </c>
      <c r="M457" t="s">
        <v>114</v>
      </c>
    </row>
    <row r="458" spans="2:13" x14ac:dyDescent="0.2">
      <c r="B458">
        <v>3019</v>
      </c>
      <c r="C458">
        <v>1</v>
      </c>
      <c r="D458">
        <v>5.5</v>
      </c>
      <c r="E458">
        <v>0.09</v>
      </c>
      <c r="F458">
        <v>0.6</v>
      </c>
      <c r="G458">
        <v>0.6</v>
      </c>
      <c r="H458">
        <v>60</v>
      </c>
      <c r="I458">
        <v>0</v>
      </c>
      <c r="J458">
        <v>1</v>
      </c>
      <c r="K458">
        <v>42.8</v>
      </c>
      <c r="L458" t="s">
        <v>117</v>
      </c>
      <c r="M458" t="s">
        <v>118</v>
      </c>
    </row>
    <row r="459" spans="2:13" x14ac:dyDescent="0.2">
      <c r="B459">
        <v>3019</v>
      </c>
      <c r="C459">
        <v>1</v>
      </c>
      <c r="D459">
        <v>6</v>
      </c>
      <c r="E459">
        <v>0.1</v>
      </c>
      <c r="F459">
        <v>0.6</v>
      </c>
      <c r="G459">
        <v>0.6</v>
      </c>
      <c r="H459">
        <v>65</v>
      </c>
      <c r="I459">
        <v>2</v>
      </c>
      <c r="J459">
        <v>1</v>
      </c>
      <c r="K459">
        <v>42.6</v>
      </c>
      <c r="L459" t="s">
        <v>132</v>
      </c>
      <c r="M459" t="s">
        <v>116</v>
      </c>
    </row>
    <row r="460" spans="2:13" x14ac:dyDescent="0.2">
      <c r="B460">
        <v>3019</v>
      </c>
      <c r="C460">
        <v>1</v>
      </c>
      <c r="D460">
        <v>12.1</v>
      </c>
      <c r="E460">
        <v>0.2</v>
      </c>
      <c r="F460">
        <v>0.6</v>
      </c>
      <c r="G460">
        <v>0.6</v>
      </c>
      <c r="H460">
        <v>130</v>
      </c>
      <c r="I460">
        <v>6</v>
      </c>
      <c r="J460">
        <v>1</v>
      </c>
      <c r="K460">
        <v>69.8</v>
      </c>
      <c r="L460" t="s">
        <v>115</v>
      </c>
      <c r="M460" t="s">
        <v>116</v>
      </c>
    </row>
    <row r="461" spans="2:13" x14ac:dyDescent="0.2">
      <c r="B461">
        <v>3019</v>
      </c>
      <c r="C461">
        <v>1</v>
      </c>
      <c r="D461">
        <v>14.7</v>
      </c>
      <c r="E461">
        <v>0.24</v>
      </c>
      <c r="F461">
        <v>0.6</v>
      </c>
      <c r="G461">
        <v>0.6</v>
      </c>
      <c r="H461">
        <v>158</v>
      </c>
      <c r="I461">
        <v>7</v>
      </c>
      <c r="J461">
        <v>2</v>
      </c>
      <c r="K461">
        <v>60.5</v>
      </c>
      <c r="L461" t="s">
        <v>133</v>
      </c>
      <c r="M461" t="s">
        <v>118</v>
      </c>
    </row>
    <row r="462" spans="2:13" x14ac:dyDescent="0.2">
      <c r="B462">
        <v>3019</v>
      </c>
      <c r="C462">
        <v>1</v>
      </c>
      <c r="D462">
        <v>18.100000000000001</v>
      </c>
      <c r="E462">
        <v>0.3</v>
      </c>
      <c r="F462">
        <v>0.6</v>
      </c>
      <c r="G462">
        <v>0.6</v>
      </c>
      <c r="H462">
        <v>195</v>
      </c>
      <c r="I462">
        <v>9</v>
      </c>
      <c r="J462">
        <v>2</v>
      </c>
      <c r="K462">
        <v>60.4</v>
      </c>
      <c r="L462" t="s">
        <v>132</v>
      </c>
      <c r="M462" t="s">
        <v>116</v>
      </c>
    </row>
    <row r="463" spans="2:13" x14ac:dyDescent="0.2">
      <c r="B463">
        <v>3019</v>
      </c>
      <c r="C463">
        <v>2</v>
      </c>
      <c r="D463">
        <v>0</v>
      </c>
      <c r="E463">
        <v>0</v>
      </c>
      <c r="F463">
        <v>0.6</v>
      </c>
      <c r="G463">
        <v>0.6</v>
      </c>
      <c r="H463">
        <v>0</v>
      </c>
      <c r="I463">
        <v>0</v>
      </c>
      <c r="J463">
        <v>0</v>
      </c>
      <c r="K463">
        <v>50</v>
      </c>
      <c r="L463" t="s">
        <v>113</v>
      </c>
      <c r="M463" t="s">
        <v>114</v>
      </c>
    </row>
    <row r="464" spans="2:13" x14ac:dyDescent="0.2">
      <c r="B464">
        <v>3019</v>
      </c>
      <c r="C464">
        <v>2</v>
      </c>
      <c r="D464">
        <v>6</v>
      </c>
      <c r="E464">
        <v>0.1</v>
      </c>
      <c r="F464">
        <v>0.6</v>
      </c>
      <c r="G464">
        <v>0.6</v>
      </c>
      <c r="H464">
        <v>65</v>
      </c>
      <c r="I464">
        <v>0</v>
      </c>
      <c r="J464">
        <v>0</v>
      </c>
      <c r="K464">
        <v>96.3</v>
      </c>
      <c r="L464" t="s">
        <v>115</v>
      </c>
      <c r="M464" t="s">
        <v>116</v>
      </c>
    </row>
    <row r="465" spans="2:13" x14ac:dyDescent="0.2">
      <c r="B465">
        <v>3019</v>
      </c>
      <c r="C465">
        <v>2</v>
      </c>
      <c r="D465">
        <v>12.1</v>
      </c>
      <c r="E465">
        <v>0.2</v>
      </c>
      <c r="F465">
        <v>0.6</v>
      </c>
      <c r="G465">
        <v>0.7</v>
      </c>
      <c r="H465">
        <v>130</v>
      </c>
      <c r="I465">
        <v>4</v>
      </c>
      <c r="J465">
        <v>0</v>
      </c>
      <c r="K465">
        <v>94.2</v>
      </c>
      <c r="L465" t="s">
        <v>128</v>
      </c>
      <c r="M465" t="s">
        <v>116</v>
      </c>
    </row>
    <row r="466" spans="2:13" x14ac:dyDescent="0.2">
      <c r="B466">
        <v>3019</v>
      </c>
      <c r="C466">
        <v>2</v>
      </c>
      <c r="D466">
        <v>17.2</v>
      </c>
      <c r="E466">
        <v>0.28999999999999998</v>
      </c>
      <c r="F466">
        <v>0.7</v>
      </c>
      <c r="G466">
        <v>0.7</v>
      </c>
      <c r="H466">
        <v>195</v>
      </c>
      <c r="I466">
        <v>7</v>
      </c>
      <c r="J466">
        <v>1</v>
      </c>
      <c r="K466">
        <v>87.3</v>
      </c>
      <c r="L466" t="s">
        <v>129</v>
      </c>
      <c r="M466" t="s">
        <v>118</v>
      </c>
    </row>
    <row r="467" spans="2:13" x14ac:dyDescent="0.2">
      <c r="B467">
        <v>3019</v>
      </c>
      <c r="C467">
        <v>3</v>
      </c>
      <c r="D467">
        <v>0</v>
      </c>
      <c r="E467">
        <v>0</v>
      </c>
      <c r="F467">
        <v>0.6</v>
      </c>
      <c r="G467">
        <v>0.6</v>
      </c>
      <c r="H467">
        <v>0</v>
      </c>
      <c r="I467">
        <v>0</v>
      </c>
      <c r="J467">
        <v>0</v>
      </c>
      <c r="K467">
        <v>50</v>
      </c>
      <c r="L467" t="s">
        <v>113</v>
      </c>
      <c r="M467" t="s">
        <v>114</v>
      </c>
    </row>
    <row r="468" spans="2:13" x14ac:dyDescent="0.2">
      <c r="B468">
        <v>3019</v>
      </c>
      <c r="C468">
        <v>3</v>
      </c>
      <c r="D468">
        <v>6</v>
      </c>
      <c r="E468">
        <v>0.1</v>
      </c>
      <c r="F468">
        <v>0.6</v>
      </c>
      <c r="G468">
        <v>0.6</v>
      </c>
      <c r="H468">
        <v>65</v>
      </c>
      <c r="I468">
        <v>1</v>
      </c>
      <c r="J468">
        <v>0</v>
      </c>
      <c r="K468">
        <v>44.6</v>
      </c>
      <c r="L468" t="s">
        <v>115</v>
      </c>
      <c r="M468" t="s">
        <v>116</v>
      </c>
    </row>
    <row r="469" spans="2:13" x14ac:dyDescent="0.2">
      <c r="B469">
        <v>3019</v>
      </c>
      <c r="C469">
        <v>3</v>
      </c>
      <c r="D469">
        <v>12.1</v>
      </c>
      <c r="E469">
        <v>0.2</v>
      </c>
      <c r="F469">
        <v>0.6</v>
      </c>
      <c r="G469">
        <v>0.7</v>
      </c>
      <c r="H469">
        <v>130</v>
      </c>
      <c r="I469">
        <v>5</v>
      </c>
      <c r="J469">
        <v>0</v>
      </c>
      <c r="K469">
        <v>94.2</v>
      </c>
      <c r="L469" t="s">
        <v>128</v>
      </c>
      <c r="M469" t="s">
        <v>116</v>
      </c>
    </row>
    <row r="470" spans="2:13" x14ac:dyDescent="0.2">
      <c r="B470">
        <v>3019</v>
      </c>
      <c r="C470">
        <v>4</v>
      </c>
      <c r="D470">
        <v>0</v>
      </c>
      <c r="E470">
        <v>0</v>
      </c>
      <c r="F470">
        <v>0.6</v>
      </c>
      <c r="G470">
        <v>0.6</v>
      </c>
      <c r="H470">
        <v>0</v>
      </c>
      <c r="I470">
        <v>0</v>
      </c>
      <c r="J470">
        <v>0</v>
      </c>
      <c r="K470">
        <v>50</v>
      </c>
      <c r="L470" t="s">
        <v>113</v>
      </c>
      <c r="M470" t="s">
        <v>114</v>
      </c>
    </row>
    <row r="471" spans="2:13" x14ac:dyDescent="0.2">
      <c r="B471">
        <v>3019</v>
      </c>
      <c r="C471">
        <v>4</v>
      </c>
      <c r="D471">
        <v>6</v>
      </c>
      <c r="E471">
        <v>0.1</v>
      </c>
      <c r="F471">
        <v>0.6</v>
      </c>
      <c r="G471">
        <v>0.6</v>
      </c>
      <c r="H471">
        <v>65</v>
      </c>
      <c r="I471">
        <v>0</v>
      </c>
      <c r="J471">
        <v>0</v>
      </c>
      <c r="K471">
        <v>44.2</v>
      </c>
      <c r="L471" t="s">
        <v>115</v>
      </c>
      <c r="M471" t="s">
        <v>116</v>
      </c>
    </row>
    <row r="472" spans="2:13" x14ac:dyDescent="0.2">
      <c r="B472">
        <v>3019</v>
      </c>
      <c r="C472">
        <v>4</v>
      </c>
      <c r="D472">
        <v>12.1</v>
      </c>
      <c r="E472">
        <v>0.2</v>
      </c>
      <c r="F472">
        <v>0.6</v>
      </c>
      <c r="G472">
        <v>0.6</v>
      </c>
      <c r="H472">
        <v>130</v>
      </c>
      <c r="I472">
        <v>1</v>
      </c>
      <c r="J472">
        <v>0</v>
      </c>
      <c r="K472">
        <v>94.8</v>
      </c>
      <c r="L472" t="s">
        <v>115</v>
      </c>
      <c r="M472" t="s">
        <v>116</v>
      </c>
    </row>
    <row r="473" spans="2:13" x14ac:dyDescent="0.2">
      <c r="B473">
        <v>3019</v>
      </c>
      <c r="C473">
        <v>4</v>
      </c>
      <c r="D473">
        <v>17.8</v>
      </c>
      <c r="E473">
        <v>0.3</v>
      </c>
      <c r="F473">
        <v>0.6</v>
      </c>
      <c r="G473">
        <v>0.6</v>
      </c>
      <c r="H473">
        <v>192</v>
      </c>
      <c r="I473">
        <v>3</v>
      </c>
      <c r="J473">
        <v>1</v>
      </c>
      <c r="K473">
        <v>84.2</v>
      </c>
      <c r="L473" t="s">
        <v>122</v>
      </c>
      <c r="M473" t="s">
        <v>118</v>
      </c>
    </row>
    <row r="474" spans="2:13" x14ac:dyDescent="0.2">
      <c r="B474">
        <v>3019</v>
      </c>
      <c r="C474">
        <v>4</v>
      </c>
      <c r="D474">
        <v>18.100000000000001</v>
      </c>
      <c r="E474">
        <v>0.3</v>
      </c>
      <c r="F474">
        <v>0.6</v>
      </c>
      <c r="G474">
        <v>0.6</v>
      </c>
      <c r="H474">
        <v>195</v>
      </c>
      <c r="I474">
        <v>3</v>
      </c>
      <c r="J474">
        <v>1</v>
      </c>
      <c r="K474">
        <v>84.3</v>
      </c>
      <c r="L474" t="s">
        <v>136</v>
      </c>
      <c r="M474" t="s">
        <v>116</v>
      </c>
    </row>
    <row r="475" spans="2:13" x14ac:dyDescent="0.2">
      <c r="B475">
        <v>3019</v>
      </c>
      <c r="C475">
        <v>5</v>
      </c>
      <c r="D475">
        <v>0</v>
      </c>
      <c r="E475">
        <v>0</v>
      </c>
      <c r="F475">
        <v>0.6</v>
      </c>
      <c r="G475">
        <v>0.6</v>
      </c>
      <c r="H475">
        <v>0</v>
      </c>
      <c r="I475">
        <v>0</v>
      </c>
      <c r="J475">
        <v>0</v>
      </c>
      <c r="K475">
        <v>50</v>
      </c>
      <c r="L475" t="s">
        <v>113</v>
      </c>
      <c r="M475" t="s">
        <v>114</v>
      </c>
    </row>
    <row r="476" spans="2:13" x14ac:dyDescent="0.2">
      <c r="B476">
        <v>3019</v>
      </c>
      <c r="C476">
        <v>5</v>
      </c>
      <c r="D476">
        <v>6</v>
      </c>
      <c r="E476">
        <v>0.1</v>
      </c>
      <c r="F476">
        <v>0.6</v>
      </c>
      <c r="G476">
        <v>0.6</v>
      </c>
      <c r="H476">
        <v>65</v>
      </c>
      <c r="I476">
        <v>0</v>
      </c>
      <c r="J476">
        <v>0</v>
      </c>
      <c r="K476">
        <v>45.5</v>
      </c>
      <c r="L476" t="s">
        <v>115</v>
      </c>
      <c r="M476" t="s">
        <v>116</v>
      </c>
    </row>
    <row r="477" spans="2:13" x14ac:dyDescent="0.2">
      <c r="B477">
        <v>3019</v>
      </c>
      <c r="C477">
        <v>5</v>
      </c>
      <c r="D477">
        <v>12.1</v>
      </c>
      <c r="E477">
        <v>0.2</v>
      </c>
      <c r="F477">
        <v>0.6</v>
      </c>
      <c r="G477">
        <v>0.6</v>
      </c>
      <c r="H477">
        <v>130</v>
      </c>
      <c r="I477">
        <v>2</v>
      </c>
      <c r="J477">
        <v>0</v>
      </c>
      <c r="K477">
        <v>94.4</v>
      </c>
      <c r="L477" t="s">
        <v>115</v>
      </c>
      <c r="M477" t="s">
        <v>116</v>
      </c>
    </row>
    <row r="478" spans="2:13" x14ac:dyDescent="0.2">
      <c r="B478">
        <v>3019</v>
      </c>
      <c r="C478">
        <v>5</v>
      </c>
      <c r="D478">
        <v>15.2</v>
      </c>
      <c r="E478">
        <v>0.25</v>
      </c>
      <c r="F478">
        <v>0.6</v>
      </c>
      <c r="G478">
        <v>0.6</v>
      </c>
      <c r="H478">
        <v>164</v>
      </c>
      <c r="I478">
        <v>3</v>
      </c>
      <c r="J478">
        <v>1</v>
      </c>
      <c r="K478">
        <v>81.900000000000006</v>
      </c>
      <c r="L478" t="s">
        <v>117</v>
      </c>
      <c r="M478" t="s">
        <v>118</v>
      </c>
    </row>
    <row r="479" spans="2:13" x14ac:dyDescent="0.2">
      <c r="B479">
        <v>3019</v>
      </c>
      <c r="C479">
        <v>5</v>
      </c>
      <c r="D479">
        <v>18.100000000000001</v>
      </c>
      <c r="E479">
        <v>0.3</v>
      </c>
      <c r="F479">
        <v>0.6</v>
      </c>
      <c r="G479">
        <v>0.6</v>
      </c>
      <c r="H479">
        <v>195</v>
      </c>
      <c r="I479">
        <v>5</v>
      </c>
      <c r="J479">
        <v>1</v>
      </c>
      <c r="K479">
        <v>84.2</v>
      </c>
      <c r="L479" t="s">
        <v>136</v>
      </c>
      <c r="M479" t="s">
        <v>116</v>
      </c>
    </row>
    <row r="480" spans="2:13" x14ac:dyDescent="0.2">
      <c r="B480">
        <v>3020</v>
      </c>
      <c r="C480">
        <v>1</v>
      </c>
      <c r="D480">
        <v>0</v>
      </c>
      <c r="E480">
        <v>0</v>
      </c>
      <c r="F480">
        <v>0.6</v>
      </c>
      <c r="G480">
        <v>0.6</v>
      </c>
      <c r="H480">
        <v>0</v>
      </c>
      <c r="I480">
        <v>0</v>
      </c>
      <c r="J480">
        <v>0</v>
      </c>
      <c r="K480">
        <v>50</v>
      </c>
      <c r="L480" t="s">
        <v>113</v>
      </c>
      <c r="M480" t="s">
        <v>114</v>
      </c>
    </row>
    <row r="481" spans="2:13" x14ac:dyDescent="0.2">
      <c r="B481">
        <v>3020</v>
      </c>
      <c r="C481">
        <v>1</v>
      </c>
      <c r="D481">
        <v>6</v>
      </c>
      <c r="E481">
        <v>0.1</v>
      </c>
      <c r="F481">
        <v>0.6</v>
      </c>
      <c r="G481">
        <v>0.6</v>
      </c>
      <c r="H481">
        <v>65</v>
      </c>
      <c r="I481">
        <v>0</v>
      </c>
      <c r="J481">
        <v>0</v>
      </c>
      <c r="K481">
        <v>45.5</v>
      </c>
      <c r="L481" t="s">
        <v>115</v>
      </c>
      <c r="M481" t="s">
        <v>116</v>
      </c>
    </row>
    <row r="482" spans="2:13" x14ac:dyDescent="0.2">
      <c r="B482">
        <v>3020</v>
      </c>
      <c r="C482">
        <v>1</v>
      </c>
      <c r="D482">
        <v>12.1</v>
      </c>
      <c r="E482">
        <v>0.2</v>
      </c>
      <c r="F482">
        <v>0.6</v>
      </c>
      <c r="G482">
        <v>0.7</v>
      </c>
      <c r="H482">
        <v>130</v>
      </c>
      <c r="I482">
        <v>4</v>
      </c>
      <c r="J482">
        <v>0</v>
      </c>
      <c r="K482">
        <v>95</v>
      </c>
      <c r="L482" t="s">
        <v>128</v>
      </c>
      <c r="M482" t="s">
        <v>116</v>
      </c>
    </row>
    <row r="483" spans="2:13" x14ac:dyDescent="0.2">
      <c r="B483">
        <v>3020</v>
      </c>
      <c r="C483">
        <v>1</v>
      </c>
      <c r="D483">
        <v>13.3</v>
      </c>
      <c r="E483">
        <v>0.22</v>
      </c>
      <c r="F483">
        <v>0.7</v>
      </c>
      <c r="G483">
        <v>0.7</v>
      </c>
      <c r="H483">
        <v>145</v>
      </c>
      <c r="I483">
        <v>6</v>
      </c>
      <c r="J483">
        <v>1</v>
      </c>
      <c r="K483">
        <v>87.8</v>
      </c>
      <c r="L483" t="s">
        <v>117</v>
      </c>
      <c r="M483" t="s">
        <v>118</v>
      </c>
    </row>
    <row r="484" spans="2:13" x14ac:dyDescent="0.2">
      <c r="B484">
        <v>3020</v>
      </c>
      <c r="C484">
        <v>2</v>
      </c>
      <c r="D484">
        <v>0</v>
      </c>
      <c r="E484">
        <v>0</v>
      </c>
      <c r="F484">
        <v>0.6</v>
      </c>
      <c r="G484">
        <v>0.6</v>
      </c>
      <c r="H484">
        <v>0</v>
      </c>
      <c r="I484">
        <v>0</v>
      </c>
      <c r="J484">
        <v>0</v>
      </c>
      <c r="K484">
        <v>50</v>
      </c>
      <c r="L484" t="s">
        <v>113</v>
      </c>
      <c r="M484" t="s">
        <v>114</v>
      </c>
    </row>
    <row r="485" spans="2:13" x14ac:dyDescent="0.2">
      <c r="B485">
        <v>3020</v>
      </c>
      <c r="C485">
        <v>2</v>
      </c>
      <c r="D485">
        <v>6</v>
      </c>
      <c r="E485">
        <v>0.1</v>
      </c>
      <c r="F485">
        <v>0.6</v>
      </c>
      <c r="G485">
        <v>0.6</v>
      </c>
      <c r="H485">
        <v>65</v>
      </c>
      <c r="I485">
        <v>0</v>
      </c>
      <c r="J485">
        <v>0</v>
      </c>
      <c r="K485">
        <v>95</v>
      </c>
      <c r="L485" t="s">
        <v>115</v>
      </c>
      <c r="M485" t="s">
        <v>116</v>
      </c>
    </row>
    <row r="486" spans="2:13" x14ac:dyDescent="0.2">
      <c r="B486">
        <v>3020</v>
      </c>
      <c r="C486">
        <v>2</v>
      </c>
      <c r="D486">
        <v>8.5</v>
      </c>
      <c r="E486">
        <v>0.14000000000000001</v>
      </c>
      <c r="F486">
        <v>0.6</v>
      </c>
      <c r="G486">
        <v>0.6</v>
      </c>
      <c r="H486">
        <v>92</v>
      </c>
      <c r="I486">
        <v>2</v>
      </c>
      <c r="J486">
        <v>1</v>
      </c>
      <c r="K486">
        <v>70.599999999999994</v>
      </c>
      <c r="L486" t="s">
        <v>129</v>
      </c>
      <c r="M486" t="s">
        <v>118</v>
      </c>
    </row>
    <row r="487" spans="2:13" x14ac:dyDescent="0.2">
      <c r="B487">
        <v>3020</v>
      </c>
      <c r="C487">
        <v>2</v>
      </c>
      <c r="D487">
        <v>12</v>
      </c>
      <c r="E487">
        <v>0.2</v>
      </c>
      <c r="F487">
        <v>0.6</v>
      </c>
      <c r="G487">
        <v>0.6</v>
      </c>
      <c r="H487">
        <v>129</v>
      </c>
      <c r="I487">
        <v>2</v>
      </c>
      <c r="J487">
        <v>2</v>
      </c>
      <c r="K487">
        <v>70.8</v>
      </c>
      <c r="L487" t="s">
        <v>119</v>
      </c>
      <c r="M487" t="s">
        <v>118</v>
      </c>
    </row>
    <row r="488" spans="2:13" x14ac:dyDescent="0.2">
      <c r="B488">
        <v>3020</v>
      </c>
      <c r="C488">
        <v>2</v>
      </c>
      <c r="D488">
        <v>12.1</v>
      </c>
      <c r="E488">
        <v>0.2</v>
      </c>
      <c r="F488">
        <v>0.6</v>
      </c>
      <c r="G488">
        <v>0.45</v>
      </c>
      <c r="H488">
        <v>130</v>
      </c>
      <c r="I488">
        <v>2</v>
      </c>
      <c r="J488">
        <v>2</v>
      </c>
      <c r="K488">
        <v>70.900000000000006</v>
      </c>
      <c r="L488" t="s">
        <v>120</v>
      </c>
      <c r="M488" t="s">
        <v>116</v>
      </c>
    </row>
    <row r="489" spans="2:13" x14ac:dyDescent="0.2">
      <c r="B489">
        <v>3020</v>
      </c>
      <c r="C489">
        <v>2</v>
      </c>
      <c r="D489">
        <v>18.100000000000001</v>
      </c>
      <c r="E489">
        <v>0.3</v>
      </c>
      <c r="F489">
        <v>0.45</v>
      </c>
      <c r="G489">
        <v>0.55000000000000004</v>
      </c>
      <c r="H489">
        <v>179</v>
      </c>
      <c r="I489">
        <v>6</v>
      </c>
      <c r="J489">
        <v>2</v>
      </c>
      <c r="K489">
        <v>79</v>
      </c>
      <c r="L489" t="s">
        <v>128</v>
      </c>
      <c r="M489" t="s">
        <v>116</v>
      </c>
    </row>
    <row r="490" spans="2:13" x14ac:dyDescent="0.2">
      <c r="B490">
        <v>3020</v>
      </c>
      <c r="C490">
        <v>3</v>
      </c>
      <c r="D490">
        <v>0</v>
      </c>
      <c r="E490">
        <v>0</v>
      </c>
      <c r="F490">
        <v>0.6</v>
      </c>
      <c r="G490">
        <v>0.6</v>
      </c>
      <c r="H490">
        <v>0</v>
      </c>
      <c r="I490">
        <v>0</v>
      </c>
      <c r="J490">
        <v>0</v>
      </c>
      <c r="K490">
        <v>50</v>
      </c>
      <c r="L490" t="s">
        <v>113</v>
      </c>
      <c r="M490" t="s">
        <v>114</v>
      </c>
    </row>
    <row r="491" spans="2:13" x14ac:dyDescent="0.2">
      <c r="B491">
        <v>3020</v>
      </c>
      <c r="C491">
        <v>3</v>
      </c>
      <c r="D491">
        <v>6</v>
      </c>
      <c r="E491">
        <v>0.1</v>
      </c>
      <c r="F491">
        <v>0.6</v>
      </c>
      <c r="G491">
        <v>0.7</v>
      </c>
      <c r="H491">
        <v>65</v>
      </c>
      <c r="I491">
        <v>0</v>
      </c>
      <c r="J491">
        <v>0</v>
      </c>
      <c r="K491">
        <v>95.5</v>
      </c>
      <c r="L491" t="s">
        <v>128</v>
      </c>
      <c r="M491" t="s">
        <v>116</v>
      </c>
    </row>
    <row r="492" spans="2:13" x14ac:dyDescent="0.2">
      <c r="B492">
        <v>3020</v>
      </c>
      <c r="C492">
        <v>3</v>
      </c>
      <c r="D492">
        <v>10.199999999999999</v>
      </c>
      <c r="E492">
        <v>0.17</v>
      </c>
      <c r="F492">
        <v>0.7</v>
      </c>
      <c r="G492">
        <v>0.7</v>
      </c>
      <c r="H492">
        <v>118</v>
      </c>
      <c r="I492">
        <v>4</v>
      </c>
      <c r="J492">
        <v>1</v>
      </c>
      <c r="K492">
        <v>79.2</v>
      </c>
      <c r="L492" t="s">
        <v>122</v>
      </c>
      <c r="M492" t="s">
        <v>118</v>
      </c>
    </row>
    <row r="493" spans="2:13" x14ac:dyDescent="0.2">
      <c r="B493">
        <v>3020</v>
      </c>
      <c r="C493">
        <v>3</v>
      </c>
      <c r="D493">
        <v>12.1</v>
      </c>
      <c r="E493">
        <v>0.2</v>
      </c>
      <c r="F493">
        <v>0.7</v>
      </c>
      <c r="G493">
        <v>0.7</v>
      </c>
      <c r="H493">
        <v>141</v>
      </c>
      <c r="I493">
        <v>5</v>
      </c>
      <c r="J493">
        <v>1</v>
      </c>
      <c r="K493">
        <v>79.400000000000006</v>
      </c>
      <c r="L493" t="s">
        <v>132</v>
      </c>
      <c r="M493" t="s">
        <v>116</v>
      </c>
    </row>
    <row r="494" spans="2:13" x14ac:dyDescent="0.2">
      <c r="B494">
        <v>3020</v>
      </c>
      <c r="C494">
        <v>4</v>
      </c>
      <c r="D494">
        <v>0</v>
      </c>
      <c r="E494">
        <v>0</v>
      </c>
      <c r="F494">
        <v>0.6</v>
      </c>
      <c r="G494">
        <v>0.6</v>
      </c>
      <c r="H494">
        <v>0</v>
      </c>
      <c r="I494">
        <v>0</v>
      </c>
      <c r="J494">
        <v>0</v>
      </c>
      <c r="K494">
        <v>50</v>
      </c>
      <c r="L494" t="s">
        <v>113</v>
      </c>
      <c r="M494" t="s">
        <v>114</v>
      </c>
    </row>
    <row r="495" spans="2:13" x14ac:dyDescent="0.2">
      <c r="B495">
        <v>3020</v>
      </c>
      <c r="C495">
        <v>4</v>
      </c>
      <c r="D495">
        <v>6</v>
      </c>
      <c r="E495">
        <v>0.1</v>
      </c>
      <c r="F495">
        <v>0.6</v>
      </c>
      <c r="G495">
        <v>0.6</v>
      </c>
      <c r="H495">
        <v>65</v>
      </c>
      <c r="I495">
        <v>1</v>
      </c>
      <c r="J495">
        <v>0</v>
      </c>
      <c r="K495">
        <v>45</v>
      </c>
      <c r="L495" t="s">
        <v>115</v>
      </c>
      <c r="M495" t="s">
        <v>116</v>
      </c>
    </row>
    <row r="496" spans="2:13" x14ac:dyDescent="0.2">
      <c r="B496">
        <v>3020</v>
      </c>
      <c r="C496">
        <v>4</v>
      </c>
      <c r="D496">
        <v>8.3000000000000007</v>
      </c>
      <c r="E496">
        <v>0.14000000000000001</v>
      </c>
      <c r="F496">
        <v>0.6</v>
      </c>
      <c r="G496">
        <v>0.6</v>
      </c>
      <c r="H496">
        <v>90</v>
      </c>
      <c r="I496">
        <v>5</v>
      </c>
      <c r="J496">
        <v>1</v>
      </c>
      <c r="K496">
        <v>83.3</v>
      </c>
      <c r="L496" t="s">
        <v>117</v>
      </c>
      <c r="M496" t="s">
        <v>118</v>
      </c>
    </row>
    <row r="497" spans="2:13" x14ac:dyDescent="0.2">
      <c r="B497">
        <v>3020</v>
      </c>
      <c r="C497">
        <v>4</v>
      </c>
      <c r="D497">
        <v>12.1</v>
      </c>
      <c r="E497">
        <v>0.2</v>
      </c>
      <c r="F497">
        <v>0.6</v>
      </c>
      <c r="G497">
        <v>0.6</v>
      </c>
      <c r="H497">
        <v>130</v>
      </c>
      <c r="I497">
        <v>9</v>
      </c>
      <c r="J497">
        <v>1</v>
      </c>
      <c r="K497">
        <v>83.6</v>
      </c>
      <c r="L497" t="s">
        <v>136</v>
      </c>
      <c r="M497" t="s">
        <v>116</v>
      </c>
    </row>
    <row r="498" spans="2:13" x14ac:dyDescent="0.2">
      <c r="B498">
        <v>3020</v>
      </c>
      <c r="C498">
        <v>4</v>
      </c>
      <c r="D498">
        <v>18.100000000000001</v>
      </c>
      <c r="E498">
        <v>0.3</v>
      </c>
      <c r="F498">
        <v>0.6</v>
      </c>
      <c r="G498">
        <v>0.7</v>
      </c>
      <c r="H498">
        <v>195</v>
      </c>
      <c r="I498">
        <v>12</v>
      </c>
      <c r="J498">
        <v>1</v>
      </c>
      <c r="K498">
        <v>87.8</v>
      </c>
      <c r="L498" t="s">
        <v>128</v>
      </c>
      <c r="M498" t="s">
        <v>116</v>
      </c>
    </row>
    <row r="499" spans="2:13" x14ac:dyDescent="0.2">
      <c r="B499">
        <v>3020</v>
      </c>
      <c r="C499">
        <v>5</v>
      </c>
      <c r="D499">
        <v>0</v>
      </c>
      <c r="E499">
        <v>0</v>
      </c>
      <c r="F499">
        <v>0.6</v>
      </c>
      <c r="G499">
        <v>0.6</v>
      </c>
      <c r="H499">
        <v>0</v>
      </c>
      <c r="I499">
        <v>0</v>
      </c>
      <c r="J499">
        <v>0</v>
      </c>
      <c r="K499">
        <v>50</v>
      </c>
      <c r="L499" t="s">
        <v>113</v>
      </c>
      <c r="M499" t="s">
        <v>114</v>
      </c>
    </row>
    <row r="500" spans="2:13" x14ac:dyDescent="0.2">
      <c r="B500">
        <v>3020</v>
      </c>
      <c r="C500">
        <v>5</v>
      </c>
      <c r="D500">
        <v>6</v>
      </c>
      <c r="E500">
        <v>0.1</v>
      </c>
      <c r="F500">
        <v>0.6</v>
      </c>
      <c r="G500">
        <v>0.6</v>
      </c>
      <c r="H500">
        <v>65</v>
      </c>
      <c r="I500">
        <v>1</v>
      </c>
      <c r="J500">
        <v>0</v>
      </c>
      <c r="K500">
        <v>44.6</v>
      </c>
      <c r="L500" t="s">
        <v>115</v>
      </c>
      <c r="M500" t="s">
        <v>116</v>
      </c>
    </row>
    <row r="501" spans="2:13" x14ac:dyDescent="0.2">
      <c r="B501">
        <v>3020</v>
      </c>
      <c r="C501">
        <v>5</v>
      </c>
      <c r="D501">
        <v>6.6</v>
      </c>
      <c r="E501">
        <v>0.11</v>
      </c>
      <c r="F501">
        <v>0.6</v>
      </c>
      <c r="G501">
        <v>0.6</v>
      </c>
      <c r="H501">
        <v>71</v>
      </c>
      <c r="I501">
        <v>1</v>
      </c>
      <c r="J501">
        <v>1</v>
      </c>
      <c r="K501">
        <v>44.7</v>
      </c>
      <c r="L501" t="s">
        <v>117</v>
      </c>
      <c r="M501" t="s">
        <v>118</v>
      </c>
    </row>
    <row r="502" spans="2:13" x14ac:dyDescent="0.2">
      <c r="B502">
        <v>3020</v>
      </c>
      <c r="C502">
        <v>5</v>
      </c>
      <c r="D502">
        <v>12.1</v>
      </c>
      <c r="E502">
        <v>0.2</v>
      </c>
      <c r="F502">
        <v>0.6</v>
      </c>
      <c r="G502">
        <v>0.6</v>
      </c>
      <c r="H502">
        <v>130</v>
      </c>
      <c r="I502">
        <v>4</v>
      </c>
      <c r="J502">
        <v>1</v>
      </c>
      <c r="K502">
        <v>79.2</v>
      </c>
      <c r="L502" t="s">
        <v>124</v>
      </c>
      <c r="M502" t="s">
        <v>116</v>
      </c>
    </row>
    <row r="503" spans="2:13" x14ac:dyDescent="0.2">
      <c r="B503">
        <v>3020</v>
      </c>
      <c r="C503">
        <v>5</v>
      </c>
      <c r="D503">
        <v>18.100000000000001</v>
      </c>
      <c r="E503">
        <v>0.3</v>
      </c>
      <c r="F503">
        <v>0.6</v>
      </c>
      <c r="G503">
        <v>0.7</v>
      </c>
      <c r="H503">
        <v>195</v>
      </c>
      <c r="I503">
        <v>10</v>
      </c>
      <c r="J503">
        <v>1</v>
      </c>
      <c r="K503">
        <v>85</v>
      </c>
      <c r="L503" t="s">
        <v>128</v>
      </c>
      <c r="M503" t="s">
        <v>116</v>
      </c>
    </row>
    <row r="504" spans="2:13" x14ac:dyDescent="0.2">
      <c r="B504">
        <v>3021</v>
      </c>
      <c r="C504">
        <v>1</v>
      </c>
      <c r="D504">
        <v>0</v>
      </c>
      <c r="E504">
        <v>0</v>
      </c>
      <c r="F504">
        <v>0.6</v>
      </c>
      <c r="G504">
        <v>0.6</v>
      </c>
      <c r="H504">
        <v>0</v>
      </c>
      <c r="I504">
        <v>0</v>
      </c>
      <c r="J504">
        <v>0</v>
      </c>
      <c r="K504">
        <v>50</v>
      </c>
      <c r="L504" t="s">
        <v>113</v>
      </c>
      <c r="M504" t="s">
        <v>114</v>
      </c>
    </row>
    <row r="505" spans="2:13" x14ac:dyDescent="0.2">
      <c r="B505">
        <v>3021</v>
      </c>
      <c r="C505">
        <v>1</v>
      </c>
      <c r="D505">
        <v>6</v>
      </c>
      <c r="E505">
        <v>0.1</v>
      </c>
      <c r="F505">
        <v>0.6</v>
      </c>
      <c r="G505">
        <v>0.6</v>
      </c>
      <c r="H505">
        <v>65</v>
      </c>
      <c r="I505">
        <v>1</v>
      </c>
      <c r="J505">
        <v>0</v>
      </c>
      <c r="K505">
        <v>42.1</v>
      </c>
      <c r="L505" t="s">
        <v>115</v>
      </c>
      <c r="M505" t="s">
        <v>116</v>
      </c>
    </row>
    <row r="506" spans="2:13" x14ac:dyDescent="0.2">
      <c r="B506">
        <v>3021</v>
      </c>
      <c r="C506">
        <v>1</v>
      </c>
      <c r="D506">
        <v>8</v>
      </c>
      <c r="E506">
        <v>0.13</v>
      </c>
      <c r="F506">
        <v>0.6</v>
      </c>
      <c r="G506">
        <v>0.6</v>
      </c>
      <c r="H506">
        <v>86</v>
      </c>
      <c r="I506">
        <v>1</v>
      </c>
      <c r="J506">
        <v>1</v>
      </c>
      <c r="K506">
        <v>65.900000000000006</v>
      </c>
      <c r="L506" t="s">
        <v>117</v>
      </c>
      <c r="M506" t="s">
        <v>118</v>
      </c>
    </row>
    <row r="507" spans="2:13" x14ac:dyDescent="0.2">
      <c r="B507">
        <v>3021</v>
      </c>
      <c r="C507">
        <v>1</v>
      </c>
      <c r="D507">
        <v>11.5</v>
      </c>
      <c r="E507">
        <v>0.19</v>
      </c>
      <c r="F507">
        <v>0.6</v>
      </c>
      <c r="G507">
        <v>0.6</v>
      </c>
      <c r="H507">
        <v>124</v>
      </c>
      <c r="I507">
        <v>4</v>
      </c>
      <c r="J507">
        <v>2</v>
      </c>
      <c r="K507">
        <v>57.9</v>
      </c>
      <c r="L507" t="s">
        <v>119</v>
      </c>
      <c r="M507" t="s">
        <v>118</v>
      </c>
    </row>
    <row r="508" spans="2:13" x14ac:dyDescent="0.2">
      <c r="B508">
        <v>3021</v>
      </c>
      <c r="C508">
        <v>1</v>
      </c>
      <c r="D508">
        <v>12.1</v>
      </c>
      <c r="E508">
        <v>0.2</v>
      </c>
      <c r="F508">
        <v>0.6</v>
      </c>
      <c r="G508">
        <v>0.45</v>
      </c>
      <c r="H508">
        <v>130</v>
      </c>
      <c r="I508">
        <v>4</v>
      </c>
      <c r="J508">
        <v>2</v>
      </c>
      <c r="K508">
        <v>58</v>
      </c>
      <c r="L508" t="s">
        <v>120</v>
      </c>
      <c r="M508" t="s">
        <v>116</v>
      </c>
    </row>
    <row r="509" spans="2:13" x14ac:dyDescent="0.2">
      <c r="B509">
        <v>3021</v>
      </c>
      <c r="C509">
        <v>1</v>
      </c>
      <c r="D509">
        <v>18.100000000000001</v>
      </c>
      <c r="E509">
        <v>0.3</v>
      </c>
      <c r="F509">
        <v>0.45</v>
      </c>
      <c r="G509">
        <v>0.45</v>
      </c>
      <c r="H509">
        <v>179</v>
      </c>
      <c r="I509">
        <v>6</v>
      </c>
      <c r="J509">
        <v>2</v>
      </c>
      <c r="K509">
        <v>57.9</v>
      </c>
      <c r="L509" t="s">
        <v>115</v>
      </c>
      <c r="M509" t="s">
        <v>116</v>
      </c>
    </row>
    <row r="510" spans="2:13" x14ac:dyDescent="0.2">
      <c r="B510">
        <v>3021</v>
      </c>
      <c r="C510">
        <v>1</v>
      </c>
      <c r="D510">
        <v>19</v>
      </c>
      <c r="E510">
        <v>0.32</v>
      </c>
      <c r="F510">
        <v>0.45</v>
      </c>
      <c r="G510">
        <v>0.45</v>
      </c>
      <c r="H510">
        <v>186</v>
      </c>
      <c r="I510">
        <v>6</v>
      </c>
      <c r="J510">
        <v>3</v>
      </c>
      <c r="K510">
        <v>53.9</v>
      </c>
      <c r="L510" t="s">
        <v>144</v>
      </c>
      <c r="M510" t="s">
        <v>118</v>
      </c>
    </row>
    <row r="511" spans="2:13" x14ac:dyDescent="0.2">
      <c r="B511">
        <v>3021</v>
      </c>
      <c r="C511">
        <v>2</v>
      </c>
      <c r="D511">
        <v>0</v>
      </c>
      <c r="E511">
        <v>0</v>
      </c>
      <c r="F511">
        <v>0.6</v>
      </c>
      <c r="G511">
        <v>0.6</v>
      </c>
      <c r="H511">
        <v>0</v>
      </c>
      <c r="I511">
        <v>0</v>
      </c>
      <c r="J511">
        <v>0</v>
      </c>
      <c r="K511">
        <v>50</v>
      </c>
      <c r="L511" t="s">
        <v>113</v>
      </c>
      <c r="M511" t="s">
        <v>114</v>
      </c>
    </row>
    <row r="512" spans="2:13" x14ac:dyDescent="0.2">
      <c r="B512">
        <v>3021</v>
      </c>
      <c r="C512">
        <v>2</v>
      </c>
      <c r="D512">
        <v>6</v>
      </c>
      <c r="E512">
        <v>0.1</v>
      </c>
      <c r="F512">
        <v>0.6</v>
      </c>
      <c r="G512">
        <v>0.6</v>
      </c>
      <c r="H512">
        <v>65</v>
      </c>
      <c r="I512">
        <v>2</v>
      </c>
      <c r="J512">
        <v>0</v>
      </c>
      <c r="K512">
        <v>40.5</v>
      </c>
      <c r="L512" t="s">
        <v>115</v>
      </c>
      <c r="M512" t="s">
        <v>116</v>
      </c>
    </row>
    <row r="513" spans="2:13" x14ac:dyDescent="0.2">
      <c r="B513">
        <v>3021</v>
      </c>
      <c r="C513">
        <v>2</v>
      </c>
      <c r="D513">
        <v>10.9</v>
      </c>
      <c r="E513">
        <v>0.18</v>
      </c>
      <c r="F513">
        <v>0.6</v>
      </c>
      <c r="G513">
        <v>0.6</v>
      </c>
      <c r="H513">
        <v>118</v>
      </c>
      <c r="I513">
        <v>6</v>
      </c>
      <c r="J513">
        <v>1</v>
      </c>
      <c r="K513">
        <v>65.099999999999994</v>
      </c>
      <c r="L513" t="s">
        <v>122</v>
      </c>
      <c r="M513" t="s">
        <v>118</v>
      </c>
    </row>
    <row r="514" spans="2:13" x14ac:dyDescent="0.2">
      <c r="B514">
        <v>3021</v>
      </c>
      <c r="C514">
        <v>2</v>
      </c>
      <c r="D514">
        <v>12.1</v>
      </c>
      <c r="E514">
        <v>0.2</v>
      </c>
      <c r="F514">
        <v>0.6</v>
      </c>
      <c r="G514">
        <v>0.6</v>
      </c>
      <c r="H514">
        <v>130</v>
      </c>
      <c r="I514">
        <v>6</v>
      </c>
      <c r="J514">
        <v>1</v>
      </c>
      <c r="K514">
        <v>65.7</v>
      </c>
      <c r="L514" t="s">
        <v>121</v>
      </c>
      <c r="M514" t="s">
        <v>116</v>
      </c>
    </row>
    <row r="515" spans="2:13" x14ac:dyDescent="0.2">
      <c r="B515">
        <v>3021</v>
      </c>
      <c r="C515">
        <v>2</v>
      </c>
      <c r="D515">
        <v>18.100000000000001</v>
      </c>
      <c r="E515">
        <v>0.3</v>
      </c>
      <c r="F515">
        <v>0.6</v>
      </c>
      <c r="G515">
        <v>0.6</v>
      </c>
      <c r="H515">
        <v>195</v>
      </c>
      <c r="I515">
        <v>9</v>
      </c>
      <c r="J515">
        <v>1</v>
      </c>
      <c r="K515">
        <v>66.3</v>
      </c>
      <c r="L515" t="s">
        <v>115</v>
      </c>
      <c r="M515" t="s">
        <v>116</v>
      </c>
    </row>
    <row r="516" spans="2:13" x14ac:dyDescent="0.2">
      <c r="B516">
        <v>3021</v>
      </c>
      <c r="C516">
        <v>3</v>
      </c>
      <c r="D516">
        <v>0</v>
      </c>
      <c r="E516">
        <v>0</v>
      </c>
      <c r="F516">
        <v>0.6</v>
      </c>
      <c r="G516">
        <v>0.6</v>
      </c>
      <c r="H516">
        <v>0</v>
      </c>
      <c r="I516">
        <v>0</v>
      </c>
      <c r="J516">
        <v>0</v>
      </c>
      <c r="K516">
        <v>50</v>
      </c>
      <c r="L516" t="s">
        <v>113</v>
      </c>
      <c r="M516" t="s">
        <v>114</v>
      </c>
    </row>
    <row r="517" spans="2:13" x14ac:dyDescent="0.2">
      <c r="B517">
        <v>3021</v>
      </c>
      <c r="C517">
        <v>3</v>
      </c>
      <c r="D517">
        <v>6</v>
      </c>
      <c r="E517">
        <v>0.1</v>
      </c>
      <c r="F517">
        <v>0.6</v>
      </c>
      <c r="G517">
        <v>0.6</v>
      </c>
      <c r="H517">
        <v>65</v>
      </c>
      <c r="I517">
        <v>0</v>
      </c>
      <c r="J517">
        <v>0</v>
      </c>
      <c r="K517">
        <v>42.6</v>
      </c>
      <c r="L517" t="s">
        <v>115</v>
      </c>
      <c r="M517" t="s">
        <v>116</v>
      </c>
    </row>
    <row r="518" spans="2:13" x14ac:dyDescent="0.2">
      <c r="B518">
        <v>3021</v>
      </c>
      <c r="C518">
        <v>3</v>
      </c>
      <c r="D518">
        <v>12.1</v>
      </c>
      <c r="E518">
        <v>0.2</v>
      </c>
      <c r="F518">
        <v>0.6</v>
      </c>
      <c r="G518">
        <v>0.7</v>
      </c>
      <c r="H518">
        <v>130</v>
      </c>
      <c r="I518">
        <v>5</v>
      </c>
      <c r="J518">
        <v>0</v>
      </c>
      <c r="K518">
        <v>91.1</v>
      </c>
      <c r="L518" t="s">
        <v>128</v>
      </c>
      <c r="M518" t="s">
        <v>116</v>
      </c>
    </row>
    <row r="519" spans="2:13" x14ac:dyDescent="0.2">
      <c r="B519">
        <v>3021</v>
      </c>
      <c r="C519">
        <v>3</v>
      </c>
      <c r="D519">
        <v>12.5</v>
      </c>
      <c r="E519">
        <v>0.21</v>
      </c>
      <c r="F519">
        <v>0.7</v>
      </c>
      <c r="G519">
        <v>0.7</v>
      </c>
      <c r="H519">
        <v>135</v>
      </c>
      <c r="I519">
        <v>5</v>
      </c>
      <c r="J519">
        <v>1</v>
      </c>
      <c r="K519">
        <v>78.900000000000006</v>
      </c>
      <c r="L519" t="s">
        <v>122</v>
      </c>
      <c r="M519" t="s">
        <v>118</v>
      </c>
    </row>
    <row r="520" spans="2:13" x14ac:dyDescent="0.2">
      <c r="B520">
        <v>3021</v>
      </c>
      <c r="C520">
        <v>4</v>
      </c>
      <c r="D520">
        <v>0</v>
      </c>
      <c r="E520">
        <v>0</v>
      </c>
      <c r="F520">
        <v>0.6</v>
      </c>
      <c r="G520">
        <v>0.6</v>
      </c>
      <c r="H520">
        <v>0</v>
      </c>
      <c r="I520">
        <v>0</v>
      </c>
      <c r="J520">
        <v>0</v>
      </c>
      <c r="K520">
        <v>50</v>
      </c>
      <c r="L520" t="s">
        <v>113</v>
      </c>
      <c r="M520" t="s">
        <v>114</v>
      </c>
    </row>
    <row r="521" spans="2:13" x14ac:dyDescent="0.2">
      <c r="B521">
        <v>3021</v>
      </c>
      <c r="C521">
        <v>4</v>
      </c>
      <c r="D521">
        <v>6</v>
      </c>
      <c r="E521">
        <v>0.1</v>
      </c>
      <c r="F521">
        <v>0.6</v>
      </c>
      <c r="G521">
        <v>0.6</v>
      </c>
      <c r="H521">
        <v>65</v>
      </c>
      <c r="I521">
        <v>0</v>
      </c>
      <c r="J521">
        <v>0</v>
      </c>
      <c r="K521">
        <v>41.3</v>
      </c>
      <c r="L521" t="s">
        <v>115</v>
      </c>
      <c r="M521" t="s">
        <v>116</v>
      </c>
    </row>
    <row r="522" spans="2:13" x14ac:dyDescent="0.2">
      <c r="B522">
        <v>3021</v>
      </c>
      <c r="C522">
        <v>4</v>
      </c>
      <c r="D522">
        <v>10</v>
      </c>
      <c r="E522">
        <v>0.17</v>
      </c>
      <c r="F522">
        <v>0.6</v>
      </c>
      <c r="G522">
        <v>0.6</v>
      </c>
      <c r="H522">
        <v>108</v>
      </c>
      <c r="I522">
        <v>3</v>
      </c>
      <c r="J522">
        <v>1</v>
      </c>
      <c r="K522">
        <v>43</v>
      </c>
      <c r="L522" t="s">
        <v>117</v>
      </c>
      <c r="M522" t="s">
        <v>118</v>
      </c>
    </row>
    <row r="523" spans="2:13" x14ac:dyDescent="0.2">
      <c r="B523">
        <v>3021</v>
      </c>
      <c r="C523">
        <v>4</v>
      </c>
      <c r="D523">
        <v>12.1</v>
      </c>
      <c r="E523">
        <v>0.2</v>
      </c>
      <c r="F523">
        <v>0.6</v>
      </c>
      <c r="G523">
        <v>0.6</v>
      </c>
      <c r="H523">
        <v>130</v>
      </c>
      <c r="I523">
        <v>4</v>
      </c>
      <c r="J523">
        <v>1</v>
      </c>
      <c r="K523">
        <v>68.599999999999994</v>
      </c>
      <c r="L523" t="s">
        <v>121</v>
      </c>
      <c r="M523" t="s">
        <v>116</v>
      </c>
    </row>
    <row r="524" spans="2:13" x14ac:dyDescent="0.2">
      <c r="B524">
        <v>3021</v>
      </c>
      <c r="C524">
        <v>4</v>
      </c>
      <c r="D524">
        <v>18.100000000000001</v>
      </c>
      <c r="E524">
        <v>0.3</v>
      </c>
      <c r="F524">
        <v>0.6</v>
      </c>
      <c r="G524">
        <v>0.6</v>
      </c>
      <c r="H524">
        <v>195</v>
      </c>
      <c r="I524">
        <v>7</v>
      </c>
      <c r="J524">
        <v>1</v>
      </c>
      <c r="K524">
        <v>67.900000000000006</v>
      </c>
      <c r="L524" t="s">
        <v>115</v>
      </c>
      <c r="M524" t="s">
        <v>116</v>
      </c>
    </row>
    <row r="525" spans="2:13" x14ac:dyDescent="0.2">
      <c r="B525">
        <v>3021</v>
      </c>
      <c r="C525">
        <v>5</v>
      </c>
      <c r="D525">
        <v>0</v>
      </c>
      <c r="E525">
        <v>0</v>
      </c>
      <c r="F525">
        <v>0.6</v>
      </c>
      <c r="G525">
        <v>0.6</v>
      </c>
      <c r="H525">
        <v>0</v>
      </c>
      <c r="I525">
        <v>0</v>
      </c>
      <c r="J525">
        <v>0</v>
      </c>
      <c r="K525">
        <v>50</v>
      </c>
      <c r="L525" t="s">
        <v>113</v>
      </c>
      <c r="M525" t="s">
        <v>114</v>
      </c>
    </row>
    <row r="526" spans="2:13" x14ac:dyDescent="0.2">
      <c r="B526">
        <v>3021</v>
      </c>
      <c r="C526">
        <v>5</v>
      </c>
      <c r="D526">
        <v>6</v>
      </c>
      <c r="E526">
        <v>0.1</v>
      </c>
      <c r="F526">
        <v>0.6</v>
      </c>
      <c r="G526">
        <v>0.6</v>
      </c>
      <c r="H526">
        <v>65</v>
      </c>
      <c r="I526">
        <v>0</v>
      </c>
      <c r="J526">
        <v>0</v>
      </c>
      <c r="K526">
        <v>44.6</v>
      </c>
      <c r="L526" t="s">
        <v>115</v>
      </c>
      <c r="M526" t="s">
        <v>116</v>
      </c>
    </row>
    <row r="527" spans="2:13" x14ac:dyDescent="0.2">
      <c r="B527">
        <v>3021</v>
      </c>
      <c r="C527">
        <v>5</v>
      </c>
      <c r="D527">
        <v>12.1</v>
      </c>
      <c r="E527">
        <v>0.2</v>
      </c>
      <c r="F527">
        <v>0.6</v>
      </c>
      <c r="G527">
        <v>0.6</v>
      </c>
      <c r="H527">
        <v>130</v>
      </c>
      <c r="I527">
        <v>5</v>
      </c>
      <c r="J527">
        <v>0</v>
      </c>
      <c r="K527">
        <v>93.8</v>
      </c>
      <c r="L527" t="s">
        <v>115</v>
      </c>
      <c r="M527" t="s">
        <v>116</v>
      </c>
    </row>
    <row r="528" spans="2:13" x14ac:dyDescent="0.2">
      <c r="B528">
        <v>3021</v>
      </c>
      <c r="C528">
        <v>5</v>
      </c>
      <c r="D528">
        <v>16.7</v>
      </c>
      <c r="E528">
        <v>0.28000000000000003</v>
      </c>
      <c r="F528">
        <v>0.6</v>
      </c>
      <c r="G528">
        <v>0.6</v>
      </c>
      <c r="H528">
        <v>180</v>
      </c>
      <c r="I528">
        <v>7</v>
      </c>
      <c r="J528">
        <v>1</v>
      </c>
      <c r="K528">
        <v>76.599999999999994</v>
      </c>
      <c r="L528" t="s">
        <v>122</v>
      </c>
      <c r="M528" t="s">
        <v>118</v>
      </c>
    </row>
    <row r="529" spans="2:13" x14ac:dyDescent="0.2">
      <c r="B529">
        <v>3021</v>
      </c>
      <c r="C529">
        <v>5</v>
      </c>
      <c r="D529">
        <v>18.100000000000001</v>
      </c>
      <c r="E529">
        <v>0.3</v>
      </c>
      <c r="F529">
        <v>0.6</v>
      </c>
      <c r="G529">
        <v>0.6</v>
      </c>
      <c r="H529">
        <v>195</v>
      </c>
      <c r="I529">
        <v>8</v>
      </c>
      <c r="J529">
        <v>1</v>
      </c>
      <c r="K529">
        <v>76.400000000000006</v>
      </c>
      <c r="L529" t="s">
        <v>121</v>
      </c>
      <c r="M529" t="s">
        <v>116</v>
      </c>
    </row>
    <row r="530" spans="2:13" x14ac:dyDescent="0.2">
      <c r="B530">
        <v>3022</v>
      </c>
      <c r="C530">
        <v>1</v>
      </c>
      <c r="D530">
        <v>0</v>
      </c>
      <c r="E530">
        <v>0</v>
      </c>
      <c r="F530">
        <v>0.6</v>
      </c>
      <c r="G530">
        <v>0.6</v>
      </c>
      <c r="H530">
        <v>0</v>
      </c>
      <c r="I530">
        <v>0</v>
      </c>
      <c r="J530">
        <v>0</v>
      </c>
      <c r="K530">
        <v>50</v>
      </c>
      <c r="L530" t="s">
        <v>113</v>
      </c>
      <c r="M530" t="s">
        <v>114</v>
      </c>
    </row>
    <row r="531" spans="2:13" x14ac:dyDescent="0.2">
      <c r="B531">
        <v>3022</v>
      </c>
      <c r="C531">
        <v>1</v>
      </c>
      <c r="D531">
        <v>6</v>
      </c>
      <c r="E531">
        <v>0.1</v>
      </c>
      <c r="F531">
        <v>0.6</v>
      </c>
      <c r="G531">
        <v>0.6</v>
      </c>
      <c r="H531">
        <v>65</v>
      </c>
      <c r="I531">
        <v>0</v>
      </c>
      <c r="J531">
        <v>0</v>
      </c>
      <c r="K531">
        <v>86</v>
      </c>
      <c r="L531" t="s">
        <v>115</v>
      </c>
      <c r="M531" t="s">
        <v>116</v>
      </c>
    </row>
    <row r="532" spans="2:13" x14ac:dyDescent="0.2">
      <c r="B532">
        <v>3022</v>
      </c>
      <c r="C532">
        <v>1</v>
      </c>
      <c r="D532">
        <v>7</v>
      </c>
      <c r="E532">
        <v>0.12</v>
      </c>
      <c r="F532">
        <v>0.6</v>
      </c>
      <c r="G532">
        <v>0.6</v>
      </c>
      <c r="H532">
        <v>76</v>
      </c>
      <c r="I532">
        <v>0</v>
      </c>
      <c r="J532">
        <v>1</v>
      </c>
      <c r="K532">
        <v>69.900000000000006</v>
      </c>
      <c r="L532" t="s">
        <v>117</v>
      </c>
      <c r="M532" t="s">
        <v>118</v>
      </c>
    </row>
    <row r="533" spans="2:13" x14ac:dyDescent="0.2">
      <c r="B533">
        <v>3022</v>
      </c>
      <c r="C533">
        <v>1</v>
      </c>
      <c r="D533">
        <v>12.1</v>
      </c>
      <c r="E533">
        <v>0.2</v>
      </c>
      <c r="F533">
        <v>0.6</v>
      </c>
      <c r="G533">
        <v>0.6</v>
      </c>
      <c r="H533">
        <v>130</v>
      </c>
      <c r="I533">
        <v>0</v>
      </c>
      <c r="J533">
        <v>1</v>
      </c>
      <c r="K533">
        <v>68.2</v>
      </c>
      <c r="L533" t="s">
        <v>121</v>
      </c>
      <c r="M533" t="s">
        <v>116</v>
      </c>
    </row>
    <row r="534" spans="2:13" x14ac:dyDescent="0.2">
      <c r="B534">
        <v>3022</v>
      </c>
      <c r="C534">
        <v>1</v>
      </c>
      <c r="D534">
        <v>12.6</v>
      </c>
      <c r="E534">
        <v>0.21</v>
      </c>
      <c r="F534">
        <v>0.6</v>
      </c>
      <c r="G534">
        <v>0.6</v>
      </c>
      <c r="H534">
        <v>136</v>
      </c>
      <c r="I534">
        <v>0</v>
      </c>
      <c r="J534">
        <v>2</v>
      </c>
      <c r="K534">
        <v>59.7</v>
      </c>
      <c r="L534" t="s">
        <v>119</v>
      </c>
      <c r="M534" t="s">
        <v>118</v>
      </c>
    </row>
    <row r="535" spans="2:13" x14ac:dyDescent="0.2">
      <c r="B535">
        <v>3022</v>
      </c>
      <c r="C535">
        <v>1</v>
      </c>
      <c r="D535">
        <v>15.8</v>
      </c>
      <c r="E535">
        <v>0.26</v>
      </c>
      <c r="F535">
        <v>0.6</v>
      </c>
      <c r="G535">
        <v>0.6</v>
      </c>
      <c r="H535">
        <v>171</v>
      </c>
      <c r="I535">
        <v>1</v>
      </c>
      <c r="J535">
        <v>3</v>
      </c>
      <c r="K535">
        <v>55</v>
      </c>
      <c r="L535" t="s">
        <v>125</v>
      </c>
      <c r="M535" t="s">
        <v>118</v>
      </c>
    </row>
    <row r="536" spans="2:13" x14ac:dyDescent="0.2">
      <c r="B536">
        <v>3022</v>
      </c>
      <c r="C536">
        <v>1</v>
      </c>
      <c r="D536">
        <v>16.100000000000001</v>
      </c>
      <c r="E536">
        <v>0.27</v>
      </c>
      <c r="F536">
        <v>0.6</v>
      </c>
      <c r="G536">
        <v>0.6</v>
      </c>
      <c r="H536">
        <v>173</v>
      </c>
      <c r="I536">
        <v>1</v>
      </c>
      <c r="J536">
        <v>4</v>
      </c>
      <c r="K536">
        <v>51.9</v>
      </c>
      <c r="L536" t="s">
        <v>130</v>
      </c>
      <c r="M536" t="s">
        <v>118</v>
      </c>
    </row>
    <row r="537" spans="2:13" x14ac:dyDescent="0.2">
      <c r="B537">
        <v>3022</v>
      </c>
      <c r="C537">
        <v>1</v>
      </c>
      <c r="D537">
        <v>18.100000000000001</v>
      </c>
      <c r="E537">
        <v>0.3</v>
      </c>
      <c r="F537">
        <v>0.6</v>
      </c>
      <c r="G537">
        <v>0.45</v>
      </c>
      <c r="H537">
        <v>195</v>
      </c>
      <c r="I537">
        <v>1</v>
      </c>
      <c r="J537">
        <v>4</v>
      </c>
      <c r="K537">
        <v>51.7</v>
      </c>
      <c r="L537" t="s">
        <v>126</v>
      </c>
      <c r="M537" t="s">
        <v>116</v>
      </c>
    </row>
    <row r="538" spans="2:13" x14ac:dyDescent="0.2">
      <c r="B538">
        <v>3022</v>
      </c>
      <c r="C538">
        <v>2</v>
      </c>
      <c r="D538">
        <v>0</v>
      </c>
      <c r="E538">
        <v>0</v>
      </c>
      <c r="F538">
        <v>0.6</v>
      </c>
      <c r="G538">
        <v>0.6</v>
      </c>
      <c r="H538">
        <v>0</v>
      </c>
      <c r="I538">
        <v>0</v>
      </c>
      <c r="J538">
        <v>0</v>
      </c>
      <c r="K538">
        <v>50</v>
      </c>
      <c r="L538" t="s">
        <v>113</v>
      </c>
      <c r="M538" t="s">
        <v>114</v>
      </c>
    </row>
    <row r="539" spans="2:13" x14ac:dyDescent="0.2">
      <c r="B539">
        <v>3022</v>
      </c>
      <c r="C539">
        <v>2</v>
      </c>
      <c r="D539">
        <v>6</v>
      </c>
      <c r="E539">
        <v>0.1</v>
      </c>
      <c r="F539">
        <v>0.6</v>
      </c>
      <c r="G539">
        <v>0.6</v>
      </c>
      <c r="H539">
        <v>65</v>
      </c>
      <c r="I539">
        <v>1</v>
      </c>
      <c r="J539">
        <v>0</v>
      </c>
      <c r="K539">
        <v>34.299999999999997</v>
      </c>
      <c r="L539" t="s">
        <v>115</v>
      </c>
      <c r="M539" t="s">
        <v>116</v>
      </c>
    </row>
    <row r="540" spans="2:13" x14ac:dyDescent="0.2">
      <c r="B540">
        <v>3022</v>
      </c>
      <c r="C540">
        <v>2</v>
      </c>
      <c r="D540">
        <v>6.2</v>
      </c>
      <c r="E540">
        <v>0.1</v>
      </c>
      <c r="F540">
        <v>0.6</v>
      </c>
      <c r="G540">
        <v>0.6</v>
      </c>
      <c r="H540">
        <v>67</v>
      </c>
      <c r="I540">
        <v>1</v>
      </c>
      <c r="J540">
        <v>1</v>
      </c>
      <c r="K540">
        <v>34.700000000000003</v>
      </c>
      <c r="L540" t="s">
        <v>117</v>
      </c>
      <c r="M540" t="s">
        <v>118</v>
      </c>
    </row>
    <row r="541" spans="2:13" x14ac:dyDescent="0.2">
      <c r="B541">
        <v>3022</v>
      </c>
      <c r="C541">
        <v>2</v>
      </c>
      <c r="D541">
        <v>12.1</v>
      </c>
      <c r="E541">
        <v>0.2</v>
      </c>
      <c r="F541">
        <v>0.6</v>
      </c>
      <c r="G541">
        <v>0.6</v>
      </c>
      <c r="H541">
        <v>130</v>
      </c>
      <c r="I541">
        <v>5</v>
      </c>
      <c r="J541">
        <v>1</v>
      </c>
      <c r="K541">
        <v>36.1</v>
      </c>
      <c r="L541" t="s">
        <v>132</v>
      </c>
      <c r="M541" t="s">
        <v>116</v>
      </c>
    </row>
    <row r="542" spans="2:13" x14ac:dyDescent="0.2">
      <c r="B542">
        <v>3022</v>
      </c>
      <c r="C542">
        <v>2</v>
      </c>
      <c r="D542">
        <v>16.2</v>
      </c>
      <c r="E542">
        <v>0.27</v>
      </c>
      <c r="F542">
        <v>0.6</v>
      </c>
      <c r="G542">
        <v>0.6</v>
      </c>
      <c r="H542">
        <v>174</v>
      </c>
      <c r="I542">
        <v>8</v>
      </c>
      <c r="J542">
        <v>2</v>
      </c>
      <c r="K542">
        <v>53.4</v>
      </c>
      <c r="L542" t="s">
        <v>119</v>
      </c>
      <c r="M542" t="s">
        <v>118</v>
      </c>
    </row>
    <row r="543" spans="2:13" x14ac:dyDescent="0.2">
      <c r="B543">
        <v>3022</v>
      </c>
      <c r="C543">
        <v>2</v>
      </c>
      <c r="D543">
        <v>18.100000000000001</v>
      </c>
      <c r="E543">
        <v>0.3</v>
      </c>
      <c r="F543">
        <v>0.6</v>
      </c>
      <c r="G543">
        <v>0.6</v>
      </c>
      <c r="H543">
        <v>195</v>
      </c>
      <c r="I543">
        <v>9</v>
      </c>
      <c r="J543">
        <v>2</v>
      </c>
      <c r="K543">
        <v>61.6</v>
      </c>
      <c r="L543" t="s">
        <v>124</v>
      </c>
      <c r="M543" t="s">
        <v>116</v>
      </c>
    </row>
    <row r="544" spans="2:13" x14ac:dyDescent="0.2">
      <c r="B544">
        <v>3022</v>
      </c>
      <c r="C544">
        <v>3</v>
      </c>
      <c r="D544">
        <v>0</v>
      </c>
      <c r="E544">
        <v>0</v>
      </c>
      <c r="F544">
        <v>0.6</v>
      </c>
      <c r="G544">
        <v>0.6</v>
      </c>
      <c r="H544">
        <v>0</v>
      </c>
      <c r="I544">
        <v>0</v>
      </c>
      <c r="J544">
        <v>0</v>
      </c>
      <c r="K544">
        <v>50</v>
      </c>
      <c r="L544" t="s">
        <v>113</v>
      </c>
      <c r="M544" t="s">
        <v>114</v>
      </c>
    </row>
    <row r="545" spans="2:13" x14ac:dyDescent="0.2">
      <c r="B545">
        <v>3022</v>
      </c>
      <c r="C545">
        <v>3</v>
      </c>
      <c r="D545">
        <v>6</v>
      </c>
      <c r="E545">
        <v>0.1</v>
      </c>
      <c r="F545">
        <v>0.6</v>
      </c>
      <c r="G545">
        <v>0.6</v>
      </c>
      <c r="H545">
        <v>65</v>
      </c>
      <c r="I545">
        <v>0</v>
      </c>
      <c r="J545">
        <v>0</v>
      </c>
      <c r="K545">
        <v>38</v>
      </c>
      <c r="L545" t="s">
        <v>115</v>
      </c>
      <c r="M545" t="s">
        <v>116</v>
      </c>
    </row>
    <row r="546" spans="2:13" x14ac:dyDescent="0.2">
      <c r="B546">
        <v>3022</v>
      </c>
      <c r="C546">
        <v>3</v>
      </c>
      <c r="D546">
        <v>6.1</v>
      </c>
      <c r="E546">
        <v>0.1</v>
      </c>
      <c r="F546">
        <v>0.6</v>
      </c>
      <c r="G546">
        <v>0.6</v>
      </c>
      <c r="H546">
        <v>66</v>
      </c>
      <c r="I546">
        <v>0</v>
      </c>
      <c r="J546">
        <v>1</v>
      </c>
      <c r="K546">
        <v>37.700000000000003</v>
      </c>
      <c r="L546" t="s">
        <v>122</v>
      </c>
      <c r="M546" t="s">
        <v>118</v>
      </c>
    </row>
    <row r="547" spans="2:13" x14ac:dyDescent="0.2">
      <c r="B547">
        <v>3022</v>
      </c>
      <c r="C547">
        <v>3</v>
      </c>
      <c r="D547">
        <v>7.7</v>
      </c>
      <c r="E547">
        <v>0.13</v>
      </c>
      <c r="F547">
        <v>0.6</v>
      </c>
      <c r="G547">
        <v>0.6</v>
      </c>
      <c r="H547">
        <v>84</v>
      </c>
      <c r="I547">
        <v>0</v>
      </c>
      <c r="J547">
        <v>2</v>
      </c>
      <c r="K547">
        <v>37.700000000000003</v>
      </c>
      <c r="L547" t="s">
        <v>127</v>
      </c>
      <c r="M547" t="s">
        <v>118</v>
      </c>
    </row>
    <row r="548" spans="2:13" x14ac:dyDescent="0.2">
      <c r="B548">
        <v>3022</v>
      </c>
      <c r="C548">
        <v>3</v>
      </c>
      <c r="D548">
        <v>12.1</v>
      </c>
      <c r="E548">
        <v>0.2</v>
      </c>
      <c r="F548">
        <v>0.6</v>
      </c>
      <c r="G548">
        <v>0.45</v>
      </c>
      <c r="H548">
        <v>130</v>
      </c>
      <c r="I548">
        <v>3</v>
      </c>
      <c r="J548">
        <v>2</v>
      </c>
      <c r="K548">
        <v>54.4</v>
      </c>
      <c r="L548" t="s">
        <v>120</v>
      </c>
      <c r="M548" t="s">
        <v>116</v>
      </c>
    </row>
    <row r="549" spans="2:13" x14ac:dyDescent="0.2">
      <c r="B549">
        <v>3022</v>
      </c>
      <c r="C549">
        <v>3</v>
      </c>
      <c r="D549">
        <v>18.100000000000001</v>
      </c>
      <c r="E549">
        <v>0.3</v>
      </c>
      <c r="F549">
        <v>0.45</v>
      </c>
      <c r="G549">
        <v>0.45</v>
      </c>
      <c r="H549">
        <v>179</v>
      </c>
      <c r="I549">
        <v>6</v>
      </c>
      <c r="J549">
        <v>2</v>
      </c>
      <c r="K549">
        <v>54.2</v>
      </c>
      <c r="L549" t="s">
        <v>115</v>
      </c>
      <c r="M549" t="s">
        <v>116</v>
      </c>
    </row>
    <row r="550" spans="2:13" x14ac:dyDescent="0.2">
      <c r="B550">
        <v>3022</v>
      </c>
      <c r="C550">
        <v>3</v>
      </c>
      <c r="D550">
        <v>19.100000000000001</v>
      </c>
      <c r="E550">
        <v>0.32</v>
      </c>
      <c r="F550">
        <v>0.45</v>
      </c>
      <c r="G550">
        <v>0.45</v>
      </c>
      <c r="H550">
        <v>187</v>
      </c>
      <c r="I550">
        <v>6</v>
      </c>
      <c r="J550">
        <v>3</v>
      </c>
      <c r="K550">
        <v>49.6</v>
      </c>
      <c r="L550" t="s">
        <v>145</v>
      </c>
      <c r="M550" t="s">
        <v>118</v>
      </c>
    </row>
    <row r="551" spans="2:13" x14ac:dyDescent="0.2">
      <c r="B551">
        <v>3022</v>
      </c>
      <c r="C551">
        <v>3</v>
      </c>
      <c r="D551">
        <v>19.899999999999999</v>
      </c>
      <c r="E551">
        <v>0.33</v>
      </c>
      <c r="F551">
        <v>0.45</v>
      </c>
      <c r="G551">
        <v>0.45</v>
      </c>
      <c r="H551">
        <v>194</v>
      </c>
      <c r="I551">
        <v>6</v>
      </c>
      <c r="J551">
        <v>4</v>
      </c>
      <c r="K551">
        <v>46.4</v>
      </c>
      <c r="L551" t="s">
        <v>140</v>
      </c>
      <c r="M551" t="s">
        <v>118</v>
      </c>
    </row>
    <row r="552" spans="2:13" x14ac:dyDescent="0.2">
      <c r="B552">
        <v>3022</v>
      </c>
      <c r="C552">
        <v>4</v>
      </c>
      <c r="D552">
        <v>0</v>
      </c>
      <c r="E552">
        <v>0</v>
      </c>
      <c r="F552">
        <v>0.6</v>
      </c>
      <c r="G552">
        <v>0.6</v>
      </c>
      <c r="H552">
        <v>0</v>
      </c>
      <c r="I552">
        <v>0</v>
      </c>
      <c r="J552">
        <v>0</v>
      </c>
      <c r="K552">
        <v>50</v>
      </c>
      <c r="L552" t="s">
        <v>113</v>
      </c>
      <c r="M552" t="s">
        <v>114</v>
      </c>
    </row>
    <row r="553" spans="2:13" x14ac:dyDescent="0.2">
      <c r="B553">
        <v>3022</v>
      </c>
      <c r="C553">
        <v>4</v>
      </c>
      <c r="D553">
        <v>6</v>
      </c>
      <c r="E553">
        <v>0.1</v>
      </c>
      <c r="F553">
        <v>0.6</v>
      </c>
      <c r="G553">
        <v>0.6</v>
      </c>
      <c r="H553">
        <v>65</v>
      </c>
      <c r="I553">
        <v>0</v>
      </c>
      <c r="J553">
        <v>0</v>
      </c>
      <c r="K553">
        <v>36.4</v>
      </c>
      <c r="L553" t="s">
        <v>115</v>
      </c>
      <c r="M553" t="s">
        <v>116</v>
      </c>
    </row>
    <row r="554" spans="2:13" x14ac:dyDescent="0.2">
      <c r="B554">
        <v>3022</v>
      </c>
      <c r="C554">
        <v>4</v>
      </c>
      <c r="D554">
        <v>10.4</v>
      </c>
      <c r="E554">
        <v>0.17</v>
      </c>
      <c r="F554">
        <v>0.6</v>
      </c>
      <c r="G554">
        <v>0.6</v>
      </c>
      <c r="H554">
        <v>112</v>
      </c>
      <c r="I554">
        <v>2</v>
      </c>
      <c r="J554">
        <v>1</v>
      </c>
      <c r="K554">
        <v>34.5</v>
      </c>
      <c r="L554" t="s">
        <v>117</v>
      </c>
      <c r="M554" t="s">
        <v>118</v>
      </c>
    </row>
    <row r="555" spans="2:13" x14ac:dyDescent="0.2">
      <c r="B555">
        <v>3022</v>
      </c>
      <c r="C555">
        <v>4</v>
      </c>
      <c r="D555">
        <v>12.1</v>
      </c>
      <c r="E555">
        <v>0.2</v>
      </c>
      <c r="F555">
        <v>0.6</v>
      </c>
      <c r="G555">
        <v>0.6</v>
      </c>
      <c r="H555">
        <v>130</v>
      </c>
      <c r="I555">
        <v>2</v>
      </c>
      <c r="J555">
        <v>1</v>
      </c>
      <c r="K555">
        <v>35.299999999999997</v>
      </c>
      <c r="L555" t="s">
        <v>132</v>
      </c>
      <c r="M555" t="s">
        <v>116</v>
      </c>
    </row>
    <row r="556" spans="2:13" x14ac:dyDescent="0.2">
      <c r="B556">
        <v>3022</v>
      </c>
      <c r="C556">
        <v>4</v>
      </c>
      <c r="D556">
        <v>18.100000000000001</v>
      </c>
      <c r="E556">
        <v>0.3</v>
      </c>
      <c r="F556">
        <v>0.6</v>
      </c>
      <c r="G556">
        <v>0.6</v>
      </c>
      <c r="H556">
        <v>195</v>
      </c>
      <c r="I556">
        <v>4</v>
      </c>
      <c r="J556">
        <v>1</v>
      </c>
      <c r="K556">
        <v>35.200000000000003</v>
      </c>
      <c r="L556" t="s">
        <v>115</v>
      </c>
      <c r="M556" t="s">
        <v>116</v>
      </c>
    </row>
    <row r="557" spans="2:13" x14ac:dyDescent="0.2">
      <c r="B557">
        <v>3022</v>
      </c>
      <c r="C557">
        <v>5</v>
      </c>
      <c r="D557">
        <v>0</v>
      </c>
      <c r="E557">
        <v>0</v>
      </c>
      <c r="F557">
        <v>0.6</v>
      </c>
      <c r="G557">
        <v>0.6</v>
      </c>
      <c r="H557">
        <v>0</v>
      </c>
      <c r="I557">
        <v>0</v>
      </c>
      <c r="J557">
        <v>0</v>
      </c>
      <c r="K557">
        <v>50</v>
      </c>
      <c r="L557" t="s">
        <v>113</v>
      </c>
      <c r="M557" t="s">
        <v>114</v>
      </c>
    </row>
    <row r="558" spans="2:13" x14ac:dyDescent="0.2">
      <c r="B558">
        <v>3022</v>
      </c>
      <c r="C558">
        <v>5</v>
      </c>
      <c r="D558">
        <v>6</v>
      </c>
      <c r="E558">
        <v>0.1</v>
      </c>
      <c r="F558">
        <v>0.6</v>
      </c>
      <c r="G558">
        <v>0.6</v>
      </c>
      <c r="H558">
        <v>65</v>
      </c>
      <c r="I558">
        <v>0</v>
      </c>
      <c r="J558">
        <v>0</v>
      </c>
      <c r="K558">
        <v>38.799999999999997</v>
      </c>
      <c r="L558" t="s">
        <v>115</v>
      </c>
      <c r="M558" t="s">
        <v>116</v>
      </c>
    </row>
    <row r="559" spans="2:13" x14ac:dyDescent="0.2">
      <c r="B559">
        <v>3022</v>
      </c>
      <c r="C559">
        <v>5</v>
      </c>
      <c r="D559">
        <v>11.1</v>
      </c>
      <c r="E559">
        <v>0.19</v>
      </c>
      <c r="F559">
        <v>0.6</v>
      </c>
      <c r="G559">
        <v>0.6</v>
      </c>
      <c r="H559">
        <v>120</v>
      </c>
      <c r="I559">
        <v>2</v>
      </c>
      <c r="J559">
        <v>1</v>
      </c>
      <c r="K559">
        <v>63.5</v>
      </c>
      <c r="L559" t="s">
        <v>117</v>
      </c>
      <c r="M559" t="s">
        <v>118</v>
      </c>
    </row>
    <row r="560" spans="2:13" x14ac:dyDescent="0.2">
      <c r="B560">
        <v>3022</v>
      </c>
      <c r="C560">
        <v>5</v>
      </c>
      <c r="D560">
        <v>12.1</v>
      </c>
      <c r="E560">
        <v>0.2</v>
      </c>
      <c r="F560">
        <v>0.6</v>
      </c>
      <c r="G560">
        <v>0.6</v>
      </c>
      <c r="H560">
        <v>130</v>
      </c>
      <c r="I560">
        <v>3</v>
      </c>
      <c r="J560">
        <v>1</v>
      </c>
      <c r="K560">
        <v>63.2</v>
      </c>
      <c r="L560" t="s">
        <v>121</v>
      </c>
      <c r="M560" t="s">
        <v>116</v>
      </c>
    </row>
    <row r="561" spans="2:13" x14ac:dyDescent="0.2">
      <c r="B561">
        <v>3022</v>
      </c>
      <c r="C561">
        <v>5</v>
      </c>
      <c r="D561">
        <v>13.6</v>
      </c>
      <c r="E561">
        <v>0.23</v>
      </c>
      <c r="F561">
        <v>0.6</v>
      </c>
      <c r="G561">
        <v>0.6</v>
      </c>
      <c r="H561">
        <v>147</v>
      </c>
      <c r="I561">
        <v>3</v>
      </c>
      <c r="J561">
        <v>2</v>
      </c>
      <c r="K561">
        <v>54.7</v>
      </c>
      <c r="L561" t="s">
        <v>119</v>
      </c>
      <c r="M561" t="s">
        <v>118</v>
      </c>
    </row>
    <row r="562" spans="2:13" x14ac:dyDescent="0.2">
      <c r="B562">
        <v>3022</v>
      </c>
      <c r="C562">
        <v>5</v>
      </c>
      <c r="D562">
        <v>17.7</v>
      </c>
      <c r="E562">
        <v>0.3</v>
      </c>
      <c r="F562">
        <v>0.6</v>
      </c>
      <c r="G562">
        <v>0.6</v>
      </c>
      <c r="H562">
        <v>191</v>
      </c>
      <c r="I562">
        <v>6</v>
      </c>
      <c r="J562">
        <v>3</v>
      </c>
      <c r="K562">
        <v>49.1</v>
      </c>
      <c r="L562" t="s">
        <v>125</v>
      </c>
      <c r="M562" t="s">
        <v>118</v>
      </c>
    </row>
    <row r="563" spans="2:13" x14ac:dyDescent="0.2">
      <c r="B563">
        <v>3022</v>
      </c>
      <c r="C563">
        <v>5</v>
      </c>
      <c r="D563">
        <v>18.100000000000001</v>
      </c>
      <c r="E563">
        <v>0.3</v>
      </c>
      <c r="F563">
        <v>0.6</v>
      </c>
      <c r="G563">
        <v>0.45</v>
      </c>
      <c r="H563">
        <v>195</v>
      </c>
      <c r="I563">
        <v>6</v>
      </c>
      <c r="J563">
        <v>3</v>
      </c>
      <c r="K563">
        <v>49.1</v>
      </c>
      <c r="L563" t="s">
        <v>126</v>
      </c>
      <c r="M563" t="s">
        <v>116</v>
      </c>
    </row>
    <row r="564" spans="2:13" x14ac:dyDescent="0.2">
      <c r="B564">
        <v>3023</v>
      </c>
      <c r="C564">
        <v>1</v>
      </c>
      <c r="D564">
        <v>0</v>
      </c>
      <c r="E564">
        <v>0</v>
      </c>
      <c r="F564">
        <v>0.6</v>
      </c>
      <c r="G564">
        <v>0.6</v>
      </c>
      <c r="H564">
        <v>0</v>
      </c>
      <c r="I564">
        <v>0</v>
      </c>
      <c r="J564">
        <v>0</v>
      </c>
      <c r="K564">
        <v>50</v>
      </c>
      <c r="L564" t="s">
        <v>113</v>
      </c>
      <c r="M564" t="s">
        <v>114</v>
      </c>
    </row>
    <row r="565" spans="2:13" x14ac:dyDescent="0.2">
      <c r="B565">
        <v>3023</v>
      </c>
      <c r="C565">
        <v>1</v>
      </c>
      <c r="D565">
        <v>6</v>
      </c>
      <c r="E565">
        <v>0.1</v>
      </c>
      <c r="F565">
        <v>0.6</v>
      </c>
      <c r="G565">
        <v>0.6</v>
      </c>
      <c r="H565">
        <v>65</v>
      </c>
      <c r="I565">
        <v>2</v>
      </c>
      <c r="J565">
        <v>0</v>
      </c>
      <c r="K565">
        <v>44.6</v>
      </c>
      <c r="L565" t="s">
        <v>115</v>
      </c>
      <c r="M565" t="s">
        <v>116</v>
      </c>
    </row>
    <row r="566" spans="2:13" x14ac:dyDescent="0.2">
      <c r="B566">
        <v>3023</v>
      </c>
      <c r="C566">
        <v>1</v>
      </c>
      <c r="D566">
        <v>8.4</v>
      </c>
      <c r="E566">
        <v>0.14000000000000001</v>
      </c>
      <c r="F566">
        <v>0.6</v>
      </c>
      <c r="G566">
        <v>0.6</v>
      </c>
      <c r="H566">
        <v>91</v>
      </c>
      <c r="I566">
        <v>3</v>
      </c>
      <c r="J566">
        <v>1</v>
      </c>
      <c r="K566">
        <v>45.3</v>
      </c>
      <c r="L566" t="s">
        <v>129</v>
      </c>
      <c r="M566" t="s">
        <v>118</v>
      </c>
    </row>
    <row r="567" spans="2:13" x14ac:dyDescent="0.2">
      <c r="B567">
        <v>3023</v>
      </c>
      <c r="C567">
        <v>1</v>
      </c>
      <c r="D567">
        <v>12.1</v>
      </c>
      <c r="E567">
        <v>0.2</v>
      </c>
      <c r="F567">
        <v>0.6</v>
      </c>
      <c r="G567">
        <v>0.6</v>
      </c>
      <c r="H567">
        <v>130</v>
      </c>
      <c r="I567">
        <v>5</v>
      </c>
      <c r="J567">
        <v>1</v>
      </c>
      <c r="K567">
        <v>78.8</v>
      </c>
      <c r="L567" t="s">
        <v>124</v>
      </c>
      <c r="M567" t="s">
        <v>116</v>
      </c>
    </row>
    <row r="568" spans="2:13" x14ac:dyDescent="0.2">
      <c r="B568">
        <v>3023</v>
      </c>
      <c r="C568">
        <v>1</v>
      </c>
      <c r="D568">
        <v>18.100000000000001</v>
      </c>
      <c r="E568">
        <v>0.3</v>
      </c>
      <c r="F568">
        <v>0.6</v>
      </c>
      <c r="G568">
        <v>0.6</v>
      </c>
      <c r="H568">
        <v>195</v>
      </c>
      <c r="I568">
        <v>8</v>
      </c>
      <c r="J568">
        <v>1</v>
      </c>
      <c r="K568">
        <v>78.099999999999994</v>
      </c>
      <c r="L568" t="s">
        <v>115</v>
      </c>
      <c r="M568" t="s">
        <v>116</v>
      </c>
    </row>
    <row r="569" spans="2:13" x14ac:dyDescent="0.2">
      <c r="B569">
        <v>3023</v>
      </c>
      <c r="C569">
        <v>2</v>
      </c>
      <c r="D569">
        <v>0</v>
      </c>
      <c r="E569">
        <v>0</v>
      </c>
      <c r="F569">
        <v>0.6</v>
      </c>
      <c r="G569">
        <v>0.6</v>
      </c>
      <c r="H569">
        <v>0</v>
      </c>
      <c r="I569">
        <v>0</v>
      </c>
      <c r="J569">
        <v>0</v>
      </c>
      <c r="K569">
        <v>50</v>
      </c>
      <c r="L569" t="s">
        <v>113</v>
      </c>
      <c r="M569" t="s">
        <v>114</v>
      </c>
    </row>
    <row r="570" spans="2:13" x14ac:dyDescent="0.2">
      <c r="B570">
        <v>3023</v>
      </c>
      <c r="C570">
        <v>2</v>
      </c>
      <c r="D570">
        <v>6</v>
      </c>
      <c r="E570">
        <v>0.1</v>
      </c>
      <c r="F570">
        <v>0.6</v>
      </c>
      <c r="G570">
        <v>0.6</v>
      </c>
      <c r="H570">
        <v>65</v>
      </c>
      <c r="I570">
        <v>0</v>
      </c>
      <c r="J570">
        <v>0</v>
      </c>
      <c r="K570">
        <v>46.3</v>
      </c>
      <c r="L570" t="s">
        <v>115</v>
      </c>
      <c r="M570" t="s">
        <v>116</v>
      </c>
    </row>
    <row r="571" spans="2:13" x14ac:dyDescent="0.2">
      <c r="B571">
        <v>3023</v>
      </c>
      <c r="C571">
        <v>2</v>
      </c>
      <c r="D571">
        <v>12.1</v>
      </c>
      <c r="E571">
        <v>0.2</v>
      </c>
      <c r="F571">
        <v>0.6</v>
      </c>
      <c r="G571">
        <v>0.7</v>
      </c>
      <c r="H571">
        <v>130</v>
      </c>
      <c r="I571">
        <v>5</v>
      </c>
      <c r="J571">
        <v>0</v>
      </c>
      <c r="K571">
        <v>95.6</v>
      </c>
      <c r="L571" t="s">
        <v>128</v>
      </c>
      <c r="M571" t="s">
        <v>116</v>
      </c>
    </row>
    <row r="572" spans="2:13" x14ac:dyDescent="0.2">
      <c r="B572">
        <v>3023</v>
      </c>
      <c r="C572">
        <v>3</v>
      </c>
      <c r="D572">
        <v>0</v>
      </c>
      <c r="E572">
        <v>0</v>
      </c>
      <c r="F572">
        <v>0.6</v>
      </c>
      <c r="G572">
        <v>0.6</v>
      </c>
      <c r="H572">
        <v>0</v>
      </c>
      <c r="I572">
        <v>0</v>
      </c>
      <c r="J572">
        <v>0</v>
      </c>
      <c r="K572">
        <v>50</v>
      </c>
      <c r="L572" t="s">
        <v>113</v>
      </c>
      <c r="M572" t="s">
        <v>114</v>
      </c>
    </row>
    <row r="573" spans="2:13" x14ac:dyDescent="0.2">
      <c r="B573">
        <v>3023</v>
      </c>
      <c r="C573">
        <v>3</v>
      </c>
      <c r="D573">
        <v>6</v>
      </c>
      <c r="E573">
        <v>0.1</v>
      </c>
      <c r="F573">
        <v>0.6</v>
      </c>
      <c r="G573">
        <v>0.6</v>
      </c>
      <c r="H573">
        <v>65</v>
      </c>
      <c r="I573">
        <v>0</v>
      </c>
      <c r="J573">
        <v>0</v>
      </c>
      <c r="K573">
        <v>44.2</v>
      </c>
      <c r="L573" t="s">
        <v>115</v>
      </c>
      <c r="M573" t="s">
        <v>116</v>
      </c>
    </row>
    <row r="574" spans="2:13" x14ac:dyDescent="0.2">
      <c r="B574">
        <v>3023</v>
      </c>
      <c r="C574">
        <v>3</v>
      </c>
      <c r="D574">
        <v>12.1</v>
      </c>
      <c r="E574">
        <v>0.2</v>
      </c>
      <c r="F574">
        <v>0.6</v>
      </c>
      <c r="G574">
        <v>0.7</v>
      </c>
      <c r="H574">
        <v>130</v>
      </c>
      <c r="I574">
        <v>5</v>
      </c>
      <c r="J574">
        <v>0</v>
      </c>
      <c r="K574">
        <v>94.8</v>
      </c>
      <c r="L574" t="s">
        <v>128</v>
      </c>
      <c r="M574" t="s">
        <v>116</v>
      </c>
    </row>
    <row r="575" spans="2:13" x14ac:dyDescent="0.2">
      <c r="B575">
        <v>3023</v>
      </c>
      <c r="C575">
        <v>3</v>
      </c>
      <c r="D575">
        <v>16.5</v>
      </c>
      <c r="E575">
        <v>0.28000000000000003</v>
      </c>
      <c r="F575">
        <v>0.7</v>
      </c>
      <c r="G575">
        <v>0.7</v>
      </c>
      <c r="H575">
        <v>186</v>
      </c>
      <c r="I575">
        <v>7</v>
      </c>
      <c r="J575">
        <v>1</v>
      </c>
      <c r="K575">
        <v>84.7</v>
      </c>
      <c r="L575" t="s">
        <v>122</v>
      </c>
      <c r="M575" t="s">
        <v>118</v>
      </c>
    </row>
    <row r="576" spans="2:13" x14ac:dyDescent="0.2">
      <c r="B576">
        <v>3023</v>
      </c>
      <c r="C576">
        <v>4</v>
      </c>
      <c r="D576">
        <v>0</v>
      </c>
      <c r="E576">
        <v>0</v>
      </c>
      <c r="F576">
        <v>0.6</v>
      </c>
      <c r="G576">
        <v>0.6</v>
      </c>
      <c r="H576">
        <v>0</v>
      </c>
      <c r="I576">
        <v>0</v>
      </c>
      <c r="J576">
        <v>0</v>
      </c>
      <c r="K576">
        <v>50</v>
      </c>
      <c r="L576" t="s">
        <v>113</v>
      </c>
      <c r="M576" t="s">
        <v>114</v>
      </c>
    </row>
    <row r="577" spans="2:13" x14ac:dyDescent="0.2">
      <c r="B577">
        <v>3023</v>
      </c>
      <c r="C577">
        <v>4</v>
      </c>
      <c r="D577">
        <v>6</v>
      </c>
      <c r="E577">
        <v>0.1</v>
      </c>
      <c r="F577">
        <v>0.6</v>
      </c>
      <c r="G577">
        <v>0.6</v>
      </c>
      <c r="H577">
        <v>65</v>
      </c>
      <c r="I577">
        <v>1</v>
      </c>
      <c r="J577">
        <v>0</v>
      </c>
      <c r="K577">
        <v>95.5</v>
      </c>
      <c r="L577" t="s">
        <v>115</v>
      </c>
      <c r="M577" t="s">
        <v>116</v>
      </c>
    </row>
    <row r="578" spans="2:13" x14ac:dyDescent="0.2">
      <c r="B578">
        <v>3023</v>
      </c>
      <c r="C578">
        <v>4</v>
      </c>
      <c r="D578">
        <v>12.1</v>
      </c>
      <c r="E578">
        <v>0.2</v>
      </c>
      <c r="F578">
        <v>0.6</v>
      </c>
      <c r="G578">
        <v>0.6</v>
      </c>
      <c r="H578">
        <v>130</v>
      </c>
      <c r="I578">
        <v>5</v>
      </c>
      <c r="J578">
        <v>0</v>
      </c>
      <c r="K578">
        <v>95.9</v>
      </c>
      <c r="L578" t="s">
        <v>115</v>
      </c>
      <c r="M578" t="s">
        <v>116</v>
      </c>
    </row>
    <row r="579" spans="2:13" x14ac:dyDescent="0.2">
      <c r="B579">
        <v>3023</v>
      </c>
      <c r="C579">
        <v>4</v>
      </c>
      <c r="D579">
        <v>18.100000000000001</v>
      </c>
      <c r="E579">
        <v>0.3</v>
      </c>
      <c r="F579">
        <v>0.6</v>
      </c>
      <c r="G579">
        <v>0.6</v>
      </c>
      <c r="H579">
        <v>195</v>
      </c>
      <c r="I579">
        <v>6</v>
      </c>
      <c r="J579">
        <v>0</v>
      </c>
      <c r="K579">
        <v>96.3</v>
      </c>
      <c r="L579" t="s">
        <v>115</v>
      </c>
      <c r="M579" t="s">
        <v>116</v>
      </c>
    </row>
    <row r="580" spans="2:13" x14ac:dyDescent="0.2">
      <c r="B580">
        <v>3023</v>
      </c>
      <c r="C580">
        <v>5</v>
      </c>
      <c r="D580">
        <v>0</v>
      </c>
      <c r="E580">
        <v>0</v>
      </c>
      <c r="F580">
        <v>0.6</v>
      </c>
      <c r="G580">
        <v>0.6</v>
      </c>
      <c r="H580">
        <v>0</v>
      </c>
      <c r="I580">
        <v>0</v>
      </c>
      <c r="J580">
        <v>0</v>
      </c>
      <c r="K580">
        <v>50</v>
      </c>
      <c r="L580" t="s">
        <v>113</v>
      </c>
      <c r="M580" t="s">
        <v>114</v>
      </c>
    </row>
    <row r="581" spans="2:13" x14ac:dyDescent="0.2">
      <c r="B581">
        <v>3023</v>
      </c>
      <c r="C581">
        <v>5</v>
      </c>
      <c r="D581">
        <v>6</v>
      </c>
      <c r="E581">
        <v>0.1</v>
      </c>
      <c r="F581">
        <v>0.6</v>
      </c>
      <c r="G581">
        <v>0.6</v>
      </c>
      <c r="H581">
        <v>65</v>
      </c>
      <c r="I581">
        <v>1</v>
      </c>
      <c r="J581">
        <v>0</v>
      </c>
      <c r="K581">
        <v>44.6</v>
      </c>
      <c r="L581" t="s">
        <v>115</v>
      </c>
      <c r="M581" t="s">
        <v>116</v>
      </c>
    </row>
    <row r="582" spans="2:13" x14ac:dyDescent="0.2">
      <c r="B582">
        <v>3023</v>
      </c>
      <c r="C582">
        <v>5</v>
      </c>
      <c r="D582">
        <v>12.1</v>
      </c>
      <c r="E582">
        <v>0.2</v>
      </c>
      <c r="F582">
        <v>0.6</v>
      </c>
      <c r="G582">
        <v>0.6</v>
      </c>
      <c r="H582">
        <v>130</v>
      </c>
      <c r="I582">
        <v>2</v>
      </c>
      <c r="J582">
        <v>0</v>
      </c>
      <c r="K582">
        <v>44.6</v>
      </c>
      <c r="L582" t="s">
        <v>115</v>
      </c>
      <c r="M582" t="s">
        <v>116</v>
      </c>
    </row>
    <row r="583" spans="2:13" x14ac:dyDescent="0.2">
      <c r="B583">
        <v>3023</v>
      </c>
      <c r="C583">
        <v>5</v>
      </c>
      <c r="D583">
        <v>18.100000000000001</v>
      </c>
      <c r="E583">
        <v>0.3</v>
      </c>
      <c r="F583">
        <v>0.6</v>
      </c>
      <c r="G583">
        <v>0.7</v>
      </c>
      <c r="H583">
        <v>195</v>
      </c>
      <c r="I583">
        <v>6</v>
      </c>
      <c r="J583">
        <v>0</v>
      </c>
      <c r="K583">
        <v>94.7</v>
      </c>
      <c r="L583" t="s">
        <v>128</v>
      </c>
      <c r="M583" t="s">
        <v>116</v>
      </c>
    </row>
    <row r="584" spans="2:13" x14ac:dyDescent="0.2">
      <c r="B584">
        <v>3024</v>
      </c>
      <c r="C584">
        <v>1</v>
      </c>
      <c r="D584">
        <v>0</v>
      </c>
      <c r="E584">
        <v>0</v>
      </c>
      <c r="F584">
        <v>0.6</v>
      </c>
      <c r="G584">
        <v>0.6</v>
      </c>
      <c r="H584">
        <v>0</v>
      </c>
      <c r="I584">
        <v>0</v>
      </c>
      <c r="J584">
        <v>0</v>
      </c>
      <c r="K584">
        <v>50</v>
      </c>
      <c r="L584" t="s">
        <v>113</v>
      </c>
      <c r="M584" t="s">
        <v>114</v>
      </c>
    </row>
    <row r="585" spans="2:13" x14ac:dyDescent="0.2">
      <c r="B585">
        <v>3024</v>
      </c>
      <c r="C585">
        <v>1</v>
      </c>
      <c r="D585">
        <v>6</v>
      </c>
      <c r="E585">
        <v>0.1</v>
      </c>
      <c r="F585">
        <v>0.6</v>
      </c>
      <c r="G585">
        <v>0.6</v>
      </c>
      <c r="H585">
        <v>65</v>
      </c>
      <c r="I585">
        <v>0</v>
      </c>
      <c r="J585">
        <v>0</v>
      </c>
      <c r="K585">
        <v>47.1</v>
      </c>
      <c r="L585" t="s">
        <v>115</v>
      </c>
      <c r="M585" t="s">
        <v>116</v>
      </c>
    </row>
    <row r="586" spans="2:13" x14ac:dyDescent="0.2">
      <c r="B586">
        <v>3024</v>
      </c>
      <c r="C586">
        <v>1</v>
      </c>
      <c r="D586">
        <v>12.1</v>
      </c>
      <c r="E586">
        <v>0.2</v>
      </c>
      <c r="F586">
        <v>0.6</v>
      </c>
      <c r="G586">
        <v>0.7</v>
      </c>
      <c r="H586">
        <v>130</v>
      </c>
      <c r="I586">
        <v>5</v>
      </c>
      <c r="J586">
        <v>0</v>
      </c>
      <c r="K586">
        <v>96.3</v>
      </c>
      <c r="L586" t="s">
        <v>128</v>
      </c>
      <c r="M586" t="s">
        <v>116</v>
      </c>
    </row>
    <row r="587" spans="2:13" x14ac:dyDescent="0.2">
      <c r="B587">
        <v>3024</v>
      </c>
      <c r="C587">
        <v>1</v>
      </c>
      <c r="D587">
        <v>12.1</v>
      </c>
      <c r="E587">
        <v>0.2</v>
      </c>
      <c r="F587">
        <v>0.7</v>
      </c>
      <c r="G587">
        <v>0.7</v>
      </c>
      <c r="H587">
        <v>131</v>
      </c>
      <c r="I587">
        <v>5</v>
      </c>
      <c r="J587">
        <v>1</v>
      </c>
      <c r="K587">
        <v>86.3</v>
      </c>
      <c r="L587" t="s">
        <v>117</v>
      </c>
      <c r="M587" t="s">
        <v>118</v>
      </c>
    </row>
    <row r="588" spans="2:13" x14ac:dyDescent="0.2">
      <c r="B588">
        <v>3024</v>
      </c>
      <c r="C588">
        <v>2</v>
      </c>
      <c r="D588">
        <v>0</v>
      </c>
      <c r="E588">
        <v>0</v>
      </c>
      <c r="F588">
        <v>0.6</v>
      </c>
      <c r="G588">
        <v>0.6</v>
      </c>
      <c r="H588">
        <v>0</v>
      </c>
      <c r="I588">
        <v>0</v>
      </c>
      <c r="J588">
        <v>0</v>
      </c>
      <c r="K588">
        <v>50</v>
      </c>
      <c r="L588" t="s">
        <v>113</v>
      </c>
      <c r="M588" t="s">
        <v>114</v>
      </c>
    </row>
    <row r="589" spans="2:13" x14ac:dyDescent="0.2">
      <c r="B589">
        <v>3024</v>
      </c>
      <c r="C589">
        <v>2</v>
      </c>
      <c r="D589">
        <v>6</v>
      </c>
      <c r="E589">
        <v>0.1</v>
      </c>
      <c r="F589">
        <v>0.6</v>
      </c>
      <c r="G589">
        <v>0.6</v>
      </c>
      <c r="H589">
        <v>65</v>
      </c>
      <c r="I589">
        <v>0</v>
      </c>
      <c r="J589">
        <v>0</v>
      </c>
      <c r="K589">
        <v>40.9</v>
      </c>
      <c r="L589" t="s">
        <v>115</v>
      </c>
      <c r="M589" t="s">
        <v>116</v>
      </c>
    </row>
    <row r="590" spans="2:13" x14ac:dyDescent="0.2">
      <c r="B590">
        <v>3024</v>
      </c>
      <c r="C590">
        <v>2</v>
      </c>
      <c r="D590">
        <v>9.6999999999999993</v>
      </c>
      <c r="E590">
        <v>0.16</v>
      </c>
      <c r="F590">
        <v>0.6</v>
      </c>
      <c r="G590">
        <v>0.6</v>
      </c>
      <c r="H590">
        <v>104</v>
      </c>
      <c r="I590">
        <v>3</v>
      </c>
      <c r="J590">
        <v>1</v>
      </c>
      <c r="K590">
        <v>80</v>
      </c>
      <c r="L590" t="s">
        <v>117</v>
      </c>
      <c r="M590" t="s">
        <v>118</v>
      </c>
    </row>
    <row r="591" spans="2:13" x14ac:dyDescent="0.2">
      <c r="B591">
        <v>3024</v>
      </c>
      <c r="C591">
        <v>2</v>
      </c>
      <c r="D591">
        <v>12.1</v>
      </c>
      <c r="E591">
        <v>0.2</v>
      </c>
      <c r="F591">
        <v>0.6</v>
      </c>
      <c r="G591">
        <v>0.7</v>
      </c>
      <c r="H591">
        <v>130</v>
      </c>
      <c r="I591">
        <v>9</v>
      </c>
      <c r="J591">
        <v>1</v>
      </c>
      <c r="K591">
        <v>84.8</v>
      </c>
      <c r="L591" t="s">
        <v>143</v>
      </c>
      <c r="M591" t="s">
        <v>116</v>
      </c>
    </row>
    <row r="592" spans="2:13" x14ac:dyDescent="0.2">
      <c r="B592">
        <v>3024</v>
      </c>
      <c r="C592">
        <v>2</v>
      </c>
      <c r="D592">
        <v>17.399999999999999</v>
      </c>
      <c r="E592">
        <v>0.28999999999999998</v>
      </c>
      <c r="F592">
        <v>0.7</v>
      </c>
      <c r="G592">
        <v>0.7</v>
      </c>
      <c r="H592">
        <v>198</v>
      </c>
      <c r="I592">
        <v>17</v>
      </c>
      <c r="J592">
        <v>2</v>
      </c>
      <c r="K592">
        <v>84.3</v>
      </c>
      <c r="L592" t="s">
        <v>119</v>
      </c>
      <c r="M592" t="s">
        <v>118</v>
      </c>
    </row>
    <row r="593" spans="2:13" x14ac:dyDescent="0.2">
      <c r="B593">
        <v>3024</v>
      </c>
      <c r="C593">
        <v>3</v>
      </c>
      <c r="D593">
        <v>0</v>
      </c>
      <c r="E593">
        <v>0</v>
      </c>
      <c r="F593">
        <v>0.6</v>
      </c>
      <c r="G593">
        <v>0.6</v>
      </c>
      <c r="H593">
        <v>0</v>
      </c>
      <c r="I593">
        <v>0</v>
      </c>
      <c r="J593">
        <v>0</v>
      </c>
      <c r="K593">
        <v>50</v>
      </c>
      <c r="L593" t="s">
        <v>113</v>
      </c>
      <c r="M593" t="s">
        <v>114</v>
      </c>
    </row>
    <row r="594" spans="2:13" x14ac:dyDescent="0.2">
      <c r="B594">
        <v>3024</v>
      </c>
      <c r="C594">
        <v>3</v>
      </c>
      <c r="D594">
        <v>6</v>
      </c>
      <c r="E594">
        <v>0.1</v>
      </c>
      <c r="F594">
        <v>0.6</v>
      </c>
      <c r="G594">
        <v>0.6</v>
      </c>
      <c r="H594">
        <v>65</v>
      </c>
      <c r="I594">
        <v>1</v>
      </c>
      <c r="J594">
        <v>0</v>
      </c>
      <c r="K594">
        <v>46.7</v>
      </c>
      <c r="L594" t="s">
        <v>115</v>
      </c>
      <c r="M594" t="s">
        <v>116</v>
      </c>
    </row>
    <row r="595" spans="2:13" x14ac:dyDescent="0.2">
      <c r="B595">
        <v>3024</v>
      </c>
      <c r="C595">
        <v>3</v>
      </c>
      <c r="D595">
        <v>12.1</v>
      </c>
      <c r="E595">
        <v>0.2</v>
      </c>
      <c r="F595">
        <v>0.6</v>
      </c>
      <c r="G595">
        <v>0.6</v>
      </c>
      <c r="H595">
        <v>130</v>
      </c>
      <c r="I595">
        <v>5</v>
      </c>
      <c r="J595">
        <v>0</v>
      </c>
      <c r="K595">
        <v>95.9</v>
      </c>
      <c r="L595" t="s">
        <v>115</v>
      </c>
      <c r="M595" t="s">
        <v>116</v>
      </c>
    </row>
    <row r="596" spans="2:13" x14ac:dyDescent="0.2">
      <c r="B596">
        <v>3024</v>
      </c>
      <c r="C596">
        <v>3</v>
      </c>
      <c r="D596">
        <v>18.100000000000001</v>
      </c>
      <c r="E596">
        <v>0.3</v>
      </c>
      <c r="F596">
        <v>0.6</v>
      </c>
      <c r="G596">
        <v>0.7</v>
      </c>
      <c r="H596">
        <v>195</v>
      </c>
      <c r="I596">
        <v>13</v>
      </c>
      <c r="J596">
        <v>0</v>
      </c>
      <c r="K596">
        <v>95.7</v>
      </c>
      <c r="L596" t="s">
        <v>128</v>
      </c>
      <c r="M596" t="s">
        <v>116</v>
      </c>
    </row>
    <row r="597" spans="2:13" x14ac:dyDescent="0.2">
      <c r="B597">
        <v>3024</v>
      </c>
      <c r="C597">
        <v>4</v>
      </c>
      <c r="D597">
        <v>0</v>
      </c>
      <c r="E597">
        <v>0</v>
      </c>
      <c r="F597">
        <v>0.6</v>
      </c>
      <c r="G597">
        <v>0.6</v>
      </c>
      <c r="H597">
        <v>0</v>
      </c>
      <c r="I597">
        <v>0</v>
      </c>
      <c r="J597">
        <v>0</v>
      </c>
      <c r="K597">
        <v>50</v>
      </c>
      <c r="L597" t="s">
        <v>113</v>
      </c>
      <c r="M597" t="s">
        <v>114</v>
      </c>
    </row>
    <row r="598" spans="2:13" x14ac:dyDescent="0.2">
      <c r="B598">
        <v>3024</v>
      </c>
      <c r="C598">
        <v>4</v>
      </c>
      <c r="D598">
        <v>6</v>
      </c>
      <c r="E598">
        <v>0.1</v>
      </c>
      <c r="F598">
        <v>0.6</v>
      </c>
      <c r="G598">
        <v>0.6</v>
      </c>
      <c r="H598">
        <v>65</v>
      </c>
      <c r="I598">
        <v>0</v>
      </c>
      <c r="J598">
        <v>0</v>
      </c>
      <c r="K598">
        <v>44.6</v>
      </c>
      <c r="L598" t="s">
        <v>115</v>
      </c>
      <c r="M598" t="s">
        <v>116</v>
      </c>
    </row>
    <row r="599" spans="2:13" x14ac:dyDescent="0.2">
      <c r="B599">
        <v>3024</v>
      </c>
      <c r="C599">
        <v>4</v>
      </c>
      <c r="D599">
        <v>12.1</v>
      </c>
      <c r="E599">
        <v>0.2</v>
      </c>
      <c r="F599">
        <v>0.6</v>
      </c>
      <c r="G599">
        <v>0.7</v>
      </c>
      <c r="H599">
        <v>130</v>
      </c>
      <c r="I599">
        <v>4</v>
      </c>
      <c r="J599">
        <v>0</v>
      </c>
      <c r="K599">
        <v>94.8</v>
      </c>
      <c r="L599" t="s">
        <v>128</v>
      </c>
      <c r="M599" t="s">
        <v>116</v>
      </c>
    </row>
    <row r="600" spans="2:13" x14ac:dyDescent="0.2">
      <c r="B600">
        <v>3024</v>
      </c>
      <c r="C600">
        <v>4</v>
      </c>
      <c r="D600">
        <v>16.2</v>
      </c>
      <c r="E600">
        <v>0.27</v>
      </c>
      <c r="F600">
        <v>0.7</v>
      </c>
      <c r="G600">
        <v>0.7</v>
      </c>
      <c r="H600">
        <v>182</v>
      </c>
      <c r="I600">
        <v>9</v>
      </c>
      <c r="J600">
        <v>1</v>
      </c>
      <c r="K600">
        <v>87.6</v>
      </c>
      <c r="L600" t="s">
        <v>122</v>
      </c>
      <c r="M600" t="s">
        <v>118</v>
      </c>
    </row>
    <row r="601" spans="2:13" x14ac:dyDescent="0.2">
      <c r="B601">
        <v>3024</v>
      </c>
      <c r="C601">
        <v>5</v>
      </c>
      <c r="D601">
        <v>0</v>
      </c>
      <c r="E601">
        <v>0</v>
      </c>
      <c r="F601">
        <v>0.6</v>
      </c>
      <c r="G601">
        <v>0.6</v>
      </c>
      <c r="H601">
        <v>0</v>
      </c>
      <c r="I601">
        <v>0</v>
      </c>
      <c r="J601">
        <v>0</v>
      </c>
      <c r="K601">
        <v>50</v>
      </c>
      <c r="L601" t="s">
        <v>113</v>
      </c>
      <c r="M601" t="s">
        <v>114</v>
      </c>
    </row>
    <row r="602" spans="2:13" x14ac:dyDescent="0.2">
      <c r="B602">
        <v>3024</v>
      </c>
      <c r="C602">
        <v>5</v>
      </c>
      <c r="D602">
        <v>6</v>
      </c>
      <c r="E602">
        <v>0.1</v>
      </c>
      <c r="F602">
        <v>0.6</v>
      </c>
      <c r="G602">
        <v>0.6</v>
      </c>
      <c r="H602">
        <v>65</v>
      </c>
      <c r="I602">
        <v>2</v>
      </c>
      <c r="J602">
        <v>0</v>
      </c>
      <c r="K602">
        <v>95</v>
      </c>
      <c r="L602" t="s">
        <v>115</v>
      </c>
      <c r="M602" t="s">
        <v>116</v>
      </c>
    </row>
    <row r="603" spans="2:13" x14ac:dyDescent="0.2">
      <c r="B603">
        <v>3024</v>
      </c>
      <c r="C603">
        <v>5</v>
      </c>
      <c r="D603">
        <v>12.1</v>
      </c>
      <c r="E603">
        <v>0.2</v>
      </c>
      <c r="F603">
        <v>0.6</v>
      </c>
      <c r="G603">
        <v>0.7</v>
      </c>
      <c r="H603">
        <v>130</v>
      </c>
      <c r="I603">
        <v>3</v>
      </c>
      <c r="J603">
        <v>0</v>
      </c>
      <c r="K603">
        <v>94.6</v>
      </c>
      <c r="L603" t="s">
        <v>128</v>
      </c>
      <c r="M603" t="s">
        <v>116</v>
      </c>
    </row>
    <row r="604" spans="2:13" x14ac:dyDescent="0.2">
      <c r="B604">
        <v>3024</v>
      </c>
      <c r="C604">
        <v>5</v>
      </c>
      <c r="D604">
        <v>15.3</v>
      </c>
      <c r="E604">
        <v>0.26</v>
      </c>
      <c r="F604">
        <v>0.7</v>
      </c>
      <c r="G604">
        <v>0.7</v>
      </c>
      <c r="H604">
        <v>171</v>
      </c>
      <c r="I604">
        <v>8</v>
      </c>
      <c r="J604">
        <v>1</v>
      </c>
      <c r="K604">
        <v>86.6</v>
      </c>
      <c r="L604" t="s">
        <v>122</v>
      </c>
      <c r="M604" t="s">
        <v>118</v>
      </c>
    </row>
    <row r="605" spans="2:13" x14ac:dyDescent="0.2">
      <c r="B605">
        <v>3025</v>
      </c>
      <c r="C605">
        <v>1</v>
      </c>
      <c r="D605">
        <v>0</v>
      </c>
      <c r="E605">
        <v>0</v>
      </c>
      <c r="F605">
        <v>0.6</v>
      </c>
      <c r="G605">
        <v>0.6</v>
      </c>
      <c r="H605">
        <v>0</v>
      </c>
      <c r="I605">
        <v>0</v>
      </c>
      <c r="J605">
        <v>0</v>
      </c>
      <c r="K605">
        <v>50</v>
      </c>
      <c r="L605" t="s">
        <v>113</v>
      </c>
      <c r="M605" t="s">
        <v>114</v>
      </c>
    </row>
    <row r="606" spans="2:13" x14ac:dyDescent="0.2">
      <c r="B606">
        <v>3025</v>
      </c>
      <c r="C606">
        <v>1</v>
      </c>
      <c r="D606">
        <v>6</v>
      </c>
      <c r="E606">
        <v>0.1</v>
      </c>
      <c r="F606">
        <v>0.6</v>
      </c>
      <c r="G606">
        <v>0.6</v>
      </c>
      <c r="H606">
        <v>65</v>
      </c>
      <c r="I606">
        <v>0</v>
      </c>
      <c r="J606">
        <v>0</v>
      </c>
      <c r="K606">
        <v>41.3</v>
      </c>
      <c r="L606" t="s">
        <v>115</v>
      </c>
      <c r="M606" t="s">
        <v>116</v>
      </c>
    </row>
    <row r="607" spans="2:13" x14ac:dyDescent="0.2">
      <c r="B607">
        <v>3025</v>
      </c>
      <c r="C607">
        <v>1</v>
      </c>
      <c r="D607">
        <v>6.7</v>
      </c>
      <c r="E607">
        <v>0.11</v>
      </c>
      <c r="F607">
        <v>0.6</v>
      </c>
      <c r="G607">
        <v>0.6</v>
      </c>
      <c r="H607">
        <v>72</v>
      </c>
      <c r="I607">
        <v>1</v>
      </c>
      <c r="J607">
        <v>1</v>
      </c>
      <c r="K607">
        <v>41.4</v>
      </c>
      <c r="L607" t="s">
        <v>122</v>
      </c>
      <c r="M607" t="s">
        <v>118</v>
      </c>
    </row>
    <row r="608" spans="2:13" x14ac:dyDescent="0.2">
      <c r="B608">
        <v>3025</v>
      </c>
      <c r="C608">
        <v>1</v>
      </c>
      <c r="D608">
        <v>12.1</v>
      </c>
      <c r="E608">
        <v>0.2</v>
      </c>
      <c r="F608">
        <v>0.6</v>
      </c>
      <c r="G608">
        <v>0.6</v>
      </c>
      <c r="H608">
        <v>130</v>
      </c>
      <c r="I608">
        <v>5</v>
      </c>
      <c r="J608">
        <v>1</v>
      </c>
      <c r="K608">
        <v>67.7</v>
      </c>
      <c r="L608" t="s">
        <v>121</v>
      </c>
      <c r="M608" t="s">
        <v>116</v>
      </c>
    </row>
    <row r="609" spans="2:13" x14ac:dyDescent="0.2">
      <c r="B609">
        <v>3025</v>
      </c>
      <c r="C609">
        <v>1</v>
      </c>
      <c r="D609">
        <v>18.100000000000001</v>
      </c>
      <c r="E609">
        <v>0.3</v>
      </c>
      <c r="F609">
        <v>0.6</v>
      </c>
      <c r="G609">
        <v>0.6</v>
      </c>
      <c r="H609">
        <v>195</v>
      </c>
      <c r="I609">
        <v>6</v>
      </c>
      <c r="J609">
        <v>1</v>
      </c>
      <c r="K609">
        <v>67.099999999999994</v>
      </c>
      <c r="L609" t="s">
        <v>115</v>
      </c>
      <c r="M609" t="s">
        <v>116</v>
      </c>
    </row>
    <row r="610" spans="2:13" x14ac:dyDescent="0.2">
      <c r="B610">
        <v>3025</v>
      </c>
      <c r="C610">
        <v>1</v>
      </c>
      <c r="D610">
        <v>18.5</v>
      </c>
      <c r="E610">
        <v>0.31</v>
      </c>
      <c r="F610">
        <v>0.6</v>
      </c>
      <c r="G610">
        <v>0.6</v>
      </c>
      <c r="H610">
        <v>199</v>
      </c>
      <c r="I610">
        <v>6</v>
      </c>
      <c r="J610">
        <v>2</v>
      </c>
      <c r="K610">
        <v>58.8</v>
      </c>
      <c r="L610" t="s">
        <v>133</v>
      </c>
      <c r="M610" t="s">
        <v>118</v>
      </c>
    </row>
    <row r="611" spans="2:13" x14ac:dyDescent="0.2">
      <c r="B611">
        <v>3025</v>
      </c>
      <c r="C611">
        <v>2</v>
      </c>
      <c r="D611">
        <v>0</v>
      </c>
      <c r="E611">
        <v>0</v>
      </c>
      <c r="F611">
        <v>0.6</v>
      </c>
      <c r="G611">
        <v>0.6</v>
      </c>
      <c r="H611">
        <v>0</v>
      </c>
      <c r="I611">
        <v>0</v>
      </c>
      <c r="J611">
        <v>0</v>
      </c>
      <c r="K611">
        <v>50</v>
      </c>
      <c r="L611" t="s">
        <v>113</v>
      </c>
      <c r="M611" t="s">
        <v>114</v>
      </c>
    </row>
    <row r="612" spans="2:13" x14ac:dyDescent="0.2">
      <c r="B612">
        <v>3025</v>
      </c>
      <c r="C612">
        <v>2</v>
      </c>
      <c r="D612">
        <v>6</v>
      </c>
      <c r="E612">
        <v>0.1</v>
      </c>
      <c r="F612">
        <v>0.6</v>
      </c>
      <c r="G612">
        <v>0.6</v>
      </c>
      <c r="H612">
        <v>65</v>
      </c>
      <c r="I612">
        <v>2</v>
      </c>
      <c r="J612">
        <v>0</v>
      </c>
      <c r="K612">
        <v>43</v>
      </c>
      <c r="L612" t="s">
        <v>115</v>
      </c>
      <c r="M612" t="s">
        <v>116</v>
      </c>
    </row>
    <row r="613" spans="2:13" x14ac:dyDescent="0.2">
      <c r="B613">
        <v>3025</v>
      </c>
      <c r="C613">
        <v>2</v>
      </c>
      <c r="D613">
        <v>12.1</v>
      </c>
      <c r="E613">
        <v>0.2</v>
      </c>
      <c r="F613">
        <v>0.6</v>
      </c>
      <c r="G613">
        <v>0.6</v>
      </c>
      <c r="H613">
        <v>130</v>
      </c>
      <c r="I613">
        <v>7</v>
      </c>
      <c r="J613">
        <v>0</v>
      </c>
      <c r="K613">
        <v>92.5</v>
      </c>
      <c r="L613" t="s">
        <v>115</v>
      </c>
      <c r="M613" t="s">
        <v>116</v>
      </c>
    </row>
    <row r="614" spans="2:13" x14ac:dyDescent="0.2">
      <c r="B614">
        <v>3025</v>
      </c>
      <c r="C614">
        <v>2</v>
      </c>
      <c r="D614">
        <v>14.6</v>
      </c>
      <c r="E614">
        <v>0.24</v>
      </c>
      <c r="F614">
        <v>0.6</v>
      </c>
      <c r="G614">
        <v>0.6</v>
      </c>
      <c r="H614">
        <v>157</v>
      </c>
      <c r="I614">
        <v>10</v>
      </c>
      <c r="J614">
        <v>1</v>
      </c>
      <c r="K614">
        <v>67.599999999999994</v>
      </c>
      <c r="L614" t="s">
        <v>122</v>
      </c>
      <c r="M614" t="s">
        <v>118</v>
      </c>
    </row>
    <row r="615" spans="2:13" x14ac:dyDescent="0.2">
      <c r="B615">
        <v>3025</v>
      </c>
      <c r="C615">
        <v>2</v>
      </c>
      <c r="D615">
        <v>18.100000000000001</v>
      </c>
      <c r="E615">
        <v>0.3</v>
      </c>
      <c r="F615">
        <v>0.6</v>
      </c>
      <c r="G615">
        <v>0.6</v>
      </c>
      <c r="H615">
        <v>195</v>
      </c>
      <c r="I615">
        <v>11</v>
      </c>
      <c r="J615">
        <v>1</v>
      </c>
      <c r="K615">
        <v>82.2</v>
      </c>
      <c r="L615" t="s">
        <v>136</v>
      </c>
      <c r="M615" t="s">
        <v>116</v>
      </c>
    </row>
    <row r="616" spans="2:13" x14ac:dyDescent="0.2">
      <c r="B616">
        <v>3025</v>
      </c>
      <c r="C616">
        <v>3</v>
      </c>
      <c r="D616">
        <v>0</v>
      </c>
      <c r="E616">
        <v>0</v>
      </c>
      <c r="F616">
        <v>0.6</v>
      </c>
      <c r="G616">
        <v>0.6</v>
      </c>
      <c r="H616">
        <v>0</v>
      </c>
      <c r="I616">
        <v>0</v>
      </c>
      <c r="J616">
        <v>0</v>
      </c>
      <c r="K616">
        <v>50</v>
      </c>
      <c r="L616" t="s">
        <v>113</v>
      </c>
      <c r="M616" t="s">
        <v>114</v>
      </c>
    </row>
    <row r="617" spans="2:13" x14ac:dyDescent="0.2">
      <c r="B617">
        <v>3025</v>
      </c>
      <c r="C617">
        <v>3</v>
      </c>
      <c r="D617">
        <v>6</v>
      </c>
      <c r="E617">
        <v>0.1</v>
      </c>
      <c r="F617">
        <v>0.6</v>
      </c>
      <c r="G617">
        <v>0.6</v>
      </c>
      <c r="H617">
        <v>65</v>
      </c>
      <c r="I617">
        <v>0</v>
      </c>
      <c r="J617">
        <v>0</v>
      </c>
      <c r="K617">
        <v>92.6</v>
      </c>
      <c r="L617" t="s">
        <v>115</v>
      </c>
      <c r="M617" t="s">
        <v>116</v>
      </c>
    </row>
    <row r="618" spans="2:13" x14ac:dyDescent="0.2">
      <c r="B618">
        <v>3025</v>
      </c>
      <c r="C618">
        <v>3</v>
      </c>
      <c r="D618">
        <v>7</v>
      </c>
      <c r="E618">
        <v>0.12</v>
      </c>
      <c r="F618">
        <v>0.6</v>
      </c>
      <c r="G618">
        <v>0.6</v>
      </c>
      <c r="H618">
        <v>76</v>
      </c>
      <c r="I618">
        <v>1</v>
      </c>
      <c r="J618">
        <v>1</v>
      </c>
      <c r="K618">
        <v>67.599999999999994</v>
      </c>
      <c r="L618" t="s">
        <v>117</v>
      </c>
      <c r="M618" t="s">
        <v>118</v>
      </c>
    </row>
    <row r="619" spans="2:13" x14ac:dyDescent="0.2">
      <c r="B619">
        <v>3025</v>
      </c>
      <c r="C619">
        <v>3</v>
      </c>
      <c r="D619">
        <v>12.1</v>
      </c>
      <c r="E619">
        <v>0.2</v>
      </c>
      <c r="F619">
        <v>0.6</v>
      </c>
      <c r="G619">
        <v>0.6</v>
      </c>
      <c r="H619">
        <v>130</v>
      </c>
      <c r="I619">
        <v>6</v>
      </c>
      <c r="J619">
        <v>1</v>
      </c>
      <c r="K619">
        <v>79.2</v>
      </c>
      <c r="L619" t="s">
        <v>124</v>
      </c>
      <c r="M619" t="s">
        <v>116</v>
      </c>
    </row>
    <row r="620" spans="2:13" x14ac:dyDescent="0.2">
      <c r="B620">
        <v>3025</v>
      </c>
      <c r="C620">
        <v>3</v>
      </c>
      <c r="D620">
        <v>18.100000000000001</v>
      </c>
      <c r="E620">
        <v>0.3</v>
      </c>
      <c r="F620">
        <v>0.6</v>
      </c>
      <c r="G620">
        <v>0.7</v>
      </c>
      <c r="H620">
        <v>195</v>
      </c>
      <c r="I620">
        <v>9</v>
      </c>
      <c r="J620">
        <v>1</v>
      </c>
      <c r="K620">
        <v>83.2</v>
      </c>
      <c r="L620" t="s">
        <v>128</v>
      </c>
      <c r="M620" t="s">
        <v>116</v>
      </c>
    </row>
    <row r="621" spans="2:13" x14ac:dyDescent="0.2">
      <c r="B621">
        <v>3025</v>
      </c>
      <c r="C621">
        <v>4</v>
      </c>
      <c r="D621">
        <v>0</v>
      </c>
      <c r="E621">
        <v>0</v>
      </c>
      <c r="F621">
        <v>0.6</v>
      </c>
      <c r="G621">
        <v>0.6</v>
      </c>
      <c r="H621">
        <v>0</v>
      </c>
      <c r="I621">
        <v>0</v>
      </c>
      <c r="J621">
        <v>0</v>
      </c>
      <c r="K621">
        <v>50</v>
      </c>
      <c r="L621" t="s">
        <v>113</v>
      </c>
      <c r="M621" t="s">
        <v>114</v>
      </c>
    </row>
    <row r="622" spans="2:13" x14ac:dyDescent="0.2">
      <c r="B622">
        <v>3025</v>
      </c>
      <c r="C622">
        <v>4</v>
      </c>
      <c r="D622">
        <v>6</v>
      </c>
      <c r="E622">
        <v>0.1</v>
      </c>
      <c r="F622">
        <v>0.6</v>
      </c>
      <c r="G622">
        <v>0.6</v>
      </c>
      <c r="H622">
        <v>65</v>
      </c>
      <c r="I622">
        <v>1</v>
      </c>
      <c r="J622">
        <v>0</v>
      </c>
      <c r="K622">
        <v>43.4</v>
      </c>
      <c r="L622" t="s">
        <v>115</v>
      </c>
      <c r="M622" t="s">
        <v>116</v>
      </c>
    </row>
    <row r="623" spans="2:13" x14ac:dyDescent="0.2">
      <c r="B623">
        <v>3025</v>
      </c>
      <c r="C623">
        <v>4</v>
      </c>
      <c r="D623">
        <v>8</v>
      </c>
      <c r="E623">
        <v>0.13</v>
      </c>
      <c r="F623">
        <v>0.6</v>
      </c>
      <c r="G623">
        <v>0.6</v>
      </c>
      <c r="H623">
        <v>87</v>
      </c>
      <c r="I623">
        <v>1</v>
      </c>
      <c r="J623">
        <v>1</v>
      </c>
      <c r="K623">
        <v>43.2</v>
      </c>
      <c r="L623" t="s">
        <v>122</v>
      </c>
      <c r="M623" t="s">
        <v>118</v>
      </c>
    </row>
    <row r="624" spans="2:13" x14ac:dyDescent="0.2">
      <c r="B624">
        <v>3025</v>
      </c>
      <c r="C624">
        <v>4</v>
      </c>
      <c r="D624">
        <v>12.1</v>
      </c>
      <c r="E624">
        <v>0.2</v>
      </c>
      <c r="F624">
        <v>0.6</v>
      </c>
      <c r="G624">
        <v>0.6</v>
      </c>
      <c r="H624">
        <v>130</v>
      </c>
      <c r="I624">
        <v>3</v>
      </c>
      <c r="J624">
        <v>1</v>
      </c>
      <c r="K624">
        <v>43.2</v>
      </c>
      <c r="L624" t="s">
        <v>132</v>
      </c>
      <c r="M624" t="s">
        <v>116</v>
      </c>
    </row>
    <row r="625" spans="2:13" x14ac:dyDescent="0.2">
      <c r="B625">
        <v>3025</v>
      </c>
      <c r="C625">
        <v>4</v>
      </c>
      <c r="D625">
        <v>18.100000000000001</v>
      </c>
      <c r="E625">
        <v>0.3</v>
      </c>
      <c r="F625">
        <v>0.6</v>
      </c>
      <c r="G625">
        <v>0.7</v>
      </c>
      <c r="H625">
        <v>195</v>
      </c>
      <c r="I625">
        <v>10</v>
      </c>
      <c r="J625">
        <v>1</v>
      </c>
      <c r="K625">
        <v>76.099999999999994</v>
      </c>
      <c r="L625" t="s">
        <v>128</v>
      </c>
      <c r="M625" t="s">
        <v>116</v>
      </c>
    </row>
    <row r="626" spans="2:13" x14ac:dyDescent="0.2">
      <c r="B626">
        <v>3025</v>
      </c>
      <c r="C626">
        <v>5</v>
      </c>
      <c r="D626">
        <v>0</v>
      </c>
      <c r="E626">
        <v>0</v>
      </c>
      <c r="F626">
        <v>0.6</v>
      </c>
      <c r="G626">
        <v>0.6</v>
      </c>
      <c r="H626">
        <v>0</v>
      </c>
      <c r="I626">
        <v>0</v>
      </c>
      <c r="J626">
        <v>0</v>
      </c>
      <c r="K626">
        <v>50</v>
      </c>
      <c r="L626" t="s">
        <v>113</v>
      </c>
      <c r="M626" t="s">
        <v>114</v>
      </c>
    </row>
    <row r="627" spans="2:13" x14ac:dyDescent="0.2">
      <c r="B627">
        <v>3025</v>
      </c>
      <c r="C627">
        <v>5</v>
      </c>
      <c r="D627">
        <v>6</v>
      </c>
      <c r="E627">
        <v>0.1</v>
      </c>
      <c r="F627">
        <v>0.6</v>
      </c>
      <c r="G627">
        <v>0.6</v>
      </c>
      <c r="H627">
        <v>65</v>
      </c>
      <c r="I627">
        <v>1</v>
      </c>
      <c r="J627">
        <v>0</v>
      </c>
      <c r="K627">
        <v>43.4</v>
      </c>
      <c r="L627" t="s">
        <v>115</v>
      </c>
      <c r="M627" t="s">
        <v>116</v>
      </c>
    </row>
    <row r="628" spans="2:13" x14ac:dyDescent="0.2">
      <c r="B628">
        <v>3025</v>
      </c>
      <c r="C628">
        <v>5</v>
      </c>
      <c r="D628">
        <v>12.1</v>
      </c>
      <c r="E628">
        <v>0.2</v>
      </c>
      <c r="F628">
        <v>0.6</v>
      </c>
      <c r="G628">
        <v>0.6</v>
      </c>
      <c r="H628">
        <v>130</v>
      </c>
      <c r="I628">
        <v>5</v>
      </c>
      <c r="J628">
        <v>0</v>
      </c>
      <c r="K628">
        <v>42.7</v>
      </c>
      <c r="L628" t="s">
        <v>115</v>
      </c>
      <c r="M628" t="s">
        <v>116</v>
      </c>
    </row>
    <row r="629" spans="2:13" x14ac:dyDescent="0.2">
      <c r="B629">
        <v>3025</v>
      </c>
      <c r="C629">
        <v>5</v>
      </c>
      <c r="D629">
        <v>18.100000000000001</v>
      </c>
      <c r="E629">
        <v>0.3</v>
      </c>
      <c r="F629">
        <v>0.6</v>
      </c>
      <c r="G629">
        <v>0.7</v>
      </c>
      <c r="H629">
        <v>195</v>
      </c>
      <c r="I629">
        <v>14</v>
      </c>
      <c r="J629">
        <v>0</v>
      </c>
      <c r="K629">
        <v>92.5</v>
      </c>
      <c r="L629" t="s">
        <v>128</v>
      </c>
      <c r="M629" t="s">
        <v>116</v>
      </c>
    </row>
    <row r="630" spans="2:13" x14ac:dyDescent="0.2">
      <c r="B630">
        <v>3026</v>
      </c>
      <c r="C630">
        <v>1</v>
      </c>
      <c r="D630">
        <v>0</v>
      </c>
      <c r="E630">
        <v>0</v>
      </c>
      <c r="F630">
        <v>0.6</v>
      </c>
      <c r="G630">
        <v>0.6</v>
      </c>
      <c r="H630">
        <v>0</v>
      </c>
      <c r="I630">
        <v>0</v>
      </c>
      <c r="J630">
        <v>0</v>
      </c>
      <c r="K630">
        <v>50</v>
      </c>
      <c r="L630" t="s">
        <v>113</v>
      </c>
      <c r="M630" t="s">
        <v>114</v>
      </c>
    </row>
    <row r="631" spans="2:13" x14ac:dyDescent="0.2">
      <c r="B631">
        <v>3026</v>
      </c>
      <c r="C631">
        <v>1</v>
      </c>
      <c r="D631">
        <v>6</v>
      </c>
      <c r="E631">
        <v>0.1</v>
      </c>
      <c r="F631">
        <v>0.6</v>
      </c>
      <c r="G631">
        <v>0.6</v>
      </c>
      <c r="H631">
        <v>65</v>
      </c>
      <c r="I631">
        <v>0</v>
      </c>
      <c r="J631">
        <v>0</v>
      </c>
      <c r="K631">
        <v>42.6</v>
      </c>
      <c r="L631" t="s">
        <v>115</v>
      </c>
      <c r="M631" t="s">
        <v>116</v>
      </c>
    </row>
    <row r="632" spans="2:13" x14ac:dyDescent="0.2">
      <c r="B632">
        <v>3026</v>
      </c>
      <c r="C632">
        <v>1</v>
      </c>
      <c r="D632">
        <v>12.1</v>
      </c>
      <c r="E632">
        <v>0.2</v>
      </c>
      <c r="F632">
        <v>0.6</v>
      </c>
      <c r="G632">
        <v>0.7</v>
      </c>
      <c r="H632">
        <v>130</v>
      </c>
      <c r="I632">
        <v>4</v>
      </c>
      <c r="J632">
        <v>0</v>
      </c>
      <c r="K632">
        <v>92.9</v>
      </c>
      <c r="L632" t="s">
        <v>128</v>
      </c>
      <c r="M632" t="s">
        <v>116</v>
      </c>
    </row>
    <row r="633" spans="2:13" x14ac:dyDescent="0.2">
      <c r="B633">
        <v>3026</v>
      </c>
      <c r="C633">
        <v>2</v>
      </c>
      <c r="D633">
        <v>0</v>
      </c>
      <c r="E633">
        <v>0</v>
      </c>
      <c r="F633">
        <v>0.6</v>
      </c>
      <c r="G633">
        <v>0.6</v>
      </c>
      <c r="H633">
        <v>0</v>
      </c>
      <c r="I633">
        <v>0</v>
      </c>
      <c r="J633">
        <v>0</v>
      </c>
      <c r="K633">
        <v>50</v>
      </c>
      <c r="L633" t="s">
        <v>113</v>
      </c>
      <c r="M633" t="s">
        <v>114</v>
      </c>
    </row>
    <row r="634" spans="2:13" x14ac:dyDescent="0.2">
      <c r="B634">
        <v>3026</v>
      </c>
      <c r="C634">
        <v>2</v>
      </c>
      <c r="D634">
        <v>5.6</v>
      </c>
      <c r="E634">
        <v>0.09</v>
      </c>
      <c r="F634">
        <v>0.6</v>
      </c>
      <c r="G634">
        <v>0.6</v>
      </c>
      <c r="H634">
        <v>60</v>
      </c>
      <c r="I634">
        <v>0</v>
      </c>
      <c r="J634">
        <v>1</v>
      </c>
      <c r="K634">
        <v>43.3</v>
      </c>
      <c r="L634" t="s">
        <v>142</v>
      </c>
      <c r="M634" t="s">
        <v>118</v>
      </c>
    </row>
    <row r="635" spans="2:13" x14ac:dyDescent="0.2">
      <c r="B635">
        <v>3026</v>
      </c>
      <c r="C635">
        <v>2</v>
      </c>
      <c r="D635">
        <v>6</v>
      </c>
      <c r="E635">
        <v>0.1</v>
      </c>
      <c r="F635">
        <v>0.6</v>
      </c>
      <c r="G635">
        <v>0.6</v>
      </c>
      <c r="H635">
        <v>65</v>
      </c>
      <c r="I635">
        <v>0</v>
      </c>
      <c r="J635">
        <v>1</v>
      </c>
      <c r="K635">
        <v>43.8</v>
      </c>
      <c r="L635" t="s">
        <v>132</v>
      </c>
      <c r="M635" t="s">
        <v>116</v>
      </c>
    </row>
    <row r="636" spans="2:13" x14ac:dyDescent="0.2">
      <c r="B636">
        <v>3026</v>
      </c>
      <c r="C636">
        <v>2</v>
      </c>
      <c r="D636">
        <v>12.1</v>
      </c>
      <c r="E636">
        <v>0.2</v>
      </c>
      <c r="F636">
        <v>0.6</v>
      </c>
      <c r="G636">
        <v>0.6</v>
      </c>
      <c r="H636">
        <v>130</v>
      </c>
      <c r="I636">
        <v>3</v>
      </c>
      <c r="J636">
        <v>1</v>
      </c>
      <c r="K636">
        <v>44.6</v>
      </c>
      <c r="L636" t="s">
        <v>115</v>
      </c>
      <c r="M636" t="s">
        <v>116</v>
      </c>
    </row>
    <row r="637" spans="2:13" x14ac:dyDescent="0.2">
      <c r="B637">
        <v>3026</v>
      </c>
      <c r="C637">
        <v>2</v>
      </c>
      <c r="D637">
        <v>18.100000000000001</v>
      </c>
      <c r="E637">
        <v>0.3</v>
      </c>
      <c r="F637">
        <v>0.6</v>
      </c>
      <c r="G637">
        <v>0.7</v>
      </c>
      <c r="H637">
        <v>195</v>
      </c>
      <c r="I637">
        <v>5</v>
      </c>
      <c r="J637">
        <v>1</v>
      </c>
      <c r="K637">
        <v>78.2</v>
      </c>
      <c r="L637" t="s">
        <v>128</v>
      </c>
      <c r="M637" t="s">
        <v>116</v>
      </c>
    </row>
    <row r="638" spans="2:13" x14ac:dyDescent="0.2">
      <c r="B638">
        <v>3026</v>
      </c>
      <c r="C638">
        <v>3</v>
      </c>
      <c r="D638">
        <v>0</v>
      </c>
      <c r="E638">
        <v>0</v>
      </c>
      <c r="F638">
        <v>0.6</v>
      </c>
      <c r="G638">
        <v>0.6</v>
      </c>
      <c r="H638">
        <v>0</v>
      </c>
      <c r="I638">
        <v>0</v>
      </c>
      <c r="J638">
        <v>0</v>
      </c>
      <c r="K638">
        <v>50</v>
      </c>
      <c r="L638" t="s">
        <v>113</v>
      </c>
      <c r="M638" t="s">
        <v>114</v>
      </c>
    </row>
    <row r="639" spans="2:13" x14ac:dyDescent="0.2">
      <c r="B639">
        <v>3026</v>
      </c>
      <c r="C639">
        <v>3</v>
      </c>
      <c r="D639">
        <v>5.7</v>
      </c>
      <c r="E639">
        <v>0.09</v>
      </c>
      <c r="F639">
        <v>0.6</v>
      </c>
      <c r="G639">
        <v>0.6</v>
      </c>
      <c r="H639">
        <v>62</v>
      </c>
      <c r="I639">
        <v>0</v>
      </c>
      <c r="J639">
        <v>1</v>
      </c>
      <c r="K639">
        <v>42.5</v>
      </c>
      <c r="L639" t="s">
        <v>122</v>
      </c>
      <c r="M639" t="s">
        <v>118</v>
      </c>
    </row>
    <row r="640" spans="2:13" x14ac:dyDescent="0.2">
      <c r="B640">
        <v>3026</v>
      </c>
      <c r="C640">
        <v>3</v>
      </c>
      <c r="D640">
        <v>6</v>
      </c>
      <c r="E640">
        <v>0.1</v>
      </c>
      <c r="F640">
        <v>0.6</v>
      </c>
      <c r="G640">
        <v>0.6</v>
      </c>
      <c r="H640">
        <v>65</v>
      </c>
      <c r="I640">
        <v>1</v>
      </c>
      <c r="J640">
        <v>1</v>
      </c>
      <c r="K640">
        <v>43</v>
      </c>
      <c r="L640" t="s">
        <v>132</v>
      </c>
      <c r="M640" t="s">
        <v>116</v>
      </c>
    </row>
    <row r="641" spans="2:13" x14ac:dyDescent="0.2">
      <c r="B641">
        <v>3026</v>
      </c>
      <c r="C641">
        <v>3</v>
      </c>
      <c r="D641">
        <v>12</v>
      </c>
      <c r="E641">
        <v>0.2</v>
      </c>
      <c r="F641">
        <v>0.6</v>
      </c>
      <c r="G641">
        <v>0.6</v>
      </c>
      <c r="H641">
        <v>130</v>
      </c>
      <c r="I641">
        <v>3</v>
      </c>
      <c r="J641">
        <v>2</v>
      </c>
      <c r="K641">
        <v>61.3</v>
      </c>
      <c r="L641" t="s">
        <v>119</v>
      </c>
      <c r="M641" t="s">
        <v>118</v>
      </c>
    </row>
    <row r="642" spans="2:13" x14ac:dyDescent="0.2">
      <c r="B642">
        <v>3026</v>
      </c>
      <c r="C642">
        <v>3</v>
      </c>
      <c r="D642">
        <v>12.1</v>
      </c>
      <c r="E642">
        <v>0.2</v>
      </c>
      <c r="F642">
        <v>0.6</v>
      </c>
      <c r="G642">
        <v>0.6</v>
      </c>
      <c r="H642">
        <v>130</v>
      </c>
      <c r="I642">
        <v>3</v>
      </c>
      <c r="J642">
        <v>2</v>
      </c>
      <c r="K642">
        <v>61.3</v>
      </c>
      <c r="L642" t="s">
        <v>121</v>
      </c>
      <c r="M642" t="s">
        <v>116</v>
      </c>
    </row>
    <row r="643" spans="2:13" x14ac:dyDescent="0.2">
      <c r="B643">
        <v>3026</v>
      </c>
      <c r="C643">
        <v>3</v>
      </c>
      <c r="D643">
        <v>15.3</v>
      </c>
      <c r="E643">
        <v>0.26</v>
      </c>
      <c r="F643">
        <v>0.6</v>
      </c>
      <c r="G643">
        <v>0.6</v>
      </c>
      <c r="H643">
        <v>165</v>
      </c>
      <c r="I643">
        <v>6</v>
      </c>
      <c r="J643">
        <v>3</v>
      </c>
      <c r="K643">
        <v>69.3</v>
      </c>
      <c r="L643" t="s">
        <v>125</v>
      </c>
      <c r="M643" t="s">
        <v>118</v>
      </c>
    </row>
    <row r="644" spans="2:13" x14ac:dyDescent="0.2">
      <c r="B644">
        <v>3026</v>
      </c>
      <c r="C644">
        <v>3</v>
      </c>
      <c r="D644">
        <v>18.100000000000001</v>
      </c>
      <c r="E644">
        <v>0.3</v>
      </c>
      <c r="F644">
        <v>0.6</v>
      </c>
      <c r="G644">
        <v>0.6</v>
      </c>
      <c r="H644">
        <v>195</v>
      </c>
      <c r="I644">
        <v>6</v>
      </c>
      <c r="J644">
        <v>3</v>
      </c>
      <c r="K644">
        <v>69.599999999999994</v>
      </c>
      <c r="L644" t="s">
        <v>124</v>
      </c>
      <c r="M644" t="s">
        <v>116</v>
      </c>
    </row>
    <row r="645" spans="2:13" x14ac:dyDescent="0.2">
      <c r="B645">
        <v>3026</v>
      </c>
      <c r="C645">
        <v>4</v>
      </c>
      <c r="D645">
        <v>0</v>
      </c>
      <c r="E645">
        <v>0</v>
      </c>
      <c r="F645">
        <v>0.6</v>
      </c>
      <c r="G645">
        <v>0.6</v>
      </c>
      <c r="H645">
        <v>0</v>
      </c>
      <c r="I645">
        <v>0</v>
      </c>
      <c r="J645">
        <v>0</v>
      </c>
      <c r="K645">
        <v>50</v>
      </c>
      <c r="L645" t="s">
        <v>113</v>
      </c>
      <c r="M645" t="s">
        <v>114</v>
      </c>
    </row>
    <row r="646" spans="2:13" x14ac:dyDescent="0.2">
      <c r="B646">
        <v>3026</v>
      </c>
      <c r="C646">
        <v>4</v>
      </c>
      <c r="D646">
        <v>6</v>
      </c>
      <c r="E646">
        <v>0.1</v>
      </c>
      <c r="F646">
        <v>0.6</v>
      </c>
      <c r="G646">
        <v>0.6</v>
      </c>
      <c r="H646">
        <v>65</v>
      </c>
      <c r="I646">
        <v>0</v>
      </c>
      <c r="J646">
        <v>0</v>
      </c>
      <c r="K646">
        <v>94.2</v>
      </c>
      <c r="L646" t="s">
        <v>115</v>
      </c>
      <c r="M646" t="s">
        <v>116</v>
      </c>
    </row>
    <row r="647" spans="2:13" x14ac:dyDescent="0.2">
      <c r="B647">
        <v>3026</v>
      </c>
      <c r="C647">
        <v>4</v>
      </c>
      <c r="D647">
        <v>12.1</v>
      </c>
      <c r="E647">
        <v>0.2</v>
      </c>
      <c r="F647">
        <v>0.6</v>
      </c>
      <c r="G647">
        <v>0.6</v>
      </c>
      <c r="H647">
        <v>130</v>
      </c>
      <c r="I647">
        <v>4</v>
      </c>
      <c r="J647">
        <v>0</v>
      </c>
      <c r="K647">
        <v>94.4</v>
      </c>
      <c r="L647" t="s">
        <v>115</v>
      </c>
      <c r="M647" t="s">
        <v>116</v>
      </c>
    </row>
    <row r="648" spans="2:13" x14ac:dyDescent="0.2">
      <c r="B648">
        <v>3026</v>
      </c>
      <c r="C648">
        <v>4</v>
      </c>
      <c r="D648">
        <v>18.100000000000001</v>
      </c>
      <c r="E648">
        <v>0.3</v>
      </c>
      <c r="F648">
        <v>0.6</v>
      </c>
      <c r="G648">
        <v>0.7</v>
      </c>
      <c r="H648">
        <v>195</v>
      </c>
      <c r="I648">
        <v>14</v>
      </c>
      <c r="J648">
        <v>0</v>
      </c>
      <c r="K648">
        <v>94.3</v>
      </c>
      <c r="L648" t="s">
        <v>128</v>
      </c>
      <c r="M648" t="s">
        <v>116</v>
      </c>
    </row>
    <row r="649" spans="2:13" x14ac:dyDescent="0.2">
      <c r="B649">
        <v>3026</v>
      </c>
      <c r="C649">
        <v>5</v>
      </c>
      <c r="D649">
        <v>0</v>
      </c>
      <c r="E649">
        <v>0</v>
      </c>
      <c r="F649">
        <v>0.6</v>
      </c>
      <c r="G649">
        <v>0.6</v>
      </c>
      <c r="H649">
        <v>0</v>
      </c>
      <c r="I649">
        <v>0</v>
      </c>
      <c r="J649">
        <v>0</v>
      </c>
      <c r="K649">
        <v>50</v>
      </c>
      <c r="L649" t="s">
        <v>113</v>
      </c>
      <c r="M649" t="s">
        <v>114</v>
      </c>
    </row>
    <row r="650" spans="2:13" x14ac:dyDescent="0.2">
      <c r="B650">
        <v>3026</v>
      </c>
      <c r="C650">
        <v>5</v>
      </c>
      <c r="D650">
        <v>6</v>
      </c>
      <c r="E650">
        <v>0.1</v>
      </c>
      <c r="F650">
        <v>0.6</v>
      </c>
      <c r="G650">
        <v>0.6</v>
      </c>
      <c r="H650">
        <v>65</v>
      </c>
      <c r="I650">
        <v>1</v>
      </c>
      <c r="J650">
        <v>0</v>
      </c>
      <c r="K650">
        <v>95</v>
      </c>
      <c r="L650" t="s">
        <v>115</v>
      </c>
      <c r="M650" t="s">
        <v>116</v>
      </c>
    </row>
    <row r="651" spans="2:13" x14ac:dyDescent="0.2">
      <c r="B651">
        <v>3026</v>
      </c>
      <c r="C651">
        <v>5</v>
      </c>
      <c r="D651">
        <v>9</v>
      </c>
      <c r="E651">
        <v>0.15</v>
      </c>
      <c r="F651">
        <v>0.6</v>
      </c>
      <c r="G651">
        <v>0.6</v>
      </c>
      <c r="H651">
        <v>97</v>
      </c>
      <c r="I651">
        <v>1</v>
      </c>
      <c r="J651">
        <v>1</v>
      </c>
      <c r="K651">
        <v>70.3</v>
      </c>
      <c r="L651" t="s">
        <v>122</v>
      </c>
      <c r="M651" t="s">
        <v>118</v>
      </c>
    </row>
    <row r="652" spans="2:13" x14ac:dyDescent="0.2">
      <c r="B652">
        <v>3026</v>
      </c>
      <c r="C652">
        <v>5</v>
      </c>
      <c r="D652">
        <v>12.1</v>
      </c>
      <c r="E652">
        <v>0.2</v>
      </c>
      <c r="F652">
        <v>0.6</v>
      </c>
      <c r="G652">
        <v>0.6</v>
      </c>
      <c r="H652">
        <v>130</v>
      </c>
      <c r="I652">
        <v>4</v>
      </c>
      <c r="J652">
        <v>1</v>
      </c>
      <c r="K652">
        <v>79</v>
      </c>
      <c r="L652" t="s">
        <v>121</v>
      </c>
      <c r="M652" t="s">
        <v>116</v>
      </c>
    </row>
    <row r="653" spans="2:13" x14ac:dyDescent="0.2">
      <c r="B653">
        <v>3026</v>
      </c>
      <c r="C653">
        <v>5</v>
      </c>
      <c r="D653">
        <v>18.100000000000001</v>
      </c>
      <c r="E653">
        <v>0.3</v>
      </c>
      <c r="F653">
        <v>0.6</v>
      </c>
      <c r="G653">
        <v>0.7</v>
      </c>
      <c r="H653">
        <v>195</v>
      </c>
      <c r="I653">
        <v>10</v>
      </c>
      <c r="J653">
        <v>1</v>
      </c>
      <c r="K653">
        <v>85.3</v>
      </c>
      <c r="L653" t="s">
        <v>128</v>
      </c>
      <c r="M653" t="s">
        <v>116</v>
      </c>
    </row>
    <row r="654" spans="2:13" x14ac:dyDescent="0.2">
      <c r="B654">
        <v>3027</v>
      </c>
      <c r="C654">
        <v>1</v>
      </c>
      <c r="D654">
        <v>0</v>
      </c>
      <c r="E654">
        <v>0</v>
      </c>
      <c r="F654">
        <v>0.6</v>
      </c>
      <c r="G654">
        <v>0.6</v>
      </c>
      <c r="H654">
        <v>0</v>
      </c>
      <c r="I654">
        <v>0</v>
      </c>
      <c r="J654">
        <v>0</v>
      </c>
      <c r="K654">
        <v>50</v>
      </c>
      <c r="L654" t="s">
        <v>113</v>
      </c>
      <c r="M654" t="s">
        <v>114</v>
      </c>
    </row>
    <row r="655" spans="2:13" x14ac:dyDescent="0.2">
      <c r="B655">
        <v>3027</v>
      </c>
      <c r="C655">
        <v>1</v>
      </c>
      <c r="D655">
        <v>6</v>
      </c>
      <c r="E655">
        <v>0.1</v>
      </c>
      <c r="F655">
        <v>0.6</v>
      </c>
      <c r="G655">
        <v>0.6</v>
      </c>
      <c r="H655">
        <v>65</v>
      </c>
      <c r="I655">
        <v>0</v>
      </c>
      <c r="J655">
        <v>0</v>
      </c>
      <c r="K655">
        <v>36</v>
      </c>
      <c r="L655" t="s">
        <v>115</v>
      </c>
      <c r="M655" t="s">
        <v>116</v>
      </c>
    </row>
    <row r="656" spans="2:13" x14ac:dyDescent="0.2">
      <c r="B656">
        <v>3027</v>
      </c>
      <c r="C656">
        <v>1</v>
      </c>
      <c r="D656">
        <v>8.1</v>
      </c>
      <c r="E656">
        <v>0.13</v>
      </c>
      <c r="F656">
        <v>0.6</v>
      </c>
      <c r="G656">
        <v>0.6</v>
      </c>
      <c r="H656">
        <v>87</v>
      </c>
      <c r="I656">
        <v>0</v>
      </c>
      <c r="J656">
        <v>1</v>
      </c>
      <c r="K656">
        <v>37.700000000000003</v>
      </c>
      <c r="L656" t="s">
        <v>142</v>
      </c>
      <c r="M656" t="s">
        <v>118</v>
      </c>
    </row>
    <row r="657" spans="2:13" x14ac:dyDescent="0.2">
      <c r="B657">
        <v>3027</v>
      </c>
      <c r="C657">
        <v>1</v>
      </c>
      <c r="D657">
        <v>12.1</v>
      </c>
      <c r="E657">
        <v>0.2</v>
      </c>
      <c r="F657">
        <v>0.6</v>
      </c>
      <c r="G657">
        <v>0.6</v>
      </c>
      <c r="H657">
        <v>130</v>
      </c>
      <c r="I657">
        <v>2</v>
      </c>
      <c r="J657">
        <v>1</v>
      </c>
      <c r="K657">
        <v>38.4</v>
      </c>
      <c r="L657" t="s">
        <v>132</v>
      </c>
      <c r="M657" t="s">
        <v>116</v>
      </c>
    </row>
    <row r="658" spans="2:13" x14ac:dyDescent="0.2">
      <c r="B658">
        <v>3027</v>
      </c>
      <c r="C658">
        <v>1</v>
      </c>
      <c r="D658">
        <v>16.3</v>
      </c>
      <c r="E658">
        <v>0.27</v>
      </c>
      <c r="F658">
        <v>0.6</v>
      </c>
      <c r="G658">
        <v>0.6</v>
      </c>
      <c r="H658">
        <v>175</v>
      </c>
      <c r="I658">
        <v>5</v>
      </c>
      <c r="J658">
        <v>2</v>
      </c>
      <c r="K658">
        <v>55.3</v>
      </c>
      <c r="L658" t="s">
        <v>127</v>
      </c>
      <c r="M658" t="s">
        <v>118</v>
      </c>
    </row>
    <row r="659" spans="2:13" x14ac:dyDescent="0.2">
      <c r="B659">
        <v>3027</v>
      </c>
      <c r="C659">
        <v>1</v>
      </c>
      <c r="D659">
        <v>17.7</v>
      </c>
      <c r="E659">
        <v>0.28999999999999998</v>
      </c>
      <c r="F659">
        <v>0.6</v>
      </c>
      <c r="G659">
        <v>0.6</v>
      </c>
      <c r="H659">
        <v>191</v>
      </c>
      <c r="I659">
        <v>6</v>
      </c>
      <c r="J659">
        <v>3</v>
      </c>
      <c r="K659">
        <v>50.7</v>
      </c>
      <c r="L659" t="s">
        <v>135</v>
      </c>
      <c r="M659" t="s">
        <v>118</v>
      </c>
    </row>
    <row r="660" spans="2:13" x14ac:dyDescent="0.2">
      <c r="B660">
        <v>3027</v>
      </c>
      <c r="C660">
        <v>1</v>
      </c>
      <c r="D660">
        <v>18.100000000000001</v>
      </c>
      <c r="E660">
        <v>0.3</v>
      </c>
      <c r="F660">
        <v>0.6</v>
      </c>
      <c r="G660">
        <v>0.45</v>
      </c>
      <c r="H660">
        <v>195</v>
      </c>
      <c r="I660">
        <v>6</v>
      </c>
      <c r="J660">
        <v>3</v>
      </c>
      <c r="K660">
        <v>51</v>
      </c>
      <c r="L660" t="s">
        <v>120</v>
      </c>
      <c r="M660" t="s">
        <v>116</v>
      </c>
    </row>
    <row r="661" spans="2:13" x14ac:dyDescent="0.2">
      <c r="B661">
        <v>3027</v>
      </c>
      <c r="C661">
        <v>2</v>
      </c>
      <c r="D661">
        <v>0</v>
      </c>
      <c r="E661">
        <v>0</v>
      </c>
      <c r="F661">
        <v>0.6</v>
      </c>
      <c r="G661">
        <v>0.6</v>
      </c>
      <c r="H661">
        <v>0</v>
      </c>
      <c r="I661">
        <v>0</v>
      </c>
      <c r="J661">
        <v>0</v>
      </c>
      <c r="K661">
        <v>50</v>
      </c>
      <c r="L661" t="s">
        <v>113</v>
      </c>
      <c r="M661" t="s">
        <v>114</v>
      </c>
    </row>
    <row r="662" spans="2:13" x14ac:dyDescent="0.2">
      <c r="B662">
        <v>3027</v>
      </c>
      <c r="C662">
        <v>2</v>
      </c>
      <c r="D662">
        <v>6</v>
      </c>
      <c r="E662">
        <v>0.1</v>
      </c>
      <c r="F662">
        <v>0.6</v>
      </c>
      <c r="G662">
        <v>0.6</v>
      </c>
      <c r="H662">
        <v>65</v>
      </c>
      <c r="I662">
        <v>1</v>
      </c>
      <c r="J662">
        <v>0</v>
      </c>
      <c r="K662">
        <v>92.6</v>
      </c>
      <c r="L662" t="s">
        <v>115</v>
      </c>
      <c r="M662" t="s">
        <v>116</v>
      </c>
    </row>
    <row r="663" spans="2:13" x14ac:dyDescent="0.2">
      <c r="B663">
        <v>3027</v>
      </c>
      <c r="C663">
        <v>2</v>
      </c>
      <c r="D663">
        <v>6.5</v>
      </c>
      <c r="E663">
        <v>0.11</v>
      </c>
      <c r="F663">
        <v>0.6</v>
      </c>
      <c r="G663">
        <v>0.6</v>
      </c>
      <c r="H663">
        <v>71</v>
      </c>
      <c r="I663">
        <v>1</v>
      </c>
      <c r="J663">
        <v>1</v>
      </c>
      <c r="K663">
        <v>67.7</v>
      </c>
      <c r="L663" t="s">
        <v>122</v>
      </c>
      <c r="M663" t="s">
        <v>118</v>
      </c>
    </row>
    <row r="664" spans="2:13" x14ac:dyDescent="0.2">
      <c r="B664">
        <v>3027</v>
      </c>
      <c r="C664">
        <v>2</v>
      </c>
      <c r="D664">
        <v>10</v>
      </c>
      <c r="E664">
        <v>0.17</v>
      </c>
      <c r="F664">
        <v>0.6</v>
      </c>
      <c r="G664">
        <v>0.6</v>
      </c>
      <c r="H664">
        <v>108</v>
      </c>
      <c r="I664">
        <v>2</v>
      </c>
      <c r="J664">
        <v>2</v>
      </c>
      <c r="K664">
        <v>57.4</v>
      </c>
      <c r="L664" t="s">
        <v>119</v>
      </c>
      <c r="M664" t="s">
        <v>118</v>
      </c>
    </row>
    <row r="665" spans="2:13" x14ac:dyDescent="0.2">
      <c r="B665">
        <v>3027</v>
      </c>
      <c r="C665">
        <v>2</v>
      </c>
      <c r="D665">
        <v>12</v>
      </c>
      <c r="E665">
        <v>0.2</v>
      </c>
      <c r="F665">
        <v>0.6</v>
      </c>
      <c r="G665">
        <v>0.6</v>
      </c>
      <c r="H665">
        <v>130</v>
      </c>
      <c r="I665">
        <v>2</v>
      </c>
      <c r="J665">
        <v>3</v>
      </c>
      <c r="K665">
        <v>52.7</v>
      </c>
      <c r="L665" t="s">
        <v>135</v>
      </c>
      <c r="M665" t="s">
        <v>118</v>
      </c>
    </row>
    <row r="666" spans="2:13" x14ac:dyDescent="0.2">
      <c r="B666">
        <v>3027</v>
      </c>
      <c r="C666">
        <v>2</v>
      </c>
      <c r="D666">
        <v>12.1</v>
      </c>
      <c r="E666">
        <v>0.2</v>
      </c>
      <c r="F666">
        <v>0.6</v>
      </c>
      <c r="G666">
        <v>0.45</v>
      </c>
      <c r="H666">
        <v>130</v>
      </c>
      <c r="I666">
        <v>2</v>
      </c>
      <c r="J666">
        <v>3</v>
      </c>
      <c r="K666">
        <v>52.5</v>
      </c>
      <c r="L666" t="s">
        <v>126</v>
      </c>
      <c r="M666" t="s">
        <v>116</v>
      </c>
    </row>
    <row r="667" spans="2:13" x14ac:dyDescent="0.2">
      <c r="B667">
        <v>3027</v>
      </c>
      <c r="C667">
        <v>2</v>
      </c>
      <c r="D667">
        <v>18.100000000000001</v>
      </c>
      <c r="E667">
        <v>0.3</v>
      </c>
      <c r="F667">
        <v>0.45</v>
      </c>
      <c r="G667">
        <v>0.45</v>
      </c>
      <c r="H667">
        <v>179</v>
      </c>
      <c r="I667">
        <v>5</v>
      </c>
      <c r="J667">
        <v>3</v>
      </c>
      <c r="K667">
        <v>59.5</v>
      </c>
      <c r="L667" t="s">
        <v>115</v>
      </c>
      <c r="M667" t="s">
        <v>116</v>
      </c>
    </row>
    <row r="668" spans="2:13" x14ac:dyDescent="0.2">
      <c r="B668">
        <v>3027</v>
      </c>
      <c r="C668">
        <v>3</v>
      </c>
      <c r="D668">
        <v>0</v>
      </c>
      <c r="E668">
        <v>0</v>
      </c>
      <c r="F668">
        <v>0.6</v>
      </c>
      <c r="G668">
        <v>0.6</v>
      </c>
      <c r="H668">
        <v>0</v>
      </c>
      <c r="I668">
        <v>0</v>
      </c>
      <c r="J668">
        <v>0</v>
      </c>
      <c r="K668">
        <v>50</v>
      </c>
      <c r="L668" t="s">
        <v>113</v>
      </c>
      <c r="M668" t="s">
        <v>114</v>
      </c>
    </row>
    <row r="669" spans="2:13" x14ac:dyDescent="0.2">
      <c r="B669">
        <v>3027</v>
      </c>
      <c r="C669">
        <v>3</v>
      </c>
      <c r="D669">
        <v>6</v>
      </c>
      <c r="E669">
        <v>0.1</v>
      </c>
      <c r="F669">
        <v>0.6</v>
      </c>
      <c r="G669">
        <v>0.6</v>
      </c>
      <c r="H669">
        <v>65</v>
      </c>
      <c r="I669">
        <v>1</v>
      </c>
      <c r="J669">
        <v>0</v>
      </c>
      <c r="K669">
        <v>37.200000000000003</v>
      </c>
      <c r="L669" t="s">
        <v>115</v>
      </c>
      <c r="M669" t="s">
        <v>116</v>
      </c>
    </row>
    <row r="670" spans="2:13" x14ac:dyDescent="0.2">
      <c r="B670">
        <v>3027</v>
      </c>
      <c r="C670">
        <v>3</v>
      </c>
      <c r="D670">
        <v>12.1</v>
      </c>
      <c r="E670">
        <v>0.2</v>
      </c>
      <c r="F670">
        <v>0.6</v>
      </c>
      <c r="G670">
        <v>0.7</v>
      </c>
      <c r="H670">
        <v>130</v>
      </c>
      <c r="I670">
        <v>6</v>
      </c>
      <c r="J670">
        <v>0</v>
      </c>
      <c r="K670">
        <v>86.7</v>
      </c>
      <c r="L670" t="s">
        <v>128</v>
      </c>
      <c r="M670" t="s">
        <v>116</v>
      </c>
    </row>
    <row r="671" spans="2:13" x14ac:dyDescent="0.2">
      <c r="B671">
        <v>3027</v>
      </c>
      <c r="C671">
        <v>4</v>
      </c>
      <c r="D671">
        <v>0</v>
      </c>
      <c r="E671">
        <v>0</v>
      </c>
      <c r="F671">
        <v>0.6</v>
      </c>
      <c r="G671">
        <v>0.6</v>
      </c>
      <c r="H671">
        <v>0</v>
      </c>
      <c r="I671">
        <v>0</v>
      </c>
      <c r="J671">
        <v>0</v>
      </c>
      <c r="K671">
        <v>50</v>
      </c>
      <c r="L671" t="s">
        <v>113</v>
      </c>
      <c r="M671" t="s">
        <v>114</v>
      </c>
    </row>
    <row r="672" spans="2:13" x14ac:dyDescent="0.2">
      <c r="B672">
        <v>3027</v>
      </c>
      <c r="C672">
        <v>4</v>
      </c>
      <c r="D672">
        <v>6</v>
      </c>
      <c r="E672">
        <v>0.1</v>
      </c>
      <c r="F672">
        <v>0.6</v>
      </c>
      <c r="G672">
        <v>0.6</v>
      </c>
      <c r="H672">
        <v>65</v>
      </c>
      <c r="I672">
        <v>1</v>
      </c>
      <c r="J672">
        <v>0</v>
      </c>
      <c r="K672">
        <v>40.9</v>
      </c>
      <c r="L672" t="s">
        <v>115</v>
      </c>
      <c r="M672" t="s">
        <v>116</v>
      </c>
    </row>
    <row r="673" spans="2:13" x14ac:dyDescent="0.2">
      <c r="B673">
        <v>3027</v>
      </c>
      <c r="C673">
        <v>4</v>
      </c>
      <c r="D673">
        <v>11.4</v>
      </c>
      <c r="E673">
        <v>0.19</v>
      </c>
      <c r="F673">
        <v>0.6</v>
      </c>
      <c r="G673">
        <v>0.6</v>
      </c>
      <c r="H673">
        <v>123</v>
      </c>
      <c r="I673">
        <v>4</v>
      </c>
      <c r="J673">
        <v>1</v>
      </c>
      <c r="K673">
        <v>39.9</v>
      </c>
      <c r="L673" t="s">
        <v>122</v>
      </c>
      <c r="M673" t="s">
        <v>118</v>
      </c>
    </row>
    <row r="674" spans="2:13" x14ac:dyDescent="0.2">
      <c r="B674">
        <v>3027</v>
      </c>
      <c r="C674">
        <v>4</v>
      </c>
      <c r="D674">
        <v>12.1</v>
      </c>
      <c r="E674">
        <v>0.2</v>
      </c>
      <c r="F674">
        <v>0.6</v>
      </c>
      <c r="G674">
        <v>0.6</v>
      </c>
      <c r="H674">
        <v>130</v>
      </c>
      <c r="I674">
        <v>4</v>
      </c>
      <c r="J674">
        <v>1</v>
      </c>
      <c r="K674">
        <v>39.799999999999997</v>
      </c>
      <c r="L674" t="s">
        <v>132</v>
      </c>
      <c r="M674" t="s">
        <v>116</v>
      </c>
    </row>
    <row r="675" spans="2:13" x14ac:dyDescent="0.2">
      <c r="B675">
        <v>3027</v>
      </c>
      <c r="C675">
        <v>4</v>
      </c>
      <c r="D675">
        <v>15.4</v>
      </c>
      <c r="E675">
        <v>0.26</v>
      </c>
      <c r="F675">
        <v>0.6</v>
      </c>
      <c r="G675">
        <v>0.6</v>
      </c>
      <c r="H675">
        <v>166</v>
      </c>
      <c r="I675">
        <v>5</v>
      </c>
      <c r="J675">
        <v>2</v>
      </c>
      <c r="K675">
        <v>64.7</v>
      </c>
      <c r="L675" t="s">
        <v>119</v>
      </c>
      <c r="M675" t="s">
        <v>118</v>
      </c>
    </row>
    <row r="676" spans="2:13" x14ac:dyDescent="0.2">
      <c r="B676">
        <v>3027</v>
      </c>
      <c r="C676">
        <v>4</v>
      </c>
      <c r="D676">
        <v>18.100000000000001</v>
      </c>
      <c r="E676">
        <v>0.3</v>
      </c>
      <c r="F676">
        <v>0.6</v>
      </c>
      <c r="G676">
        <v>0.6</v>
      </c>
      <c r="H676">
        <v>195</v>
      </c>
      <c r="I676">
        <v>6</v>
      </c>
      <c r="J676">
        <v>2</v>
      </c>
      <c r="K676">
        <v>64.599999999999994</v>
      </c>
      <c r="L676" t="s">
        <v>124</v>
      </c>
      <c r="M676" t="s">
        <v>116</v>
      </c>
    </row>
    <row r="677" spans="2:13" x14ac:dyDescent="0.2">
      <c r="B677">
        <v>3027</v>
      </c>
      <c r="C677">
        <v>5</v>
      </c>
      <c r="D677">
        <v>0</v>
      </c>
      <c r="E677">
        <v>0</v>
      </c>
      <c r="F677">
        <v>0.6</v>
      </c>
      <c r="G677">
        <v>0.6</v>
      </c>
      <c r="H677">
        <v>0</v>
      </c>
      <c r="I677">
        <v>0</v>
      </c>
      <c r="J677">
        <v>0</v>
      </c>
      <c r="K677">
        <v>50</v>
      </c>
      <c r="L677" t="s">
        <v>113</v>
      </c>
      <c r="M677" t="s">
        <v>114</v>
      </c>
    </row>
    <row r="678" spans="2:13" x14ac:dyDescent="0.2">
      <c r="B678">
        <v>3027</v>
      </c>
      <c r="C678">
        <v>5</v>
      </c>
      <c r="D678">
        <v>6</v>
      </c>
      <c r="E678">
        <v>0.1</v>
      </c>
      <c r="F678">
        <v>0.6</v>
      </c>
      <c r="G678">
        <v>0.6</v>
      </c>
      <c r="H678">
        <v>65</v>
      </c>
      <c r="I678">
        <v>0</v>
      </c>
      <c r="J678">
        <v>0</v>
      </c>
      <c r="K678">
        <v>38</v>
      </c>
      <c r="L678" t="s">
        <v>115</v>
      </c>
      <c r="M678" t="s">
        <v>116</v>
      </c>
    </row>
    <row r="679" spans="2:13" x14ac:dyDescent="0.2">
      <c r="B679">
        <v>3027</v>
      </c>
      <c r="C679">
        <v>5</v>
      </c>
      <c r="D679">
        <v>8.1</v>
      </c>
      <c r="E679">
        <v>0.13</v>
      </c>
      <c r="F679">
        <v>0.6</v>
      </c>
      <c r="G679">
        <v>0.6</v>
      </c>
      <c r="H679">
        <v>87</v>
      </c>
      <c r="I679">
        <v>0</v>
      </c>
      <c r="J679">
        <v>1</v>
      </c>
      <c r="K679">
        <v>38.9</v>
      </c>
      <c r="L679" t="s">
        <v>129</v>
      </c>
      <c r="M679" t="s">
        <v>118</v>
      </c>
    </row>
    <row r="680" spans="2:13" x14ac:dyDescent="0.2">
      <c r="B680">
        <v>3027</v>
      </c>
      <c r="C680">
        <v>5</v>
      </c>
      <c r="D680">
        <v>12.1</v>
      </c>
      <c r="E680">
        <v>0.2</v>
      </c>
      <c r="F680">
        <v>0.6</v>
      </c>
      <c r="G680">
        <v>0.6</v>
      </c>
      <c r="H680">
        <v>130</v>
      </c>
      <c r="I680">
        <v>3</v>
      </c>
      <c r="J680">
        <v>1</v>
      </c>
      <c r="K680">
        <v>72.099999999999994</v>
      </c>
      <c r="L680" t="s">
        <v>124</v>
      </c>
      <c r="M680" t="s">
        <v>116</v>
      </c>
    </row>
    <row r="681" spans="2:13" x14ac:dyDescent="0.2">
      <c r="B681">
        <v>3027</v>
      </c>
      <c r="C681">
        <v>5</v>
      </c>
      <c r="D681">
        <v>15.2</v>
      </c>
      <c r="E681">
        <v>0.25</v>
      </c>
      <c r="F681">
        <v>0.6</v>
      </c>
      <c r="G681">
        <v>0.6</v>
      </c>
      <c r="H681">
        <v>164</v>
      </c>
      <c r="I681">
        <v>4</v>
      </c>
      <c r="J681">
        <v>2</v>
      </c>
      <c r="K681">
        <v>68.8</v>
      </c>
      <c r="L681" t="s">
        <v>119</v>
      </c>
      <c r="M681" t="s">
        <v>118</v>
      </c>
    </row>
    <row r="682" spans="2:13" x14ac:dyDescent="0.2">
      <c r="B682">
        <v>3027</v>
      </c>
      <c r="C682">
        <v>5</v>
      </c>
      <c r="D682">
        <v>18.100000000000001</v>
      </c>
      <c r="E682">
        <v>0.3</v>
      </c>
      <c r="F682">
        <v>0.6</v>
      </c>
      <c r="G682">
        <v>0.6</v>
      </c>
      <c r="H682">
        <v>195</v>
      </c>
      <c r="I682">
        <v>5</v>
      </c>
      <c r="J682">
        <v>2</v>
      </c>
      <c r="K682">
        <v>72.3</v>
      </c>
      <c r="L682" t="s">
        <v>124</v>
      </c>
      <c r="M682" t="s">
        <v>116</v>
      </c>
    </row>
    <row r="683" spans="2:13" x14ac:dyDescent="0.2">
      <c r="B683">
        <v>3028</v>
      </c>
      <c r="C683">
        <v>1</v>
      </c>
      <c r="D683">
        <v>0</v>
      </c>
      <c r="E683">
        <v>0</v>
      </c>
      <c r="F683">
        <v>0.6</v>
      </c>
      <c r="G683">
        <v>0.6</v>
      </c>
      <c r="H683">
        <v>0</v>
      </c>
      <c r="I683">
        <v>0</v>
      </c>
      <c r="J683">
        <v>0</v>
      </c>
      <c r="K683">
        <v>50</v>
      </c>
      <c r="L683" t="s">
        <v>113</v>
      </c>
      <c r="M683" t="s">
        <v>114</v>
      </c>
    </row>
    <row r="684" spans="2:13" x14ac:dyDescent="0.2">
      <c r="B684">
        <v>3028</v>
      </c>
      <c r="C684">
        <v>1</v>
      </c>
      <c r="D684">
        <v>6</v>
      </c>
      <c r="E684">
        <v>0.1</v>
      </c>
      <c r="F684">
        <v>0.6</v>
      </c>
      <c r="G684">
        <v>0.6</v>
      </c>
      <c r="H684">
        <v>65</v>
      </c>
      <c r="I684">
        <v>0</v>
      </c>
      <c r="J684">
        <v>0</v>
      </c>
      <c r="K684">
        <v>40.5</v>
      </c>
      <c r="L684" t="s">
        <v>115</v>
      </c>
      <c r="M684" t="s">
        <v>116</v>
      </c>
    </row>
    <row r="685" spans="2:13" x14ac:dyDescent="0.2">
      <c r="B685">
        <v>3028</v>
      </c>
      <c r="C685">
        <v>1</v>
      </c>
      <c r="D685">
        <v>7.6</v>
      </c>
      <c r="E685">
        <v>0.13</v>
      </c>
      <c r="F685">
        <v>0.6</v>
      </c>
      <c r="G685">
        <v>0.6</v>
      </c>
      <c r="H685">
        <v>83</v>
      </c>
      <c r="I685">
        <v>2</v>
      </c>
      <c r="J685">
        <v>1</v>
      </c>
      <c r="K685">
        <v>39.5</v>
      </c>
      <c r="L685" t="s">
        <v>122</v>
      </c>
      <c r="M685" t="s">
        <v>118</v>
      </c>
    </row>
    <row r="686" spans="2:13" x14ac:dyDescent="0.2">
      <c r="B686">
        <v>3028</v>
      </c>
      <c r="C686">
        <v>1</v>
      </c>
      <c r="D686">
        <v>12.1</v>
      </c>
      <c r="E686">
        <v>0.2</v>
      </c>
      <c r="F686">
        <v>0.6</v>
      </c>
      <c r="G686">
        <v>0.6</v>
      </c>
      <c r="H686">
        <v>130</v>
      </c>
      <c r="I686">
        <v>5</v>
      </c>
      <c r="J686">
        <v>1</v>
      </c>
      <c r="K686">
        <v>39.6</v>
      </c>
      <c r="L686" t="s">
        <v>132</v>
      </c>
      <c r="M686" t="s">
        <v>116</v>
      </c>
    </row>
    <row r="687" spans="2:13" x14ac:dyDescent="0.2">
      <c r="B687">
        <v>3028</v>
      </c>
      <c r="C687">
        <v>1</v>
      </c>
      <c r="D687">
        <v>13.6</v>
      </c>
      <c r="E687">
        <v>0.23</v>
      </c>
      <c r="F687">
        <v>0.6</v>
      </c>
      <c r="G687">
        <v>0.6</v>
      </c>
      <c r="H687">
        <v>146</v>
      </c>
      <c r="I687">
        <v>5</v>
      </c>
      <c r="J687">
        <v>2</v>
      </c>
      <c r="K687">
        <v>40.6</v>
      </c>
      <c r="L687" t="s">
        <v>123</v>
      </c>
      <c r="M687" t="s">
        <v>118</v>
      </c>
    </row>
    <row r="688" spans="2:13" x14ac:dyDescent="0.2">
      <c r="B688">
        <v>3028</v>
      </c>
      <c r="C688">
        <v>1</v>
      </c>
      <c r="D688">
        <v>18.100000000000001</v>
      </c>
      <c r="E688">
        <v>0.3</v>
      </c>
      <c r="F688">
        <v>0.6</v>
      </c>
      <c r="G688">
        <v>0.6</v>
      </c>
      <c r="H688">
        <v>195</v>
      </c>
      <c r="I688">
        <v>10</v>
      </c>
      <c r="J688">
        <v>2</v>
      </c>
      <c r="K688">
        <v>41</v>
      </c>
      <c r="L688" t="s">
        <v>132</v>
      </c>
      <c r="M688" t="s">
        <v>116</v>
      </c>
    </row>
    <row r="689" spans="2:13" x14ac:dyDescent="0.2">
      <c r="B689">
        <v>3028</v>
      </c>
      <c r="C689">
        <v>2</v>
      </c>
      <c r="D689">
        <v>0</v>
      </c>
      <c r="E689">
        <v>0</v>
      </c>
      <c r="F689">
        <v>0.6</v>
      </c>
      <c r="G689">
        <v>0.6</v>
      </c>
      <c r="H689">
        <v>0</v>
      </c>
      <c r="I689">
        <v>0</v>
      </c>
      <c r="J689">
        <v>0</v>
      </c>
      <c r="K689">
        <v>50</v>
      </c>
      <c r="L689" t="s">
        <v>113</v>
      </c>
      <c r="M689" t="s">
        <v>114</v>
      </c>
    </row>
    <row r="690" spans="2:13" x14ac:dyDescent="0.2">
      <c r="B690">
        <v>3028</v>
      </c>
      <c r="C690">
        <v>2</v>
      </c>
      <c r="D690">
        <v>6</v>
      </c>
      <c r="E690">
        <v>0.1</v>
      </c>
      <c r="F690">
        <v>0.6</v>
      </c>
      <c r="G690">
        <v>0.6</v>
      </c>
      <c r="H690">
        <v>65</v>
      </c>
      <c r="I690">
        <v>0</v>
      </c>
      <c r="J690">
        <v>0</v>
      </c>
      <c r="K690">
        <v>43.8</v>
      </c>
      <c r="L690" t="s">
        <v>115</v>
      </c>
      <c r="M690" t="s">
        <v>116</v>
      </c>
    </row>
    <row r="691" spans="2:13" x14ac:dyDescent="0.2">
      <c r="B691">
        <v>3028</v>
      </c>
      <c r="C691">
        <v>2</v>
      </c>
      <c r="D691">
        <v>7.8</v>
      </c>
      <c r="E691">
        <v>0.13</v>
      </c>
      <c r="F691">
        <v>0.6</v>
      </c>
      <c r="G691">
        <v>0.6</v>
      </c>
      <c r="H691">
        <v>85</v>
      </c>
      <c r="I691">
        <v>3</v>
      </c>
      <c r="J691">
        <v>1</v>
      </c>
      <c r="K691">
        <v>42</v>
      </c>
      <c r="L691" t="s">
        <v>122</v>
      </c>
      <c r="M691" t="s">
        <v>118</v>
      </c>
    </row>
    <row r="692" spans="2:13" x14ac:dyDescent="0.2">
      <c r="B692">
        <v>3028</v>
      </c>
      <c r="C692">
        <v>2</v>
      </c>
      <c r="D692">
        <v>9.1</v>
      </c>
      <c r="E692">
        <v>0.15</v>
      </c>
      <c r="F692">
        <v>0.6</v>
      </c>
      <c r="G692">
        <v>0.6</v>
      </c>
      <c r="H692">
        <v>99</v>
      </c>
      <c r="I692">
        <v>3</v>
      </c>
      <c r="J692">
        <v>2</v>
      </c>
      <c r="K692">
        <v>41.8</v>
      </c>
      <c r="L692" t="s">
        <v>127</v>
      </c>
      <c r="M692" t="s">
        <v>118</v>
      </c>
    </row>
    <row r="693" spans="2:13" x14ac:dyDescent="0.2">
      <c r="B693">
        <v>3028</v>
      </c>
      <c r="C693">
        <v>2</v>
      </c>
      <c r="D693">
        <v>12.1</v>
      </c>
      <c r="E693">
        <v>0.2</v>
      </c>
      <c r="F693">
        <v>0.6</v>
      </c>
      <c r="G693">
        <v>0.45</v>
      </c>
      <c r="H693">
        <v>130</v>
      </c>
      <c r="I693">
        <v>5</v>
      </c>
      <c r="J693">
        <v>2</v>
      </c>
      <c r="K693">
        <v>41.7</v>
      </c>
      <c r="L693" t="s">
        <v>126</v>
      </c>
      <c r="M693" t="s">
        <v>116</v>
      </c>
    </row>
    <row r="694" spans="2:13" x14ac:dyDescent="0.2">
      <c r="B694">
        <v>3028</v>
      </c>
      <c r="C694">
        <v>2</v>
      </c>
      <c r="D694">
        <v>18.100000000000001</v>
      </c>
      <c r="E694">
        <v>0.3</v>
      </c>
      <c r="F694">
        <v>0.45</v>
      </c>
      <c r="G694">
        <v>0.55000000000000004</v>
      </c>
      <c r="H694">
        <v>179</v>
      </c>
      <c r="I694">
        <v>6</v>
      </c>
      <c r="J694">
        <v>2</v>
      </c>
      <c r="K694">
        <v>66.3</v>
      </c>
      <c r="L694" t="s">
        <v>128</v>
      </c>
      <c r="M694" t="s">
        <v>116</v>
      </c>
    </row>
    <row r="695" spans="2:13" x14ac:dyDescent="0.2">
      <c r="B695">
        <v>3028</v>
      </c>
      <c r="C695">
        <v>3</v>
      </c>
      <c r="D695">
        <v>0</v>
      </c>
      <c r="E695">
        <v>0</v>
      </c>
      <c r="F695">
        <v>0.6</v>
      </c>
      <c r="G695">
        <v>0.6</v>
      </c>
      <c r="H695">
        <v>0</v>
      </c>
      <c r="I695">
        <v>0</v>
      </c>
      <c r="J695">
        <v>0</v>
      </c>
      <c r="K695">
        <v>50</v>
      </c>
      <c r="L695" t="s">
        <v>113</v>
      </c>
      <c r="M695" t="s">
        <v>114</v>
      </c>
    </row>
    <row r="696" spans="2:13" x14ac:dyDescent="0.2">
      <c r="B696">
        <v>3028</v>
      </c>
      <c r="C696">
        <v>3</v>
      </c>
      <c r="D696">
        <v>6</v>
      </c>
      <c r="E696">
        <v>0.1</v>
      </c>
      <c r="F696">
        <v>0.6</v>
      </c>
      <c r="G696">
        <v>0.6</v>
      </c>
      <c r="H696">
        <v>65</v>
      </c>
      <c r="I696">
        <v>1</v>
      </c>
      <c r="J696">
        <v>0</v>
      </c>
      <c r="K696">
        <v>39.700000000000003</v>
      </c>
      <c r="L696" t="s">
        <v>115</v>
      </c>
      <c r="M696" t="s">
        <v>116</v>
      </c>
    </row>
    <row r="697" spans="2:13" x14ac:dyDescent="0.2">
      <c r="B697">
        <v>3028</v>
      </c>
      <c r="C697">
        <v>3</v>
      </c>
      <c r="D697">
        <v>12.1</v>
      </c>
      <c r="E697">
        <v>0.2</v>
      </c>
      <c r="F697">
        <v>0.6</v>
      </c>
      <c r="G697">
        <v>0.7</v>
      </c>
      <c r="H697">
        <v>130</v>
      </c>
      <c r="I697">
        <v>7</v>
      </c>
      <c r="J697">
        <v>0</v>
      </c>
      <c r="K697">
        <v>90.2</v>
      </c>
      <c r="L697" t="s">
        <v>128</v>
      </c>
      <c r="M697" t="s">
        <v>116</v>
      </c>
    </row>
    <row r="698" spans="2:13" x14ac:dyDescent="0.2">
      <c r="B698">
        <v>3028</v>
      </c>
      <c r="C698">
        <v>4</v>
      </c>
      <c r="D698">
        <v>0</v>
      </c>
      <c r="E698">
        <v>0</v>
      </c>
      <c r="F698">
        <v>0.6</v>
      </c>
      <c r="G698">
        <v>0.6</v>
      </c>
      <c r="H698">
        <v>0</v>
      </c>
      <c r="I698">
        <v>0</v>
      </c>
      <c r="J698">
        <v>0</v>
      </c>
      <c r="K698">
        <v>50</v>
      </c>
      <c r="L698" t="s">
        <v>113</v>
      </c>
      <c r="M698" t="s">
        <v>114</v>
      </c>
    </row>
    <row r="699" spans="2:13" x14ac:dyDescent="0.2">
      <c r="B699">
        <v>3028</v>
      </c>
      <c r="C699">
        <v>4</v>
      </c>
      <c r="D699">
        <v>6</v>
      </c>
      <c r="E699">
        <v>0.1</v>
      </c>
      <c r="F699">
        <v>0.6</v>
      </c>
      <c r="G699">
        <v>0.6</v>
      </c>
      <c r="H699">
        <v>65</v>
      </c>
      <c r="I699">
        <v>0</v>
      </c>
      <c r="J699">
        <v>0</v>
      </c>
      <c r="K699">
        <v>39.700000000000003</v>
      </c>
      <c r="L699" t="s">
        <v>115</v>
      </c>
      <c r="M699" t="s">
        <v>116</v>
      </c>
    </row>
    <row r="700" spans="2:13" x14ac:dyDescent="0.2">
      <c r="B700">
        <v>3028</v>
      </c>
      <c r="C700">
        <v>4</v>
      </c>
      <c r="D700">
        <v>7.9</v>
      </c>
      <c r="E700">
        <v>0.13</v>
      </c>
      <c r="F700">
        <v>0.6</v>
      </c>
      <c r="G700">
        <v>0.6</v>
      </c>
      <c r="H700">
        <v>86</v>
      </c>
      <c r="I700">
        <v>1</v>
      </c>
      <c r="J700">
        <v>1</v>
      </c>
      <c r="K700">
        <v>39</v>
      </c>
      <c r="L700" t="s">
        <v>117</v>
      </c>
      <c r="M700" t="s">
        <v>118</v>
      </c>
    </row>
    <row r="701" spans="2:13" x14ac:dyDescent="0.2">
      <c r="B701">
        <v>3028</v>
      </c>
      <c r="C701">
        <v>4</v>
      </c>
      <c r="D701">
        <v>12.1</v>
      </c>
      <c r="E701">
        <v>0.2</v>
      </c>
      <c r="F701">
        <v>0.6</v>
      </c>
      <c r="G701">
        <v>0.6</v>
      </c>
      <c r="H701">
        <v>130</v>
      </c>
      <c r="I701">
        <v>5</v>
      </c>
      <c r="J701">
        <v>1</v>
      </c>
      <c r="K701">
        <v>38.6</v>
      </c>
      <c r="L701" t="s">
        <v>132</v>
      </c>
      <c r="M701" t="s">
        <v>116</v>
      </c>
    </row>
    <row r="702" spans="2:13" x14ac:dyDescent="0.2">
      <c r="B702">
        <v>3028</v>
      </c>
      <c r="C702">
        <v>4</v>
      </c>
      <c r="D702">
        <v>12.3</v>
      </c>
      <c r="E702">
        <v>0.2</v>
      </c>
      <c r="F702">
        <v>0.6</v>
      </c>
      <c r="G702">
        <v>0.6</v>
      </c>
      <c r="H702">
        <v>132</v>
      </c>
      <c r="I702">
        <v>5</v>
      </c>
      <c r="J702">
        <v>2</v>
      </c>
      <c r="K702">
        <v>38.799999999999997</v>
      </c>
      <c r="L702" t="s">
        <v>127</v>
      </c>
      <c r="M702" t="s">
        <v>118</v>
      </c>
    </row>
    <row r="703" spans="2:13" x14ac:dyDescent="0.2">
      <c r="B703">
        <v>3028</v>
      </c>
      <c r="C703">
        <v>4</v>
      </c>
      <c r="D703">
        <v>18.100000000000001</v>
      </c>
      <c r="E703">
        <v>0.3</v>
      </c>
      <c r="F703">
        <v>0.6</v>
      </c>
      <c r="G703">
        <v>0.6</v>
      </c>
      <c r="H703">
        <v>195</v>
      </c>
      <c r="I703">
        <v>10</v>
      </c>
      <c r="J703">
        <v>2</v>
      </c>
      <c r="K703">
        <v>65.3</v>
      </c>
      <c r="L703" t="s">
        <v>124</v>
      </c>
      <c r="M703" t="s">
        <v>116</v>
      </c>
    </row>
    <row r="704" spans="2:13" x14ac:dyDescent="0.2">
      <c r="B704">
        <v>3028</v>
      </c>
      <c r="C704">
        <v>5</v>
      </c>
      <c r="D704">
        <v>0</v>
      </c>
      <c r="E704">
        <v>0</v>
      </c>
      <c r="F704">
        <v>0.6</v>
      </c>
      <c r="G704">
        <v>0.6</v>
      </c>
      <c r="H704">
        <v>0</v>
      </c>
      <c r="I704">
        <v>0</v>
      </c>
      <c r="J704">
        <v>0</v>
      </c>
      <c r="K704">
        <v>50</v>
      </c>
      <c r="L704" t="s">
        <v>113</v>
      </c>
      <c r="M704" t="s">
        <v>114</v>
      </c>
    </row>
    <row r="705" spans="2:13" x14ac:dyDescent="0.2">
      <c r="B705">
        <v>3028</v>
      </c>
      <c r="C705">
        <v>5</v>
      </c>
      <c r="D705">
        <v>6</v>
      </c>
      <c r="E705">
        <v>0.1</v>
      </c>
      <c r="F705">
        <v>0.6</v>
      </c>
      <c r="G705">
        <v>0.6</v>
      </c>
      <c r="H705">
        <v>65</v>
      </c>
      <c r="I705">
        <v>0</v>
      </c>
      <c r="J705">
        <v>0</v>
      </c>
      <c r="K705">
        <v>93.8</v>
      </c>
      <c r="L705" t="s">
        <v>115</v>
      </c>
      <c r="M705" t="s">
        <v>116</v>
      </c>
    </row>
    <row r="706" spans="2:13" x14ac:dyDescent="0.2">
      <c r="B706">
        <v>3028</v>
      </c>
      <c r="C706">
        <v>5</v>
      </c>
      <c r="D706">
        <v>12.1</v>
      </c>
      <c r="E706">
        <v>0.2</v>
      </c>
      <c r="F706">
        <v>0.6</v>
      </c>
      <c r="G706">
        <v>0.6</v>
      </c>
      <c r="H706">
        <v>130</v>
      </c>
      <c r="I706">
        <v>5</v>
      </c>
      <c r="J706">
        <v>0</v>
      </c>
      <c r="K706">
        <v>93.2</v>
      </c>
      <c r="L706" t="s">
        <v>115</v>
      </c>
      <c r="M706" t="s">
        <v>116</v>
      </c>
    </row>
    <row r="707" spans="2:13" x14ac:dyDescent="0.2">
      <c r="B707">
        <v>3028</v>
      </c>
      <c r="C707">
        <v>5</v>
      </c>
      <c r="D707">
        <v>14.2</v>
      </c>
      <c r="E707">
        <v>0.24</v>
      </c>
      <c r="F707">
        <v>0.6</v>
      </c>
      <c r="G707">
        <v>0.6</v>
      </c>
      <c r="H707">
        <v>153</v>
      </c>
      <c r="I707">
        <v>6</v>
      </c>
      <c r="J707">
        <v>1</v>
      </c>
      <c r="K707">
        <v>80.8</v>
      </c>
      <c r="L707" t="s">
        <v>117</v>
      </c>
      <c r="M707" t="s">
        <v>118</v>
      </c>
    </row>
    <row r="708" spans="2:13" x14ac:dyDescent="0.2">
      <c r="B708">
        <v>3028</v>
      </c>
      <c r="C708">
        <v>5</v>
      </c>
      <c r="D708">
        <v>14.4</v>
      </c>
      <c r="E708">
        <v>0.24</v>
      </c>
      <c r="F708">
        <v>0.6</v>
      </c>
      <c r="G708">
        <v>0.6</v>
      </c>
      <c r="H708">
        <v>156</v>
      </c>
      <c r="I708">
        <v>6</v>
      </c>
      <c r="J708">
        <v>2</v>
      </c>
      <c r="K708">
        <v>76.599999999999994</v>
      </c>
      <c r="L708" t="s">
        <v>127</v>
      </c>
      <c r="M708" t="s">
        <v>118</v>
      </c>
    </row>
    <row r="709" spans="2:13" x14ac:dyDescent="0.2">
      <c r="B709">
        <v>3028</v>
      </c>
      <c r="C709">
        <v>5</v>
      </c>
      <c r="D709">
        <v>18.100000000000001</v>
      </c>
      <c r="E709">
        <v>0.3</v>
      </c>
      <c r="F709">
        <v>0.6</v>
      </c>
      <c r="G709">
        <v>0.6</v>
      </c>
      <c r="H709">
        <v>195</v>
      </c>
      <c r="I709">
        <v>9</v>
      </c>
      <c r="J709">
        <v>2</v>
      </c>
      <c r="K709">
        <v>76.099999999999994</v>
      </c>
      <c r="L709" t="s">
        <v>121</v>
      </c>
      <c r="M709" t="s">
        <v>116</v>
      </c>
    </row>
    <row r="710" spans="2:13" x14ac:dyDescent="0.2">
      <c r="B710">
        <v>3029</v>
      </c>
      <c r="C710">
        <v>1</v>
      </c>
      <c r="D710">
        <v>0</v>
      </c>
      <c r="E710">
        <v>0</v>
      </c>
      <c r="F710">
        <v>0.6</v>
      </c>
      <c r="G710">
        <v>0.6</v>
      </c>
      <c r="H710">
        <v>0</v>
      </c>
      <c r="I710">
        <v>0</v>
      </c>
      <c r="J710">
        <v>0</v>
      </c>
      <c r="K710">
        <v>50</v>
      </c>
      <c r="L710" t="s">
        <v>113</v>
      </c>
      <c r="M710" t="s">
        <v>114</v>
      </c>
    </row>
    <row r="711" spans="2:13" x14ac:dyDescent="0.2">
      <c r="B711">
        <v>3029</v>
      </c>
      <c r="C711">
        <v>1</v>
      </c>
      <c r="D711">
        <v>6</v>
      </c>
      <c r="E711">
        <v>0.1</v>
      </c>
      <c r="F711">
        <v>0.6</v>
      </c>
      <c r="G711">
        <v>0.7</v>
      </c>
      <c r="H711">
        <v>65</v>
      </c>
      <c r="I711">
        <v>1</v>
      </c>
      <c r="J711">
        <v>0</v>
      </c>
      <c r="K711">
        <v>93.8</v>
      </c>
      <c r="L711" t="s">
        <v>128</v>
      </c>
      <c r="M711" t="s">
        <v>116</v>
      </c>
    </row>
    <row r="712" spans="2:13" x14ac:dyDescent="0.2">
      <c r="B712">
        <v>3029</v>
      </c>
      <c r="C712">
        <v>1</v>
      </c>
      <c r="D712">
        <v>12.1</v>
      </c>
      <c r="E712">
        <v>0.2</v>
      </c>
      <c r="F712">
        <v>0.7</v>
      </c>
      <c r="G712">
        <v>0.8</v>
      </c>
      <c r="H712">
        <v>141</v>
      </c>
      <c r="I712">
        <v>6</v>
      </c>
      <c r="J712">
        <v>0</v>
      </c>
      <c r="K712">
        <v>94.6</v>
      </c>
      <c r="L712" t="s">
        <v>128</v>
      </c>
      <c r="M712" t="s">
        <v>116</v>
      </c>
    </row>
    <row r="713" spans="2:13" x14ac:dyDescent="0.2">
      <c r="B713">
        <v>3029</v>
      </c>
      <c r="C713">
        <v>2</v>
      </c>
      <c r="D713">
        <v>0</v>
      </c>
      <c r="E713">
        <v>0</v>
      </c>
      <c r="F713">
        <v>0.6</v>
      </c>
      <c r="G713">
        <v>0.6</v>
      </c>
      <c r="H713">
        <v>0</v>
      </c>
      <c r="I713">
        <v>0</v>
      </c>
      <c r="J713">
        <v>0</v>
      </c>
      <c r="K713">
        <v>50</v>
      </c>
      <c r="L713" t="s">
        <v>113</v>
      </c>
      <c r="M713" t="s">
        <v>114</v>
      </c>
    </row>
    <row r="714" spans="2:13" x14ac:dyDescent="0.2">
      <c r="B714">
        <v>3029</v>
      </c>
      <c r="C714">
        <v>2</v>
      </c>
      <c r="D714">
        <v>6</v>
      </c>
      <c r="E714">
        <v>0.1</v>
      </c>
      <c r="F714">
        <v>0.6</v>
      </c>
      <c r="G714">
        <v>0.6</v>
      </c>
      <c r="H714">
        <v>65</v>
      </c>
      <c r="I714">
        <v>0</v>
      </c>
      <c r="J714">
        <v>0</v>
      </c>
      <c r="K714">
        <v>44.2</v>
      </c>
      <c r="L714" t="s">
        <v>115</v>
      </c>
      <c r="M714" t="s">
        <v>116</v>
      </c>
    </row>
    <row r="715" spans="2:13" x14ac:dyDescent="0.2">
      <c r="B715">
        <v>3029</v>
      </c>
      <c r="C715">
        <v>2</v>
      </c>
      <c r="D715">
        <v>12.1</v>
      </c>
      <c r="E715">
        <v>0.2</v>
      </c>
      <c r="F715">
        <v>0.6</v>
      </c>
      <c r="G715">
        <v>0.6</v>
      </c>
      <c r="H715">
        <v>130</v>
      </c>
      <c r="I715">
        <v>3</v>
      </c>
      <c r="J715">
        <v>0</v>
      </c>
      <c r="K715">
        <v>95.2</v>
      </c>
      <c r="L715" t="s">
        <v>115</v>
      </c>
      <c r="M715" t="s">
        <v>116</v>
      </c>
    </row>
    <row r="716" spans="2:13" x14ac:dyDescent="0.2">
      <c r="B716">
        <v>3029</v>
      </c>
      <c r="C716">
        <v>2</v>
      </c>
      <c r="D716">
        <v>17.3</v>
      </c>
      <c r="E716">
        <v>0.28999999999999998</v>
      </c>
      <c r="F716">
        <v>0.6</v>
      </c>
      <c r="G716">
        <v>0.6</v>
      </c>
      <c r="H716">
        <v>187</v>
      </c>
      <c r="I716">
        <v>7</v>
      </c>
      <c r="J716">
        <v>1</v>
      </c>
      <c r="K716">
        <v>83.3</v>
      </c>
      <c r="L716" t="s">
        <v>122</v>
      </c>
      <c r="M716" t="s">
        <v>118</v>
      </c>
    </row>
    <row r="717" spans="2:13" x14ac:dyDescent="0.2">
      <c r="B717">
        <v>3029</v>
      </c>
      <c r="C717">
        <v>2</v>
      </c>
      <c r="D717">
        <v>18.100000000000001</v>
      </c>
      <c r="E717">
        <v>0.3</v>
      </c>
      <c r="F717">
        <v>0.6</v>
      </c>
      <c r="G717">
        <v>0.6</v>
      </c>
      <c r="H717">
        <v>195</v>
      </c>
      <c r="I717">
        <v>7</v>
      </c>
      <c r="J717">
        <v>1</v>
      </c>
      <c r="K717">
        <v>83.3</v>
      </c>
      <c r="L717" t="s">
        <v>124</v>
      </c>
      <c r="M717" t="s">
        <v>116</v>
      </c>
    </row>
    <row r="718" spans="2:13" x14ac:dyDescent="0.2">
      <c r="B718">
        <v>3029</v>
      </c>
      <c r="C718">
        <v>3</v>
      </c>
      <c r="D718">
        <v>0</v>
      </c>
      <c r="E718">
        <v>0</v>
      </c>
      <c r="F718">
        <v>0.6</v>
      </c>
      <c r="G718">
        <v>0.6</v>
      </c>
      <c r="H718">
        <v>0</v>
      </c>
      <c r="I718">
        <v>0</v>
      </c>
      <c r="J718">
        <v>0</v>
      </c>
      <c r="K718">
        <v>50</v>
      </c>
      <c r="L718" t="s">
        <v>113</v>
      </c>
      <c r="M718" t="s">
        <v>114</v>
      </c>
    </row>
    <row r="719" spans="2:13" x14ac:dyDescent="0.2">
      <c r="B719">
        <v>3029</v>
      </c>
      <c r="C719">
        <v>3</v>
      </c>
      <c r="D719">
        <v>6</v>
      </c>
      <c r="E719">
        <v>0.1</v>
      </c>
      <c r="F719">
        <v>0.6</v>
      </c>
      <c r="G719">
        <v>0.6</v>
      </c>
      <c r="H719">
        <v>65</v>
      </c>
      <c r="I719">
        <v>0</v>
      </c>
      <c r="J719">
        <v>0</v>
      </c>
      <c r="K719">
        <v>44.6</v>
      </c>
      <c r="L719" t="s">
        <v>115</v>
      </c>
      <c r="M719" t="s">
        <v>116</v>
      </c>
    </row>
    <row r="720" spans="2:13" x14ac:dyDescent="0.2">
      <c r="B720">
        <v>3029</v>
      </c>
      <c r="C720">
        <v>3</v>
      </c>
      <c r="D720">
        <v>12.1</v>
      </c>
      <c r="E720">
        <v>0.2</v>
      </c>
      <c r="F720">
        <v>0.6</v>
      </c>
      <c r="G720">
        <v>0.7</v>
      </c>
      <c r="H720">
        <v>130</v>
      </c>
      <c r="I720">
        <v>6</v>
      </c>
      <c r="J720">
        <v>0</v>
      </c>
      <c r="K720">
        <v>93.2</v>
      </c>
      <c r="L720" t="s">
        <v>128</v>
      </c>
      <c r="M720" t="s">
        <v>116</v>
      </c>
    </row>
    <row r="721" spans="2:13" x14ac:dyDescent="0.2">
      <c r="B721">
        <v>3029</v>
      </c>
      <c r="C721">
        <v>3</v>
      </c>
      <c r="D721">
        <v>16.2</v>
      </c>
      <c r="E721">
        <v>0.27</v>
      </c>
      <c r="F721">
        <v>0.7</v>
      </c>
      <c r="G721">
        <v>0.7</v>
      </c>
      <c r="H721">
        <v>182</v>
      </c>
      <c r="I721">
        <v>11</v>
      </c>
      <c r="J721">
        <v>1</v>
      </c>
      <c r="K721">
        <v>80.7</v>
      </c>
      <c r="L721" t="s">
        <v>129</v>
      </c>
      <c r="M721" t="s">
        <v>118</v>
      </c>
    </row>
    <row r="722" spans="2:13" x14ac:dyDescent="0.2">
      <c r="B722">
        <v>3029</v>
      </c>
      <c r="C722">
        <v>4</v>
      </c>
      <c r="D722">
        <v>0</v>
      </c>
      <c r="E722">
        <v>0</v>
      </c>
      <c r="F722">
        <v>0.6</v>
      </c>
      <c r="G722">
        <v>0.6</v>
      </c>
      <c r="H722">
        <v>0</v>
      </c>
      <c r="I722">
        <v>0</v>
      </c>
      <c r="J722">
        <v>0</v>
      </c>
      <c r="K722">
        <v>50</v>
      </c>
      <c r="L722" t="s">
        <v>113</v>
      </c>
      <c r="M722" t="s">
        <v>114</v>
      </c>
    </row>
    <row r="723" spans="2:13" x14ac:dyDescent="0.2">
      <c r="B723">
        <v>3029</v>
      </c>
      <c r="C723">
        <v>4</v>
      </c>
      <c r="D723">
        <v>6</v>
      </c>
      <c r="E723">
        <v>0.1</v>
      </c>
      <c r="F723">
        <v>0.6</v>
      </c>
      <c r="G723">
        <v>0.6</v>
      </c>
      <c r="H723">
        <v>65</v>
      </c>
      <c r="I723">
        <v>0</v>
      </c>
      <c r="J723">
        <v>0</v>
      </c>
      <c r="K723">
        <v>47.5</v>
      </c>
      <c r="L723" t="s">
        <v>115</v>
      </c>
      <c r="M723" t="s">
        <v>116</v>
      </c>
    </row>
    <row r="724" spans="2:13" x14ac:dyDescent="0.2">
      <c r="B724">
        <v>3029</v>
      </c>
      <c r="C724">
        <v>4</v>
      </c>
      <c r="D724">
        <v>12.1</v>
      </c>
      <c r="E724">
        <v>0.2</v>
      </c>
      <c r="F724">
        <v>0.6</v>
      </c>
      <c r="G724">
        <v>0.6</v>
      </c>
      <c r="H724">
        <v>130</v>
      </c>
      <c r="I724">
        <v>3</v>
      </c>
      <c r="J724">
        <v>0</v>
      </c>
      <c r="K724">
        <v>45.9</v>
      </c>
      <c r="L724" t="s">
        <v>115</v>
      </c>
      <c r="M724" t="s">
        <v>116</v>
      </c>
    </row>
    <row r="725" spans="2:13" x14ac:dyDescent="0.2">
      <c r="B725">
        <v>3029</v>
      </c>
      <c r="C725">
        <v>4</v>
      </c>
      <c r="D725">
        <v>14.2</v>
      </c>
      <c r="E725">
        <v>0.24</v>
      </c>
      <c r="F725">
        <v>0.6</v>
      </c>
      <c r="G725">
        <v>0.6</v>
      </c>
      <c r="H725">
        <v>153</v>
      </c>
      <c r="I725">
        <v>3</v>
      </c>
      <c r="J725">
        <v>1</v>
      </c>
      <c r="K725">
        <v>45.9</v>
      </c>
      <c r="L725" t="s">
        <v>117</v>
      </c>
      <c r="M725" t="s">
        <v>118</v>
      </c>
    </row>
    <row r="726" spans="2:13" x14ac:dyDescent="0.2">
      <c r="B726">
        <v>3029</v>
      </c>
      <c r="C726">
        <v>4</v>
      </c>
      <c r="D726">
        <v>18.100000000000001</v>
      </c>
      <c r="E726">
        <v>0.3</v>
      </c>
      <c r="F726">
        <v>0.6</v>
      </c>
      <c r="G726">
        <v>0.6</v>
      </c>
      <c r="H726">
        <v>195</v>
      </c>
      <c r="I726">
        <v>7</v>
      </c>
      <c r="J726">
        <v>1</v>
      </c>
      <c r="K726">
        <v>79.2</v>
      </c>
      <c r="L726" t="s">
        <v>124</v>
      </c>
      <c r="M726" t="s">
        <v>116</v>
      </c>
    </row>
    <row r="727" spans="2:13" x14ac:dyDescent="0.2">
      <c r="B727">
        <v>3029</v>
      </c>
      <c r="C727">
        <v>5</v>
      </c>
      <c r="D727">
        <v>0</v>
      </c>
      <c r="E727">
        <v>0</v>
      </c>
      <c r="F727">
        <v>0.6</v>
      </c>
      <c r="G727">
        <v>0.6</v>
      </c>
      <c r="H727">
        <v>0</v>
      </c>
      <c r="I727">
        <v>0</v>
      </c>
      <c r="J727">
        <v>0</v>
      </c>
      <c r="K727">
        <v>50</v>
      </c>
      <c r="L727" t="s">
        <v>113</v>
      </c>
      <c r="M727" t="s">
        <v>114</v>
      </c>
    </row>
    <row r="728" spans="2:13" x14ac:dyDescent="0.2">
      <c r="B728">
        <v>3029</v>
      </c>
      <c r="C728">
        <v>5</v>
      </c>
      <c r="D728">
        <v>6</v>
      </c>
      <c r="E728">
        <v>0.1</v>
      </c>
      <c r="F728">
        <v>0.6</v>
      </c>
      <c r="G728">
        <v>0.6</v>
      </c>
      <c r="H728">
        <v>65</v>
      </c>
      <c r="I728">
        <v>0</v>
      </c>
      <c r="J728">
        <v>0</v>
      </c>
      <c r="K728">
        <v>45.5</v>
      </c>
      <c r="L728" t="s">
        <v>115</v>
      </c>
      <c r="M728" t="s">
        <v>116</v>
      </c>
    </row>
    <row r="729" spans="2:13" x14ac:dyDescent="0.2">
      <c r="B729">
        <v>3029</v>
      </c>
      <c r="C729">
        <v>5</v>
      </c>
      <c r="D729">
        <v>12.1</v>
      </c>
      <c r="E729">
        <v>0.2</v>
      </c>
      <c r="F729">
        <v>0.6</v>
      </c>
      <c r="G729">
        <v>0.6</v>
      </c>
      <c r="H729">
        <v>130</v>
      </c>
      <c r="I729">
        <v>6</v>
      </c>
      <c r="J729">
        <v>0</v>
      </c>
      <c r="K729">
        <v>45.9</v>
      </c>
      <c r="L729" t="s">
        <v>115</v>
      </c>
      <c r="M729" t="s">
        <v>116</v>
      </c>
    </row>
    <row r="730" spans="2:13" x14ac:dyDescent="0.2">
      <c r="B730">
        <v>3029</v>
      </c>
      <c r="C730">
        <v>5</v>
      </c>
      <c r="D730">
        <v>18.100000000000001</v>
      </c>
      <c r="E730">
        <v>0.3</v>
      </c>
      <c r="F730">
        <v>0.6</v>
      </c>
      <c r="G730">
        <v>0.6</v>
      </c>
      <c r="H730">
        <v>195</v>
      </c>
      <c r="I730">
        <v>10</v>
      </c>
      <c r="J730">
        <v>0</v>
      </c>
      <c r="K730">
        <v>45.3</v>
      </c>
      <c r="L730" t="s">
        <v>115</v>
      </c>
      <c r="M730" t="s">
        <v>116</v>
      </c>
    </row>
    <row r="731" spans="2:13" x14ac:dyDescent="0.2">
      <c r="B731">
        <v>3030</v>
      </c>
      <c r="C731">
        <v>1</v>
      </c>
      <c r="D731">
        <v>0</v>
      </c>
      <c r="E731">
        <v>0</v>
      </c>
      <c r="F731">
        <v>0.6</v>
      </c>
      <c r="G731">
        <v>0.6</v>
      </c>
      <c r="H731">
        <v>0</v>
      </c>
      <c r="I731">
        <v>0</v>
      </c>
      <c r="J731">
        <v>0</v>
      </c>
      <c r="K731">
        <v>50</v>
      </c>
      <c r="L731" t="s">
        <v>113</v>
      </c>
      <c r="M731" t="s">
        <v>114</v>
      </c>
    </row>
    <row r="732" spans="2:13" x14ac:dyDescent="0.2">
      <c r="B732">
        <v>3030</v>
      </c>
      <c r="C732">
        <v>1</v>
      </c>
      <c r="D732">
        <v>6</v>
      </c>
      <c r="E732">
        <v>0.1</v>
      </c>
      <c r="F732">
        <v>0.6</v>
      </c>
      <c r="G732">
        <v>0.6</v>
      </c>
      <c r="H732">
        <v>65</v>
      </c>
      <c r="I732">
        <v>0</v>
      </c>
      <c r="J732">
        <v>0</v>
      </c>
      <c r="K732">
        <v>90.5</v>
      </c>
      <c r="L732" t="s">
        <v>115</v>
      </c>
      <c r="M732" t="s">
        <v>116</v>
      </c>
    </row>
    <row r="733" spans="2:13" x14ac:dyDescent="0.2">
      <c r="B733">
        <v>3030</v>
      </c>
      <c r="C733">
        <v>1</v>
      </c>
      <c r="D733">
        <v>12.1</v>
      </c>
      <c r="E733">
        <v>0.2</v>
      </c>
      <c r="F733">
        <v>0.6</v>
      </c>
      <c r="G733">
        <v>0.7</v>
      </c>
      <c r="H733">
        <v>130</v>
      </c>
      <c r="I733">
        <v>4</v>
      </c>
      <c r="J733">
        <v>0</v>
      </c>
      <c r="K733">
        <v>90.9</v>
      </c>
      <c r="L733" t="s">
        <v>128</v>
      </c>
      <c r="M733" t="s">
        <v>116</v>
      </c>
    </row>
    <row r="734" spans="2:13" x14ac:dyDescent="0.2">
      <c r="B734">
        <v>3030</v>
      </c>
      <c r="C734">
        <v>2</v>
      </c>
      <c r="D734">
        <v>0</v>
      </c>
      <c r="E734">
        <v>0</v>
      </c>
      <c r="F734">
        <v>0.6</v>
      </c>
      <c r="G734">
        <v>0.6</v>
      </c>
      <c r="H734">
        <v>0</v>
      </c>
      <c r="I734">
        <v>0</v>
      </c>
      <c r="J734">
        <v>0</v>
      </c>
      <c r="K734">
        <v>50</v>
      </c>
      <c r="L734" t="s">
        <v>113</v>
      </c>
      <c r="M734" t="s">
        <v>114</v>
      </c>
    </row>
    <row r="735" spans="2:13" x14ac:dyDescent="0.2">
      <c r="B735">
        <v>3030</v>
      </c>
      <c r="C735">
        <v>2</v>
      </c>
      <c r="D735">
        <v>6</v>
      </c>
      <c r="E735">
        <v>0.1</v>
      </c>
      <c r="F735">
        <v>0.6</v>
      </c>
      <c r="G735">
        <v>0.6</v>
      </c>
      <c r="H735">
        <v>65</v>
      </c>
      <c r="I735">
        <v>0</v>
      </c>
      <c r="J735">
        <v>0</v>
      </c>
      <c r="K735">
        <v>41.3</v>
      </c>
      <c r="L735" t="s">
        <v>115</v>
      </c>
      <c r="M735" t="s">
        <v>116</v>
      </c>
    </row>
    <row r="736" spans="2:13" x14ac:dyDescent="0.2">
      <c r="B736">
        <v>3030</v>
      </c>
      <c r="C736">
        <v>2</v>
      </c>
      <c r="D736">
        <v>9.1</v>
      </c>
      <c r="E736">
        <v>0.15</v>
      </c>
      <c r="F736">
        <v>0.6</v>
      </c>
      <c r="G736">
        <v>0.6</v>
      </c>
      <c r="H736">
        <v>99</v>
      </c>
      <c r="I736">
        <v>3</v>
      </c>
      <c r="J736">
        <v>1</v>
      </c>
      <c r="K736">
        <v>42.6</v>
      </c>
      <c r="L736" t="s">
        <v>122</v>
      </c>
      <c r="M736" t="s">
        <v>118</v>
      </c>
    </row>
    <row r="737" spans="2:13" x14ac:dyDescent="0.2">
      <c r="B737">
        <v>3030</v>
      </c>
      <c r="C737">
        <v>2</v>
      </c>
      <c r="D737">
        <v>12.1</v>
      </c>
      <c r="E737">
        <v>0.2</v>
      </c>
      <c r="F737">
        <v>0.6</v>
      </c>
      <c r="G737">
        <v>0.6</v>
      </c>
      <c r="H737">
        <v>130</v>
      </c>
      <c r="I737">
        <v>3</v>
      </c>
      <c r="J737">
        <v>1</v>
      </c>
      <c r="K737">
        <v>42.5</v>
      </c>
      <c r="L737" t="s">
        <v>132</v>
      </c>
      <c r="M737" t="s">
        <v>116</v>
      </c>
    </row>
    <row r="738" spans="2:13" x14ac:dyDescent="0.2">
      <c r="B738">
        <v>3030</v>
      </c>
      <c r="C738">
        <v>2</v>
      </c>
      <c r="D738">
        <v>16.399999999999999</v>
      </c>
      <c r="E738">
        <v>0.27</v>
      </c>
      <c r="F738">
        <v>0.6</v>
      </c>
      <c r="G738">
        <v>0.6</v>
      </c>
      <c r="H738">
        <v>177</v>
      </c>
      <c r="I738">
        <v>5</v>
      </c>
      <c r="J738">
        <v>2</v>
      </c>
      <c r="K738">
        <v>60</v>
      </c>
      <c r="L738" t="s">
        <v>119</v>
      </c>
      <c r="M738" t="s">
        <v>118</v>
      </c>
    </row>
    <row r="739" spans="2:13" x14ac:dyDescent="0.2">
      <c r="B739">
        <v>3030</v>
      </c>
      <c r="C739">
        <v>2</v>
      </c>
      <c r="D739">
        <v>16.600000000000001</v>
      </c>
      <c r="E739">
        <v>0.28000000000000003</v>
      </c>
      <c r="F739">
        <v>0.6</v>
      </c>
      <c r="G739">
        <v>0.6</v>
      </c>
      <c r="H739">
        <v>179</v>
      </c>
      <c r="I739">
        <v>5</v>
      </c>
      <c r="J739">
        <v>3</v>
      </c>
      <c r="K739">
        <v>55.6</v>
      </c>
      <c r="L739" t="s">
        <v>125</v>
      </c>
      <c r="M739" t="s">
        <v>118</v>
      </c>
    </row>
    <row r="740" spans="2:13" x14ac:dyDescent="0.2">
      <c r="B740">
        <v>3030</v>
      </c>
      <c r="C740">
        <v>2</v>
      </c>
      <c r="D740">
        <v>18.100000000000001</v>
      </c>
      <c r="E740">
        <v>0.3</v>
      </c>
      <c r="F740">
        <v>0.6</v>
      </c>
      <c r="G740">
        <v>0.45</v>
      </c>
      <c r="H740">
        <v>195</v>
      </c>
      <c r="I740">
        <v>6</v>
      </c>
      <c r="J740">
        <v>3</v>
      </c>
      <c r="K740">
        <v>55.7</v>
      </c>
      <c r="L740" t="s">
        <v>120</v>
      </c>
      <c r="M740" t="s">
        <v>116</v>
      </c>
    </row>
    <row r="741" spans="2:13" x14ac:dyDescent="0.2">
      <c r="B741">
        <v>3030</v>
      </c>
      <c r="C741">
        <v>3</v>
      </c>
      <c r="D741">
        <v>0</v>
      </c>
      <c r="E741">
        <v>0</v>
      </c>
      <c r="F741">
        <v>0.6</v>
      </c>
      <c r="G741">
        <v>0.6</v>
      </c>
      <c r="H741">
        <v>0</v>
      </c>
      <c r="I741">
        <v>0</v>
      </c>
      <c r="J741">
        <v>0</v>
      </c>
      <c r="K741">
        <v>50</v>
      </c>
      <c r="L741" t="s">
        <v>113</v>
      </c>
      <c r="M741" t="s">
        <v>114</v>
      </c>
    </row>
    <row r="742" spans="2:13" x14ac:dyDescent="0.2">
      <c r="B742">
        <v>3030</v>
      </c>
      <c r="C742">
        <v>3</v>
      </c>
      <c r="D742">
        <v>6</v>
      </c>
      <c r="E742">
        <v>0.1</v>
      </c>
      <c r="F742">
        <v>0.6</v>
      </c>
      <c r="G742">
        <v>0.6</v>
      </c>
      <c r="H742">
        <v>65</v>
      </c>
      <c r="I742">
        <v>0</v>
      </c>
      <c r="J742">
        <v>0</v>
      </c>
      <c r="K742">
        <v>45.9</v>
      </c>
      <c r="L742" t="s">
        <v>115</v>
      </c>
      <c r="M742" t="s">
        <v>116</v>
      </c>
    </row>
    <row r="743" spans="2:13" x14ac:dyDescent="0.2">
      <c r="B743">
        <v>3030</v>
      </c>
      <c r="C743">
        <v>3</v>
      </c>
      <c r="D743">
        <v>12.1</v>
      </c>
      <c r="E743">
        <v>0.2</v>
      </c>
      <c r="F743">
        <v>0.6</v>
      </c>
      <c r="G743">
        <v>0.7</v>
      </c>
      <c r="H743">
        <v>130</v>
      </c>
      <c r="I743">
        <v>8</v>
      </c>
      <c r="J743">
        <v>0</v>
      </c>
      <c r="K743">
        <v>95</v>
      </c>
      <c r="L743" t="s">
        <v>128</v>
      </c>
      <c r="M743" t="s">
        <v>116</v>
      </c>
    </row>
    <row r="744" spans="2:13" x14ac:dyDescent="0.2">
      <c r="B744">
        <v>3030</v>
      </c>
      <c r="C744">
        <v>3</v>
      </c>
      <c r="D744">
        <v>12.3</v>
      </c>
      <c r="E744">
        <v>0.21</v>
      </c>
      <c r="F744">
        <v>0.7</v>
      </c>
      <c r="G744">
        <v>0.7</v>
      </c>
      <c r="H744">
        <v>133</v>
      </c>
      <c r="I744">
        <v>8</v>
      </c>
      <c r="J744">
        <v>1</v>
      </c>
      <c r="K744">
        <v>84.9</v>
      </c>
      <c r="L744" t="s">
        <v>117</v>
      </c>
      <c r="M744" t="s">
        <v>118</v>
      </c>
    </row>
    <row r="745" spans="2:13" x14ac:dyDescent="0.2">
      <c r="B745">
        <v>3030</v>
      </c>
      <c r="C745">
        <v>4</v>
      </c>
      <c r="D745">
        <v>0</v>
      </c>
      <c r="E745">
        <v>0</v>
      </c>
      <c r="F745">
        <v>0.6</v>
      </c>
      <c r="G745">
        <v>0.6</v>
      </c>
      <c r="H745">
        <v>0</v>
      </c>
      <c r="I745">
        <v>0</v>
      </c>
      <c r="J745">
        <v>0</v>
      </c>
      <c r="K745">
        <v>50</v>
      </c>
      <c r="L745" t="s">
        <v>113</v>
      </c>
      <c r="M745" t="s">
        <v>114</v>
      </c>
    </row>
    <row r="746" spans="2:13" x14ac:dyDescent="0.2">
      <c r="B746">
        <v>3030</v>
      </c>
      <c r="C746">
        <v>4</v>
      </c>
      <c r="D746">
        <v>6</v>
      </c>
      <c r="E746">
        <v>0.1</v>
      </c>
      <c r="F746">
        <v>0.6</v>
      </c>
      <c r="G746">
        <v>0.6</v>
      </c>
      <c r="H746">
        <v>65</v>
      </c>
      <c r="I746">
        <v>0</v>
      </c>
      <c r="J746">
        <v>0</v>
      </c>
      <c r="K746">
        <v>41.7</v>
      </c>
      <c r="L746" t="s">
        <v>115</v>
      </c>
      <c r="M746" t="s">
        <v>116</v>
      </c>
    </row>
    <row r="747" spans="2:13" x14ac:dyDescent="0.2">
      <c r="B747">
        <v>3030</v>
      </c>
      <c r="C747">
        <v>4</v>
      </c>
      <c r="D747">
        <v>6.4</v>
      </c>
      <c r="E747">
        <v>0.11</v>
      </c>
      <c r="F747">
        <v>0.6</v>
      </c>
      <c r="G747">
        <v>0.6</v>
      </c>
      <c r="H747">
        <v>70</v>
      </c>
      <c r="I747">
        <v>0</v>
      </c>
      <c r="J747">
        <v>1</v>
      </c>
      <c r="K747">
        <v>41.9</v>
      </c>
      <c r="L747" t="s">
        <v>122</v>
      </c>
      <c r="M747" t="s">
        <v>118</v>
      </c>
    </row>
    <row r="748" spans="2:13" x14ac:dyDescent="0.2">
      <c r="B748">
        <v>3030</v>
      </c>
      <c r="C748">
        <v>4</v>
      </c>
      <c r="D748">
        <v>9.5</v>
      </c>
      <c r="E748">
        <v>0.16</v>
      </c>
      <c r="F748">
        <v>0.6</v>
      </c>
      <c r="G748">
        <v>0.6</v>
      </c>
      <c r="H748">
        <v>103</v>
      </c>
      <c r="I748">
        <v>2</v>
      </c>
      <c r="J748">
        <v>2</v>
      </c>
      <c r="K748">
        <v>42.9</v>
      </c>
      <c r="L748" t="s">
        <v>119</v>
      </c>
      <c r="M748" t="s">
        <v>118</v>
      </c>
    </row>
    <row r="749" spans="2:13" x14ac:dyDescent="0.2">
      <c r="B749">
        <v>3030</v>
      </c>
      <c r="C749">
        <v>4</v>
      </c>
      <c r="D749">
        <v>12.1</v>
      </c>
      <c r="E749">
        <v>0.2</v>
      </c>
      <c r="F749">
        <v>0.6</v>
      </c>
      <c r="G749">
        <v>0.45</v>
      </c>
      <c r="H749">
        <v>130</v>
      </c>
      <c r="I749">
        <v>3</v>
      </c>
      <c r="J749">
        <v>2</v>
      </c>
      <c r="K749">
        <v>42.3</v>
      </c>
      <c r="L749" t="s">
        <v>126</v>
      </c>
      <c r="M749" t="s">
        <v>116</v>
      </c>
    </row>
    <row r="750" spans="2:13" x14ac:dyDescent="0.2">
      <c r="B750">
        <v>3030</v>
      </c>
      <c r="C750">
        <v>4</v>
      </c>
      <c r="D750">
        <v>18.100000000000001</v>
      </c>
      <c r="E750">
        <v>0.3</v>
      </c>
      <c r="F750">
        <v>0.45</v>
      </c>
      <c r="G750">
        <v>0.45</v>
      </c>
      <c r="H750">
        <v>179</v>
      </c>
      <c r="I750">
        <v>5</v>
      </c>
      <c r="J750">
        <v>2</v>
      </c>
      <c r="K750">
        <v>59</v>
      </c>
      <c r="L750" t="s">
        <v>115</v>
      </c>
      <c r="M750" t="s">
        <v>116</v>
      </c>
    </row>
    <row r="751" spans="2:13" x14ac:dyDescent="0.2">
      <c r="B751">
        <v>3030</v>
      </c>
      <c r="C751">
        <v>5</v>
      </c>
      <c r="D751">
        <v>0</v>
      </c>
      <c r="E751">
        <v>0</v>
      </c>
      <c r="F751">
        <v>0.6</v>
      </c>
      <c r="G751">
        <v>0.6</v>
      </c>
      <c r="H751">
        <v>0</v>
      </c>
      <c r="I751">
        <v>0</v>
      </c>
      <c r="J751">
        <v>0</v>
      </c>
      <c r="K751">
        <v>50</v>
      </c>
      <c r="L751" t="s">
        <v>113</v>
      </c>
      <c r="M751" t="s">
        <v>114</v>
      </c>
    </row>
    <row r="752" spans="2:13" x14ac:dyDescent="0.2">
      <c r="B752">
        <v>3030</v>
      </c>
      <c r="C752">
        <v>5</v>
      </c>
      <c r="D752">
        <v>6</v>
      </c>
      <c r="E752">
        <v>0.1</v>
      </c>
      <c r="F752">
        <v>0.6</v>
      </c>
      <c r="G752">
        <v>0.6</v>
      </c>
      <c r="H752">
        <v>65</v>
      </c>
      <c r="I752">
        <v>2</v>
      </c>
      <c r="J752">
        <v>0</v>
      </c>
      <c r="K752">
        <v>41.7</v>
      </c>
      <c r="L752" t="s">
        <v>115</v>
      </c>
      <c r="M752" t="s">
        <v>116</v>
      </c>
    </row>
    <row r="753" spans="2:13" x14ac:dyDescent="0.2">
      <c r="B753">
        <v>3030</v>
      </c>
      <c r="C753">
        <v>5</v>
      </c>
      <c r="D753">
        <v>12.1</v>
      </c>
      <c r="E753">
        <v>0.2</v>
      </c>
      <c r="F753">
        <v>0.6</v>
      </c>
      <c r="G753">
        <v>0.6</v>
      </c>
      <c r="H753">
        <v>130</v>
      </c>
      <c r="I753">
        <v>6</v>
      </c>
      <c r="J753">
        <v>0</v>
      </c>
      <c r="K753">
        <v>92.9</v>
      </c>
      <c r="L753" t="s">
        <v>115</v>
      </c>
      <c r="M753" t="s">
        <v>116</v>
      </c>
    </row>
    <row r="754" spans="2:13" x14ac:dyDescent="0.2">
      <c r="B754">
        <v>3030</v>
      </c>
      <c r="C754">
        <v>5</v>
      </c>
      <c r="D754">
        <v>12.6</v>
      </c>
      <c r="E754">
        <v>0.21</v>
      </c>
      <c r="F754">
        <v>0.6</v>
      </c>
      <c r="G754">
        <v>0.6</v>
      </c>
      <c r="H754">
        <v>136</v>
      </c>
      <c r="I754">
        <v>7</v>
      </c>
      <c r="J754">
        <v>1</v>
      </c>
      <c r="K754">
        <v>67.8</v>
      </c>
      <c r="L754" t="s">
        <v>129</v>
      </c>
      <c r="M754" t="s">
        <v>118</v>
      </c>
    </row>
    <row r="755" spans="2:13" x14ac:dyDescent="0.2">
      <c r="B755">
        <v>3030</v>
      </c>
      <c r="C755">
        <v>5</v>
      </c>
      <c r="D755">
        <v>18.100000000000001</v>
      </c>
      <c r="E755">
        <v>0.3</v>
      </c>
      <c r="F755">
        <v>0.6</v>
      </c>
      <c r="G755">
        <v>0.6</v>
      </c>
      <c r="H755">
        <v>195</v>
      </c>
      <c r="I755">
        <v>11</v>
      </c>
      <c r="J755">
        <v>1</v>
      </c>
      <c r="K755">
        <v>81.8</v>
      </c>
      <c r="L755" t="s">
        <v>124</v>
      </c>
      <c r="M755" t="s">
        <v>116</v>
      </c>
    </row>
    <row r="756" spans="2:13" x14ac:dyDescent="0.2">
      <c r="B756">
        <v>3031</v>
      </c>
      <c r="C756">
        <v>1</v>
      </c>
      <c r="D756">
        <v>0</v>
      </c>
      <c r="E756">
        <v>0</v>
      </c>
      <c r="F756">
        <v>0.6</v>
      </c>
      <c r="G756">
        <v>0.6</v>
      </c>
      <c r="H756">
        <v>0</v>
      </c>
      <c r="I756">
        <v>0</v>
      </c>
      <c r="J756">
        <v>0</v>
      </c>
      <c r="K756">
        <v>50</v>
      </c>
      <c r="L756" t="s">
        <v>113</v>
      </c>
      <c r="M756" t="s">
        <v>114</v>
      </c>
    </row>
    <row r="757" spans="2:13" x14ac:dyDescent="0.2">
      <c r="B757">
        <v>3031</v>
      </c>
      <c r="C757">
        <v>1</v>
      </c>
      <c r="D757">
        <v>6</v>
      </c>
      <c r="E757">
        <v>0.1</v>
      </c>
      <c r="F757">
        <v>0.6</v>
      </c>
      <c r="G757">
        <v>0.6</v>
      </c>
      <c r="H757">
        <v>65</v>
      </c>
      <c r="I757">
        <v>0</v>
      </c>
      <c r="J757">
        <v>0</v>
      </c>
      <c r="K757">
        <v>39.700000000000003</v>
      </c>
      <c r="L757" t="s">
        <v>115</v>
      </c>
      <c r="M757" t="s">
        <v>116</v>
      </c>
    </row>
    <row r="758" spans="2:13" x14ac:dyDescent="0.2">
      <c r="B758">
        <v>3031</v>
      </c>
      <c r="C758">
        <v>1</v>
      </c>
      <c r="D758">
        <v>12.1</v>
      </c>
      <c r="E758">
        <v>0.2</v>
      </c>
      <c r="F758">
        <v>0.6</v>
      </c>
      <c r="G758">
        <v>0.7</v>
      </c>
      <c r="H758">
        <v>130</v>
      </c>
      <c r="I758">
        <v>5</v>
      </c>
      <c r="J758">
        <v>0</v>
      </c>
      <c r="K758">
        <v>91.3</v>
      </c>
      <c r="L758" t="s">
        <v>128</v>
      </c>
      <c r="M758" t="s">
        <v>116</v>
      </c>
    </row>
    <row r="759" spans="2:13" x14ac:dyDescent="0.2">
      <c r="B759">
        <v>3031</v>
      </c>
      <c r="C759">
        <v>1</v>
      </c>
      <c r="D759">
        <v>13.8</v>
      </c>
      <c r="E759">
        <v>0.23</v>
      </c>
      <c r="F759">
        <v>0.7</v>
      </c>
      <c r="G759">
        <v>0.7</v>
      </c>
      <c r="H759">
        <v>152</v>
      </c>
      <c r="I759">
        <v>6</v>
      </c>
      <c r="J759">
        <v>1</v>
      </c>
      <c r="K759">
        <v>79.3</v>
      </c>
      <c r="L759" t="s">
        <v>117</v>
      </c>
      <c r="M759" t="s">
        <v>118</v>
      </c>
    </row>
    <row r="760" spans="2:13" x14ac:dyDescent="0.2">
      <c r="B760">
        <v>3031</v>
      </c>
      <c r="C760">
        <v>2</v>
      </c>
      <c r="D760">
        <v>0</v>
      </c>
      <c r="E760">
        <v>0</v>
      </c>
      <c r="F760">
        <v>0.6</v>
      </c>
      <c r="G760">
        <v>0.6</v>
      </c>
      <c r="H760">
        <v>0</v>
      </c>
      <c r="I760">
        <v>0</v>
      </c>
      <c r="J760">
        <v>0</v>
      </c>
      <c r="K760">
        <v>50</v>
      </c>
      <c r="L760" t="s">
        <v>113</v>
      </c>
      <c r="M760" t="s">
        <v>114</v>
      </c>
    </row>
    <row r="761" spans="2:13" x14ac:dyDescent="0.2">
      <c r="B761">
        <v>3031</v>
      </c>
      <c r="C761">
        <v>2</v>
      </c>
      <c r="D761">
        <v>6</v>
      </c>
      <c r="E761">
        <v>0.1</v>
      </c>
      <c r="F761">
        <v>0.6</v>
      </c>
      <c r="G761">
        <v>0.6</v>
      </c>
      <c r="H761">
        <v>65</v>
      </c>
      <c r="I761">
        <v>0</v>
      </c>
      <c r="J761">
        <v>0</v>
      </c>
      <c r="K761">
        <v>43.4</v>
      </c>
      <c r="L761" t="s">
        <v>115</v>
      </c>
      <c r="M761" t="s">
        <v>116</v>
      </c>
    </row>
    <row r="762" spans="2:13" x14ac:dyDescent="0.2">
      <c r="B762">
        <v>3031</v>
      </c>
      <c r="C762">
        <v>2</v>
      </c>
      <c r="D762">
        <v>12.1</v>
      </c>
      <c r="E762">
        <v>0.2</v>
      </c>
      <c r="F762">
        <v>0.6</v>
      </c>
      <c r="G762">
        <v>0.6</v>
      </c>
      <c r="H762">
        <v>130</v>
      </c>
      <c r="I762">
        <v>5</v>
      </c>
      <c r="J762">
        <v>0</v>
      </c>
      <c r="K762">
        <v>93.2</v>
      </c>
      <c r="L762" t="s">
        <v>115</v>
      </c>
      <c r="M762" t="s">
        <v>116</v>
      </c>
    </row>
    <row r="763" spans="2:13" x14ac:dyDescent="0.2">
      <c r="B763">
        <v>3031</v>
      </c>
      <c r="C763">
        <v>2</v>
      </c>
      <c r="D763">
        <v>16</v>
      </c>
      <c r="E763">
        <v>0.27</v>
      </c>
      <c r="F763">
        <v>0.6</v>
      </c>
      <c r="G763">
        <v>0.6</v>
      </c>
      <c r="H763">
        <v>172</v>
      </c>
      <c r="I763">
        <v>5</v>
      </c>
      <c r="J763">
        <v>1</v>
      </c>
      <c r="K763">
        <v>68.099999999999994</v>
      </c>
      <c r="L763" t="s">
        <v>142</v>
      </c>
      <c r="M763" t="s">
        <v>118</v>
      </c>
    </row>
    <row r="764" spans="2:13" x14ac:dyDescent="0.2">
      <c r="B764">
        <v>3031</v>
      </c>
      <c r="C764">
        <v>2</v>
      </c>
      <c r="D764">
        <v>18.100000000000001</v>
      </c>
      <c r="E764">
        <v>0.3</v>
      </c>
      <c r="F764">
        <v>0.6</v>
      </c>
      <c r="G764">
        <v>0.6</v>
      </c>
      <c r="H764">
        <v>195</v>
      </c>
      <c r="I764">
        <v>6</v>
      </c>
      <c r="J764">
        <v>1</v>
      </c>
      <c r="K764">
        <v>76.8</v>
      </c>
      <c r="L764" t="s">
        <v>121</v>
      </c>
      <c r="M764" t="s">
        <v>116</v>
      </c>
    </row>
    <row r="765" spans="2:13" x14ac:dyDescent="0.2">
      <c r="B765">
        <v>3031</v>
      </c>
      <c r="C765">
        <v>3</v>
      </c>
      <c r="D765">
        <v>0</v>
      </c>
      <c r="E765">
        <v>0</v>
      </c>
      <c r="F765">
        <v>0.6</v>
      </c>
      <c r="G765">
        <v>0.6</v>
      </c>
      <c r="H765">
        <v>0</v>
      </c>
      <c r="I765">
        <v>0</v>
      </c>
      <c r="J765">
        <v>0</v>
      </c>
      <c r="K765">
        <v>50</v>
      </c>
      <c r="L765" t="s">
        <v>113</v>
      </c>
      <c r="M765" t="s">
        <v>114</v>
      </c>
    </row>
    <row r="766" spans="2:13" x14ac:dyDescent="0.2">
      <c r="B766">
        <v>3031</v>
      </c>
      <c r="C766">
        <v>3</v>
      </c>
      <c r="D766">
        <v>6</v>
      </c>
      <c r="E766">
        <v>0.1</v>
      </c>
      <c r="F766">
        <v>0.6</v>
      </c>
      <c r="G766">
        <v>0.6</v>
      </c>
      <c r="H766">
        <v>65</v>
      </c>
      <c r="I766">
        <v>0</v>
      </c>
      <c r="J766">
        <v>0</v>
      </c>
      <c r="K766">
        <v>42.6</v>
      </c>
      <c r="L766" t="s">
        <v>115</v>
      </c>
      <c r="M766" t="s">
        <v>116</v>
      </c>
    </row>
    <row r="767" spans="2:13" x14ac:dyDescent="0.2">
      <c r="B767">
        <v>3031</v>
      </c>
      <c r="C767">
        <v>3</v>
      </c>
      <c r="D767">
        <v>12.1</v>
      </c>
      <c r="E767">
        <v>0.2</v>
      </c>
      <c r="F767">
        <v>0.6</v>
      </c>
      <c r="G767">
        <v>0.6</v>
      </c>
      <c r="H767">
        <v>130</v>
      </c>
      <c r="I767">
        <v>2</v>
      </c>
      <c r="J767">
        <v>0</v>
      </c>
      <c r="K767">
        <v>42.3</v>
      </c>
      <c r="L767" t="s">
        <v>115</v>
      </c>
      <c r="M767" t="s">
        <v>116</v>
      </c>
    </row>
    <row r="768" spans="2:13" x14ac:dyDescent="0.2">
      <c r="B768">
        <v>3031</v>
      </c>
      <c r="C768">
        <v>3</v>
      </c>
      <c r="D768">
        <v>18.100000000000001</v>
      </c>
      <c r="E768">
        <v>0.3</v>
      </c>
      <c r="F768">
        <v>0.6</v>
      </c>
      <c r="G768">
        <v>0.7</v>
      </c>
      <c r="H768">
        <v>195</v>
      </c>
      <c r="I768">
        <v>6</v>
      </c>
      <c r="J768">
        <v>0</v>
      </c>
      <c r="K768">
        <v>92.7</v>
      </c>
      <c r="L768" t="s">
        <v>128</v>
      </c>
      <c r="M768" t="s">
        <v>116</v>
      </c>
    </row>
    <row r="769" spans="2:13" x14ac:dyDescent="0.2">
      <c r="B769">
        <v>3031</v>
      </c>
      <c r="C769">
        <v>4</v>
      </c>
      <c r="D769">
        <v>0</v>
      </c>
      <c r="E769">
        <v>0</v>
      </c>
      <c r="F769">
        <v>0.6</v>
      </c>
      <c r="G769">
        <v>0.6</v>
      </c>
      <c r="H769">
        <v>0</v>
      </c>
      <c r="I769">
        <v>0</v>
      </c>
      <c r="J769">
        <v>0</v>
      </c>
      <c r="K769">
        <v>50</v>
      </c>
      <c r="L769" t="s">
        <v>113</v>
      </c>
      <c r="M769" t="s">
        <v>114</v>
      </c>
    </row>
    <row r="770" spans="2:13" x14ac:dyDescent="0.2">
      <c r="B770">
        <v>3031</v>
      </c>
      <c r="C770">
        <v>4</v>
      </c>
      <c r="D770">
        <v>6</v>
      </c>
      <c r="E770">
        <v>0.1</v>
      </c>
      <c r="F770">
        <v>0.6</v>
      </c>
      <c r="G770">
        <v>0.6</v>
      </c>
      <c r="H770">
        <v>65</v>
      </c>
      <c r="I770">
        <v>1</v>
      </c>
      <c r="J770">
        <v>0</v>
      </c>
      <c r="K770">
        <v>41.7</v>
      </c>
      <c r="L770" t="s">
        <v>115</v>
      </c>
      <c r="M770" t="s">
        <v>116</v>
      </c>
    </row>
    <row r="771" spans="2:13" x14ac:dyDescent="0.2">
      <c r="B771">
        <v>3031</v>
      </c>
      <c r="C771">
        <v>4</v>
      </c>
      <c r="D771">
        <v>12.1</v>
      </c>
      <c r="E771">
        <v>0.2</v>
      </c>
      <c r="F771">
        <v>0.6</v>
      </c>
      <c r="G771">
        <v>0.7</v>
      </c>
      <c r="H771">
        <v>130</v>
      </c>
      <c r="I771">
        <v>3</v>
      </c>
      <c r="J771">
        <v>0</v>
      </c>
      <c r="K771">
        <v>93.2</v>
      </c>
      <c r="L771" t="s">
        <v>128</v>
      </c>
      <c r="M771" t="s">
        <v>116</v>
      </c>
    </row>
    <row r="772" spans="2:13" x14ac:dyDescent="0.2">
      <c r="B772">
        <v>3031</v>
      </c>
      <c r="C772">
        <v>4</v>
      </c>
      <c r="D772">
        <v>13.2</v>
      </c>
      <c r="E772">
        <v>0.22</v>
      </c>
      <c r="F772">
        <v>0.7</v>
      </c>
      <c r="G772">
        <v>0.7</v>
      </c>
      <c r="H772">
        <v>145</v>
      </c>
      <c r="I772">
        <v>5</v>
      </c>
      <c r="J772">
        <v>1</v>
      </c>
      <c r="K772">
        <v>84.1</v>
      </c>
      <c r="L772" t="s">
        <v>122</v>
      </c>
      <c r="M772" t="s">
        <v>118</v>
      </c>
    </row>
    <row r="773" spans="2:13" x14ac:dyDescent="0.2">
      <c r="B773">
        <v>3031</v>
      </c>
      <c r="C773">
        <v>5</v>
      </c>
      <c r="D773">
        <v>0</v>
      </c>
      <c r="E773">
        <v>0</v>
      </c>
      <c r="F773">
        <v>0.6</v>
      </c>
      <c r="G773">
        <v>0.6</v>
      </c>
      <c r="H773">
        <v>0</v>
      </c>
      <c r="I773">
        <v>0</v>
      </c>
      <c r="J773">
        <v>0</v>
      </c>
      <c r="K773">
        <v>50</v>
      </c>
      <c r="L773" t="s">
        <v>113</v>
      </c>
      <c r="M773" t="s">
        <v>114</v>
      </c>
    </row>
    <row r="774" spans="2:13" x14ac:dyDescent="0.2">
      <c r="B774">
        <v>3031</v>
      </c>
      <c r="C774">
        <v>5</v>
      </c>
      <c r="D774">
        <v>6</v>
      </c>
      <c r="E774">
        <v>0.1</v>
      </c>
      <c r="F774">
        <v>0.6</v>
      </c>
      <c r="G774">
        <v>0.6</v>
      </c>
      <c r="H774">
        <v>65</v>
      </c>
      <c r="I774">
        <v>0</v>
      </c>
      <c r="J774">
        <v>0</v>
      </c>
      <c r="K774">
        <v>43.4</v>
      </c>
      <c r="L774" t="s">
        <v>115</v>
      </c>
      <c r="M774" t="s">
        <v>116</v>
      </c>
    </row>
    <row r="775" spans="2:13" x14ac:dyDescent="0.2">
      <c r="B775">
        <v>3031</v>
      </c>
      <c r="C775">
        <v>5</v>
      </c>
      <c r="D775">
        <v>8.9</v>
      </c>
      <c r="E775">
        <v>0.15</v>
      </c>
      <c r="F775">
        <v>0.6</v>
      </c>
      <c r="G775">
        <v>0.6</v>
      </c>
      <c r="H775">
        <v>97</v>
      </c>
      <c r="I775">
        <v>0</v>
      </c>
      <c r="J775">
        <v>1</v>
      </c>
      <c r="K775">
        <v>43.3</v>
      </c>
      <c r="L775" t="s">
        <v>122</v>
      </c>
      <c r="M775" t="s">
        <v>118</v>
      </c>
    </row>
    <row r="776" spans="2:13" x14ac:dyDescent="0.2">
      <c r="B776">
        <v>3031</v>
      </c>
      <c r="C776">
        <v>5</v>
      </c>
      <c r="D776">
        <v>10.1</v>
      </c>
      <c r="E776">
        <v>0.17</v>
      </c>
      <c r="F776">
        <v>0.6</v>
      </c>
      <c r="G776">
        <v>0.6</v>
      </c>
      <c r="H776">
        <v>109</v>
      </c>
      <c r="I776">
        <v>0</v>
      </c>
      <c r="J776">
        <v>2</v>
      </c>
      <c r="K776">
        <v>43.8</v>
      </c>
      <c r="L776" t="s">
        <v>119</v>
      </c>
      <c r="M776" t="s">
        <v>118</v>
      </c>
    </row>
    <row r="777" spans="2:13" x14ac:dyDescent="0.2">
      <c r="B777">
        <v>3031</v>
      </c>
      <c r="C777">
        <v>5</v>
      </c>
      <c r="D777">
        <v>12.1</v>
      </c>
      <c r="E777">
        <v>0.2</v>
      </c>
      <c r="F777">
        <v>0.6</v>
      </c>
      <c r="G777">
        <v>0.45</v>
      </c>
      <c r="H777">
        <v>130</v>
      </c>
      <c r="I777">
        <v>1</v>
      </c>
      <c r="J777">
        <v>2</v>
      </c>
      <c r="K777">
        <v>44.4</v>
      </c>
      <c r="L777" t="s">
        <v>126</v>
      </c>
      <c r="M777" t="s">
        <v>116</v>
      </c>
    </row>
    <row r="778" spans="2:13" x14ac:dyDescent="0.2">
      <c r="B778">
        <v>3031</v>
      </c>
      <c r="C778">
        <v>5</v>
      </c>
      <c r="D778">
        <v>18.100000000000001</v>
      </c>
      <c r="E778">
        <v>0.3</v>
      </c>
      <c r="F778">
        <v>0.45</v>
      </c>
      <c r="G778">
        <v>0.45</v>
      </c>
      <c r="H778">
        <v>179</v>
      </c>
      <c r="I778">
        <v>3</v>
      </c>
      <c r="J778">
        <v>2</v>
      </c>
      <c r="K778">
        <v>44.5</v>
      </c>
      <c r="L778" t="s">
        <v>115</v>
      </c>
      <c r="M778" t="s">
        <v>116</v>
      </c>
    </row>
    <row r="779" spans="2:13" x14ac:dyDescent="0.2">
      <c r="B779">
        <v>3032</v>
      </c>
      <c r="C779">
        <v>1</v>
      </c>
      <c r="D779">
        <v>0</v>
      </c>
      <c r="E779">
        <v>0</v>
      </c>
      <c r="F779">
        <v>0.6</v>
      </c>
      <c r="G779">
        <v>0.6</v>
      </c>
      <c r="H779">
        <v>0</v>
      </c>
      <c r="I779">
        <v>0</v>
      </c>
      <c r="J779">
        <v>0</v>
      </c>
      <c r="K779">
        <v>50</v>
      </c>
      <c r="L779" t="s">
        <v>113</v>
      </c>
      <c r="M779" t="s">
        <v>114</v>
      </c>
    </row>
    <row r="780" spans="2:13" x14ac:dyDescent="0.2">
      <c r="B780">
        <v>3032</v>
      </c>
      <c r="C780">
        <v>1</v>
      </c>
      <c r="D780">
        <v>6</v>
      </c>
      <c r="E780">
        <v>0.1</v>
      </c>
      <c r="F780">
        <v>0.6</v>
      </c>
      <c r="G780">
        <v>0.6</v>
      </c>
      <c r="H780">
        <v>65</v>
      </c>
      <c r="I780">
        <v>1</v>
      </c>
      <c r="J780">
        <v>0</v>
      </c>
      <c r="K780">
        <v>42.6</v>
      </c>
      <c r="L780" t="s">
        <v>115</v>
      </c>
      <c r="M780" t="s">
        <v>116</v>
      </c>
    </row>
    <row r="781" spans="2:13" x14ac:dyDescent="0.2">
      <c r="B781">
        <v>3032</v>
      </c>
      <c r="C781">
        <v>1</v>
      </c>
      <c r="D781">
        <v>10.1</v>
      </c>
      <c r="E781">
        <v>0.17</v>
      </c>
      <c r="F781">
        <v>0.6</v>
      </c>
      <c r="G781">
        <v>0.6</v>
      </c>
      <c r="H781">
        <v>109</v>
      </c>
      <c r="I781">
        <v>2</v>
      </c>
      <c r="J781">
        <v>1</v>
      </c>
      <c r="K781">
        <v>40.299999999999997</v>
      </c>
      <c r="L781" t="s">
        <v>117</v>
      </c>
      <c r="M781" t="s">
        <v>118</v>
      </c>
    </row>
    <row r="782" spans="2:13" x14ac:dyDescent="0.2">
      <c r="B782">
        <v>3032</v>
      </c>
      <c r="C782">
        <v>1</v>
      </c>
      <c r="D782">
        <v>12.1</v>
      </c>
      <c r="E782">
        <v>0.2</v>
      </c>
      <c r="F782">
        <v>0.6</v>
      </c>
      <c r="G782">
        <v>0.6</v>
      </c>
      <c r="H782">
        <v>130</v>
      </c>
      <c r="I782">
        <v>3</v>
      </c>
      <c r="J782">
        <v>1</v>
      </c>
      <c r="K782">
        <v>40.700000000000003</v>
      </c>
      <c r="L782" t="s">
        <v>132</v>
      </c>
      <c r="M782" t="s">
        <v>116</v>
      </c>
    </row>
    <row r="783" spans="2:13" x14ac:dyDescent="0.2">
      <c r="B783">
        <v>3032</v>
      </c>
      <c r="C783">
        <v>1</v>
      </c>
      <c r="D783">
        <v>13.4</v>
      </c>
      <c r="E783">
        <v>0.22</v>
      </c>
      <c r="F783">
        <v>0.6</v>
      </c>
      <c r="G783">
        <v>0.6</v>
      </c>
      <c r="H783">
        <v>144</v>
      </c>
      <c r="I783">
        <v>4</v>
      </c>
      <c r="J783">
        <v>2</v>
      </c>
      <c r="K783">
        <v>40.6</v>
      </c>
      <c r="L783" t="s">
        <v>123</v>
      </c>
      <c r="M783" t="s">
        <v>118</v>
      </c>
    </row>
    <row r="784" spans="2:13" x14ac:dyDescent="0.2">
      <c r="B784">
        <v>3032</v>
      </c>
      <c r="C784">
        <v>1</v>
      </c>
      <c r="D784">
        <v>17.100000000000001</v>
      </c>
      <c r="E784">
        <v>0.28000000000000003</v>
      </c>
      <c r="F784">
        <v>0.6</v>
      </c>
      <c r="G784">
        <v>0.6</v>
      </c>
      <c r="H784">
        <v>184</v>
      </c>
      <c r="I784">
        <v>8</v>
      </c>
      <c r="J784">
        <v>3</v>
      </c>
      <c r="K784">
        <v>66.2</v>
      </c>
      <c r="L784" t="s">
        <v>125</v>
      </c>
      <c r="M784" t="s">
        <v>118</v>
      </c>
    </row>
    <row r="785" spans="2:13" x14ac:dyDescent="0.2">
      <c r="B785">
        <v>3032</v>
      </c>
      <c r="C785">
        <v>1</v>
      </c>
      <c r="D785">
        <v>18.100000000000001</v>
      </c>
      <c r="E785">
        <v>0.3</v>
      </c>
      <c r="F785">
        <v>0.6</v>
      </c>
      <c r="G785">
        <v>0.6</v>
      </c>
      <c r="H785">
        <v>195</v>
      </c>
      <c r="I785">
        <v>9</v>
      </c>
      <c r="J785">
        <v>3</v>
      </c>
      <c r="K785">
        <v>66.099999999999994</v>
      </c>
      <c r="L785" t="s">
        <v>146</v>
      </c>
      <c r="M785" t="s">
        <v>116</v>
      </c>
    </row>
    <row r="786" spans="2:13" x14ac:dyDescent="0.2">
      <c r="B786">
        <v>3032</v>
      </c>
      <c r="C786">
        <v>2</v>
      </c>
      <c r="D786">
        <v>0</v>
      </c>
      <c r="E786">
        <v>0</v>
      </c>
      <c r="F786">
        <v>0.6</v>
      </c>
      <c r="G786">
        <v>0.6</v>
      </c>
      <c r="H786">
        <v>0</v>
      </c>
      <c r="I786">
        <v>0</v>
      </c>
      <c r="J786">
        <v>0</v>
      </c>
      <c r="K786">
        <v>50</v>
      </c>
      <c r="L786" t="s">
        <v>113</v>
      </c>
      <c r="M786" t="s">
        <v>114</v>
      </c>
    </row>
    <row r="787" spans="2:13" x14ac:dyDescent="0.2">
      <c r="B787">
        <v>3032</v>
      </c>
      <c r="C787">
        <v>2</v>
      </c>
      <c r="D787">
        <v>6</v>
      </c>
      <c r="E787">
        <v>0.1</v>
      </c>
      <c r="F787">
        <v>0.6</v>
      </c>
      <c r="G787">
        <v>0.6</v>
      </c>
      <c r="H787">
        <v>65</v>
      </c>
      <c r="I787">
        <v>0</v>
      </c>
      <c r="J787">
        <v>0</v>
      </c>
      <c r="K787">
        <v>43.4</v>
      </c>
      <c r="L787" t="s">
        <v>115</v>
      </c>
      <c r="M787" t="s">
        <v>116</v>
      </c>
    </row>
    <row r="788" spans="2:13" x14ac:dyDescent="0.2">
      <c r="B788">
        <v>3032</v>
      </c>
      <c r="C788">
        <v>2</v>
      </c>
      <c r="D788">
        <v>12.1</v>
      </c>
      <c r="E788">
        <v>0.2</v>
      </c>
      <c r="F788">
        <v>0.6</v>
      </c>
      <c r="G788">
        <v>0.6</v>
      </c>
      <c r="H788">
        <v>130</v>
      </c>
      <c r="I788">
        <v>4</v>
      </c>
      <c r="J788">
        <v>0</v>
      </c>
      <c r="K788">
        <v>91.7</v>
      </c>
      <c r="L788" t="s">
        <v>115</v>
      </c>
      <c r="M788" t="s">
        <v>116</v>
      </c>
    </row>
    <row r="789" spans="2:13" x14ac:dyDescent="0.2">
      <c r="B789">
        <v>3032</v>
      </c>
      <c r="C789">
        <v>2</v>
      </c>
      <c r="D789">
        <v>13.4</v>
      </c>
      <c r="E789">
        <v>0.22</v>
      </c>
      <c r="F789">
        <v>0.6</v>
      </c>
      <c r="G789">
        <v>0.6</v>
      </c>
      <c r="H789">
        <v>144</v>
      </c>
      <c r="I789">
        <v>5</v>
      </c>
      <c r="J789">
        <v>1</v>
      </c>
      <c r="K789">
        <v>66.599999999999994</v>
      </c>
      <c r="L789" t="s">
        <v>122</v>
      </c>
      <c r="M789" t="s">
        <v>118</v>
      </c>
    </row>
    <row r="790" spans="2:13" x14ac:dyDescent="0.2">
      <c r="B790">
        <v>3032</v>
      </c>
      <c r="C790">
        <v>2</v>
      </c>
      <c r="D790">
        <v>18.100000000000001</v>
      </c>
      <c r="E790">
        <v>0.3</v>
      </c>
      <c r="F790">
        <v>0.6</v>
      </c>
      <c r="G790">
        <v>0.6</v>
      </c>
      <c r="H790">
        <v>195</v>
      </c>
      <c r="I790">
        <v>5</v>
      </c>
      <c r="J790">
        <v>1</v>
      </c>
      <c r="K790">
        <v>74.5</v>
      </c>
      <c r="L790" t="s">
        <v>121</v>
      </c>
      <c r="M790" t="s">
        <v>116</v>
      </c>
    </row>
    <row r="791" spans="2:13" x14ac:dyDescent="0.2">
      <c r="B791">
        <v>3032</v>
      </c>
      <c r="C791">
        <v>3</v>
      </c>
      <c r="D791">
        <v>0</v>
      </c>
      <c r="E791">
        <v>0</v>
      </c>
      <c r="F791">
        <v>0.6</v>
      </c>
      <c r="G791">
        <v>0.6</v>
      </c>
      <c r="H791">
        <v>0</v>
      </c>
      <c r="I791">
        <v>0</v>
      </c>
      <c r="J791">
        <v>0</v>
      </c>
      <c r="K791">
        <v>50</v>
      </c>
      <c r="L791" t="s">
        <v>113</v>
      </c>
      <c r="M791" t="s">
        <v>114</v>
      </c>
    </row>
    <row r="792" spans="2:13" x14ac:dyDescent="0.2">
      <c r="B792">
        <v>3032</v>
      </c>
      <c r="C792">
        <v>3</v>
      </c>
      <c r="D792">
        <v>6</v>
      </c>
      <c r="E792">
        <v>0.1</v>
      </c>
      <c r="F792">
        <v>0.6</v>
      </c>
      <c r="G792">
        <v>0.6</v>
      </c>
      <c r="H792">
        <v>65</v>
      </c>
      <c r="I792">
        <v>0</v>
      </c>
      <c r="J792">
        <v>0</v>
      </c>
      <c r="K792">
        <v>42.1</v>
      </c>
      <c r="L792" t="s">
        <v>115</v>
      </c>
      <c r="M792" t="s">
        <v>116</v>
      </c>
    </row>
    <row r="793" spans="2:13" x14ac:dyDescent="0.2">
      <c r="B793">
        <v>3032</v>
      </c>
      <c r="C793">
        <v>3</v>
      </c>
      <c r="D793">
        <v>6.1</v>
      </c>
      <c r="E793">
        <v>0.1</v>
      </c>
      <c r="F793">
        <v>0.6</v>
      </c>
      <c r="G793">
        <v>0.6</v>
      </c>
      <c r="H793">
        <v>66</v>
      </c>
      <c r="I793">
        <v>0</v>
      </c>
      <c r="J793">
        <v>1</v>
      </c>
      <c r="K793">
        <v>41.8</v>
      </c>
      <c r="L793" t="s">
        <v>142</v>
      </c>
      <c r="M793" t="s">
        <v>118</v>
      </c>
    </row>
    <row r="794" spans="2:13" x14ac:dyDescent="0.2">
      <c r="B794">
        <v>3032</v>
      </c>
      <c r="C794">
        <v>3</v>
      </c>
      <c r="D794">
        <v>12.1</v>
      </c>
      <c r="E794">
        <v>0.2</v>
      </c>
      <c r="F794">
        <v>0.6</v>
      </c>
      <c r="G794">
        <v>0.6</v>
      </c>
      <c r="H794">
        <v>130</v>
      </c>
      <c r="I794">
        <v>0</v>
      </c>
      <c r="J794">
        <v>1</v>
      </c>
      <c r="K794">
        <v>41.5</v>
      </c>
      <c r="L794" t="s">
        <v>132</v>
      </c>
      <c r="M794" t="s">
        <v>116</v>
      </c>
    </row>
    <row r="795" spans="2:13" x14ac:dyDescent="0.2">
      <c r="B795">
        <v>3032</v>
      </c>
      <c r="C795">
        <v>3</v>
      </c>
      <c r="D795">
        <v>12.7</v>
      </c>
      <c r="E795">
        <v>0.21</v>
      </c>
      <c r="F795">
        <v>0.6</v>
      </c>
      <c r="G795">
        <v>0.6</v>
      </c>
      <c r="H795">
        <v>137</v>
      </c>
      <c r="I795">
        <v>2</v>
      </c>
      <c r="J795">
        <v>2</v>
      </c>
      <c r="K795">
        <v>41.9</v>
      </c>
      <c r="L795" t="s">
        <v>119</v>
      </c>
      <c r="M795" t="s">
        <v>118</v>
      </c>
    </row>
    <row r="796" spans="2:13" x14ac:dyDescent="0.2">
      <c r="B796">
        <v>3032</v>
      </c>
      <c r="C796">
        <v>3</v>
      </c>
      <c r="D796">
        <v>18.100000000000001</v>
      </c>
      <c r="E796">
        <v>0.3</v>
      </c>
      <c r="F796">
        <v>0.6</v>
      </c>
      <c r="G796">
        <v>0.6</v>
      </c>
      <c r="H796">
        <v>195</v>
      </c>
      <c r="I796">
        <v>6</v>
      </c>
      <c r="J796">
        <v>2</v>
      </c>
      <c r="K796">
        <v>71.8</v>
      </c>
      <c r="L796" t="s">
        <v>136</v>
      </c>
      <c r="M796" t="s">
        <v>116</v>
      </c>
    </row>
    <row r="797" spans="2:13" x14ac:dyDescent="0.2">
      <c r="B797">
        <v>3032</v>
      </c>
      <c r="C797">
        <v>4</v>
      </c>
      <c r="D797">
        <v>0</v>
      </c>
      <c r="E797">
        <v>0</v>
      </c>
      <c r="F797">
        <v>0.6</v>
      </c>
      <c r="G797">
        <v>0.6</v>
      </c>
      <c r="H797">
        <v>0</v>
      </c>
      <c r="I797">
        <v>0</v>
      </c>
      <c r="J797">
        <v>0</v>
      </c>
      <c r="K797">
        <v>50</v>
      </c>
      <c r="L797" t="s">
        <v>113</v>
      </c>
      <c r="M797" t="s">
        <v>114</v>
      </c>
    </row>
    <row r="798" spans="2:13" x14ac:dyDescent="0.2">
      <c r="B798">
        <v>3032</v>
      </c>
      <c r="C798">
        <v>4</v>
      </c>
      <c r="D798">
        <v>6</v>
      </c>
      <c r="E798">
        <v>0.1</v>
      </c>
      <c r="F798">
        <v>0.6</v>
      </c>
      <c r="G798">
        <v>0.6</v>
      </c>
      <c r="H798">
        <v>65</v>
      </c>
      <c r="I798">
        <v>0</v>
      </c>
      <c r="J798">
        <v>0</v>
      </c>
      <c r="K798">
        <v>93</v>
      </c>
      <c r="L798" t="s">
        <v>115</v>
      </c>
      <c r="M798" t="s">
        <v>116</v>
      </c>
    </row>
    <row r="799" spans="2:13" x14ac:dyDescent="0.2">
      <c r="B799">
        <v>3032</v>
      </c>
      <c r="C799">
        <v>4</v>
      </c>
      <c r="D799">
        <v>7.5</v>
      </c>
      <c r="E799">
        <v>0.13</v>
      </c>
      <c r="F799">
        <v>0.6</v>
      </c>
      <c r="G799">
        <v>0.6</v>
      </c>
      <c r="H799">
        <v>82</v>
      </c>
      <c r="I799">
        <v>1</v>
      </c>
      <c r="J799">
        <v>1</v>
      </c>
      <c r="K799">
        <v>80.900000000000006</v>
      </c>
      <c r="L799" t="s">
        <v>122</v>
      </c>
      <c r="M799" t="s">
        <v>118</v>
      </c>
    </row>
    <row r="800" spans="2:13" x14ac:dyDescent="0.2">
      <c r="B800">
        <v>3032</v>
      </c>
      <c r="C800">
        <v>4</v>
      </c>
      <c r="D800">
        <v>11.1</v>
      </c>
      <c r="E800">
        <v>0.18</v>
      </c>
      <c r="F800">
        <v>0.6</v>
      </c>
      <c r="G800">
        <v>0.6</v>
      </c>
      <c r="H800">
        <v>119</v>
      </c>
      <c r="I800">
        <v>4</v>
      </c>
      <c r="J800">
        <v>2</v>
      </c>
      <c r="K800">
        <v>72.099999999999994</v>
      </c>
      <c r="L800" t="s">
        <v>127</v>
      </c>
      <c r="M800" t="s">
        <v>118</v>
      </c>
    </row>
    <row r="801" spans="2:13" x14ac:dyDescent="0.2">
      <c r="B801">
        <v>3032</v>
      </c>
      <c r="C801">
        <v>4</v>
      </c>
      <c r="D801">
        <v>12.1</v>
      </c>
      <c r="E801">
        <v>0.2</v>
      </c>
      <c r="F801">
        <v>0.6</v>
      </c>
      <c r="G801">
        <v>0.6</v>
      </c>
      <c r="H801">
        <v>130</v>
      </c>
      <c r="I801">
        <v>4</v>
      </c>
      <c r="J801">
        <v>2</v>
      </c>
      <c r="K801">
        <v>72.5</v>
      </c>
      <c r="L801" t="s">
        <v>121</v>
      </c>
      <c r="M801" t="s">
        <v>116</v>
      </c>
    </row>
    <row r="802" spans="2:13" x14ac:dyDescent="0.2">
      <c r="B802">
        <v>3032</v>
      </c>
      <c r="C802">
        <v>4</v>
      </c>
      <c r="D802">
        <v>15.6</v>
      </c>
      <c r="E802">
        <v>0.26</v>
      </c>
      <c r="F802">
        <v>0.6</v>
      </c>
      <c r="G802">
        <v>0.6</v>
      </c>
      <c r="H802">
        <v>168</v>
      </c>
      <c r="I802">
        <v>4</v>
      </c>
      <c r="J802">
        <v>3</v>
      </c>
      <c r="K802">
        <v>66.5</v>
      </c>
      <c r="L802" t="s">
        <v>125</v>
      </c>
      <c r="M802" t="s">
        <v>118</v>
      </c>
    </row>
    <row r="803" spans="2:13" x14ac:dyDescent="0.2">
      <c r="B803">
        <v>3032</v>
      </c>
      <c r="C803">
        <v>4</v>
      </c>
      <c r="D803">
        <v>18.100000000000001</v>
      </c>
      <c r="E803">
        <v>0.3</v>
      </c>
      <c r="F803">
        <v>0.6</v>
      </c>
      <c r="G803">
        <v>0.6</v>
      </c>
      <c r="H803">
        <v>195</v>
      </c>
      <c r="I803">
        <v>7</v>
      </c>
      <c r="J803">
        <v>3</v>
      </c>
      <c r="K803">
        <v>70.5</v>
      </c>
      <c r="L803" t="s">
        <v>121</v>
      </c>
      <c r="M803" t="s">
        <v>116</v>
      </c>
    </row>
    <row r="804" spans="2:13" x14ac:dyDescent="0.2">
      <c r="B804">
        <v>3032</v>
      </c>
      <c r="C804">
        <v>5</v>
      </c>
      <c r="D804">
        <v>0</v>
      </c>
      <c r="E804">
        <v>0</v>
      </c>
      <c r="F804">
        <v>0.6</v>
      </c>
      <c r="G804">
        <v>0.6</v>
      </c>
      <c r="H804">
        <v>0</v>
      </c>
      <c r="I804">
        <v>0</v>
      </c>
      <c r="J804">
        <v>0</v>
      </c>
      <c r="K804">
        <v>50</v>
      </c>
      <c r="L804" t="s">
        <v>113</v>
      </c>
      <c r="M804" t="s">
        <v>114</v>
      </c>
    </row>
    <row r="805" spans="2:13" x14ac:dyDescent="0.2">
      <c r="B805">
        <v>3032</v>
      </c>
      <c r="C805">
        <v>5</v>
      </c>
      <c r="D805">
        <v>6</v>
      </c>
      <c r="E805">
        <v>0.1</v>
      </c>
      <c r="F805">
        <v>0.6</v>
      </c>
      <c r="G805">
        <v>0.6</v>
      </c>
      <c r="H805">
        <v>65</v>
      </c>
      <c r="I805">
        <v>2</v>
      </c>
      <c r="J805">
        <v>0</v>
      </c>
      <c r="K805">
        <v>41.3</v>
      </c>
      <c r="L805" t="s">
        <v>115</v>
      </c>
      <c r="M805" t="s">
        <v>116</v>
      </c>
    </row>
    <row r="806" spans="2:13" x14ac:dyDescent="0.2">
      <c r="B806">
        <v>3032</v>
      </c>
      <c r="C806">
        <v>5</v>
      </c>
      <c r="D806">
        <v>12.1</v>
      </c>
      <c r="E806">
        <v>0.2</v>
      </c>
      <c r="F806">
        <v>0.6</v>
      </c>
      <c r="G806">
        <v>0.7</v>
      </c>
      <c r="H806">
        <v>130</v>
      </c>
      <c r="I806">
        <v>6</v>
      </c>
      <c r="J806">
        <v>0</v>
      </c>
      <c r="K806">
        <v>90.9</v>
      </c>
      <c r="L806" t="s">
        <v>128</v>
      </c>
      <c r="M806" t="s">
        <v>116</v>
      </c>
    </row>
    <row r="807" spans="2:13" x14ac:dyDescent="0.2">
      <c r="B807">
        <v>3033</v>
      </c>
      <c r="C807">
        <v>1</v>
      </c>
      <c r="D807">
        <v>0</v>
      </c>
      <c r="E807">
        <v>0</v>
      </c>
      <c r="F807">
        <v>0.6</v>
      </c>
      <c r="G807">
        <v>0.6</v>
      </c>
      <c r="H807">
        <v>0</v>
      </c>
      <c r="I807">
        <v>0</v>
      </c>
      <c r="J807">
        <v>0</v>
      </c>
      <c r="K807">
        <v>50</v>
      </c>
      <c r="L807" t="s">
        <v>113</v>
      </c>
      <c r="M807" t="s">
        <v>114</v>
      </c>
    </row>
    <row r="808" spans="2:13" x14ac:dyDescent="0.2">
      <c r="B808">
        <v>3033</v>
      </c>
      <c r="C808">
        <v>1</v>
      </c>
      <c r="D808">
        <v>6</v>
      </c>
      <c r="E808">
        <v>0.1</v>
      </c>
      <c r="F808">
        <v>0.6</v>
      </c>
      <c r="G808">
        <v>0.6</v>
      </c>
      <c r="H808">
        <v>65</v>
      </c>
      <c r="I808">
        <v>1</v>
      </c>
      <c r="J808">
        <v>0</v>
      </c>
      <c r="K808">
        <v>45</v>
      </c>
      <c r="L808" t="s">
        <v>115</v>
      </c>
      <c r="M808" t="s">
        <v>116</v>
      </c>
    </row>
    <row r="809" spans="2:13" x14ac:dyDescent="0.2">
      <c r="B809">
        <v>3033</v>
      </c>
      <c r="C809">
        <v>1</v>
      </c>
      <c r="D809">
        <v>12.1</v>
      </c>
      <c r="E809">
        <v>0.2</v>
      </c>
      <c r="F809">
        <v>0.6</v>
      </c>
      <c r="G809">
        <v>0.7</v>
      </c>
      <c r="H809">
        <v>130</v>
      </c>
      <c r="I809">
        <v>6</v>
      </c>
      <c r="J809">
        <v>0</v>
      </c>
      <c r="K809">
        <v>93.4</v>
      </c>
      <c r="L809" t="s">
        <v>128</v>
      </c>
      <c r="M809" t="s">
        <v>116</v>
      </c>
    </row>
    <row r="810" spans="2:13" x14ac:dyDescent="0.2">
      <c r="B810">
        <v>3033</v>
      </c>
      <c r="C810">
        <v>2</v>
      </c>
      <c r="D810">
        <v>0</v>
      </c>
      <c r="E810">
        <v>0</v>
      </c>
      <c r="F810">
        <v>0.6</v>
      </c>
      <c r="G810">
        <v>0.6</v>
      </c>
      <c r="H810">
        <v>0</v>
      </c>
      <c r="I810">
        <v>0</v>
      </c>
      <c r="J810">
        <v>0</v>
      </c>
      <c r="K810">
        <v>50</v>
      </c>
      <c r="L810" t="s">
        <v>113</v>
      </c>
      <c r="M810" t="s">
        <v>114</v>
      </c>
    </row>
    <row r="811" spans="2:13" x14ac:dyDescent="0.2">
      <c r="B811">
        <v>3033</v>
      </c>
      <c r="C811">
        <v>2</v>
      </c>
      <c r="D811">
        <v>6</v>
      </c>
      <c r="E811">
        <v>0.1</v>
      </c>
      <c r="F811">
        <v>0.6</v>
      </c>
      <c r="G811">
        <v>0.6</v>
      </c>
      <c r="H811">
        <v>65</v>
      </c>
      <c r="I811">
        <v>0</v>
      </c>
      <c r="J811">
        <v>0</v>
      </c>
      <c r="K811">
        <v>44.6</v>
      </c>
      <c r="L811" t="s">
        <v>115</v>
      </c>
      <c r="M811" t="s">
        <v>116</v>
      </c>
    </row>
    <row r="812" spans="2:13" x14ac:dyDescent="0.2">
      <c r="B812">
        <v>3033</v>
      </c>
      <c r="C812">
        <v>2</v>
      </c>
      <c r="D812">
        <v>12.1</v>
      </c>
      <c r="E812">
        <v>0.2</v>
      </c>
      <c r="F812">
        <v>0.6</v>
      </c>
      <c r="G812">
        <v>0.7</v>
      </c>
      <c r="H812">
        <v>130</v>
      </c>
      <c r="I812">
        <v>5</v>
      </c>
      <c r="J812">
        <v>0</v>
      </c>
      <c r="K812">
        <v>94.4</v>
      </c>
      <c r="L812" t="s">
        <v>128</v>
      </c>
      <c r="M812" t="s">
        <v>116</v>
      </c>
    </row>
    <row r="813" spans="2:13" x14ac:dyDescent="0.2">
      <c r="B813">
        <v>3033</v>
      </c>
      <c r="C813">
        <v>2</v>
      </c>
      <c r="D813">
        <v>16.899999999999999</v>
      </c>
      <c r="E813">
        <v>0.28000000000000003</v>
      </c>
      <c r="F813">
        <v>0.7</v>
      </c>
      <c r="G813">
        <v>0.7</v>
      </c>
      <c r="H813">
        <v>191</v>
      </c>
      <c r="I813">
        <v>11</v>
      </c>
      <c r="J813">
        <v>1</v>
      </c>
      <c r="K813">
        <v>81.3</v>
      </c>
      <c r="L813" t="s">
        <v>142</v>
      </c>
      <c r="M813" t="s">
        <v>118</v>
      </c>
    </row>
    <row r="814" spans="2:13" x14ac:dyDescent="0.2">
      <c r="B814">
        <v>3033</v>
      </c>
      <c r="C814">
        <v>3</v>
      </c>
      <c r="D814">
        <v>0</v>
      </c>
      <c r="E814">
        <v>0</v>
      </c>
      <c r="F814">
        <v>0.6</v>
      </c>
      <c r="G814">
        <v>0.6</v>
      </c>
      <c r="H814">
        <v>0</v>
      </c>
      <c r="I814">
        <v>0</v>
      </c>
      <c r="J814">
        <v>0</v>
      </c>
      <c r="K814">
        <v>50</v>
      </c>
      <c r="L814" t="s">
        <v>113</v>
      </c>
      <c r="M814" t="s">
        <v>114</v>
      </c>
    </row>
    <row r="815" spans="2:13" x14ac:dyDescent="0.2">
      <c r="B815">
        <v>3033</v>
      </c>
      <c r="C815">
        <v>3</v>
      </c>
      <c r="D815">
        <v>6</v>
      </c>
      <c r="E815">
        <v>0.1</v>
      </c>
      <c r="F815">
        <v>0.6</v>
      </c>
      <c r="G815">
        <v>0.6</v>
      </c>
      <c r="H815">
        <v>65</v>
      </c>
      <c r="I815">
        <v>1</v>
      </c>
      <c r="J815">
        <v>0</v>
      </c>
      <c r="K815">
        <v>44.6</v>
      </c>
      <c r="L815" t="s">
        <v>115</v>
      </c>
      <c r="M815" t="s">
        <v>116</v>
      </c>
    </row>
    <row r="816" spans="2:13" x14ac:dyDescent="0.2">
      <c r="B816">
        <v>3033</v>
      </c>
      <c r="C816">
        <v>3</v>
      </c>
      <c r="D816">
        <v>8.4</v>
      </c>
      <c r="E816">
        <v>0.14000000000000001</v>
      </c>
      <c r="F816">
        <v>0.6</v>
      </c>
      <c r="G816">
        <v>0.6</v>
      </c>
      <c r="H816">
        <v>91</v>
      </c>
      <c r="I816">
        <v>2</v>
      </c>
      <c r="J816">
        <v>1</v>
      </c>
      <c r="K816">
        <v>44.1</v>
      </c>
      <c r="L816" t="s">
        <v>117</v>
      </c>
      <c r="M816" t="s">
        <v>118</v>
      </c>
    </row>
    <row r="817" spans="2:13" x14ac:dyDescent="0.2">
      <c r="B817">
        <v>3033</v>
      </c>
      <c r="C817">
        <v>3</v>
      </c>
      <c r="D817">
        <v>12.1</v>
      </c>
      <c r="E817">
        <v>0.2</v>
      </c>
      <c r="F817">
        <v>0.6</v>
      </c>
      <c r="G817">
        <v>0.6</v>
      </c>
      <c r="H817">
        <v>130</v>
      </c>
      <c r="I817">
        <v>3</v>
      </c>
      <c r="J817">
        <v>1</v>
      </c>
      <c r="K817">
        <v>42.5</v>
      </c>
      <c r="L817" t="s">
        <v>132</v>
      </c>
      <c r="M817" t="s">
        <v>116</v>
      </c>
    </row>
    <row r="818" spans="2:13" x14ac:dyDescent="0.2">
      <c r="B818">
        <v>3033</v>
      </c>
      <c r="C818">
        <v>3</v>
      </c>
      <c r="D818">
        <v>16.399999999999999</v>
      </c>
      <c r="E818">
        <v>0.27</v>
      </c>
      <c r="F818">
        <v>0.6</v>
      </c>
      <c r="G818">
        <v>0.6</v>
      </c>
      <c r="H818">
        <v>177</v>
      </c>
      <c r="I818">
        <v>7</v>
      </c>
      <c r="J818">
        <v>2</v>
      </c>
      <c r="K818">
        <v>72.7</v>
      </c>
      <c r="L818" t="s">
        <v>127</v>
      </c>
      <c r="M818" t="s">
        <v>118</v>
      </c>
    </row>
    <row r="819" spans="2:13" x14ac:dyDescent="0.2">
      <c r="B819">
        <v>3033</v>
      </c>
      <c r="C819">
        <v>3</v>
      </c>
      <c r="D819">
        <v>18.100000000000001</v>
      </c>
      <c r="E819">
        <v>0.3</v>
      </c>
      <c r="F819">
        <v>0.6</v>
      </c>
      <c r="G819">
        <v>0.6</v>
      </c>
      <c r="H819">
        <v>195</v>
      </c>
      <c r="I819">
        <v>7</v>
      </c>
      <c r="J819">
        <v>2</v>
      </c>
      <c r="K819">
        <v>73.2</v>
      </c>
      <c r="L819" t="s">
        <v>136</v>
      </c>
      <c r="M819" t="s">
        <v>116</v>
      </c>
    </row>
    <row r="820" spans="2:13" x14ac:dyDescent="0.2">
      <c r="B820">
        <v>3033</v>
      </c>
      <c r="C820">
        <v>4</v>
      </c>
      <c r="D820">
        <v>0</v>
      </c>
      <c r="E820">
        <v>0</v>
      </c>
      <c r="F820">
        <v>0.6</v>
      </c>
      <c r="G820">
        <v>0.6</v>
      </c>
      <c r="H820">
        <v>0</v>
      </c>
      <c r="I820">
        <v>0</v>
      </c>
      <c r="J820">
        <v>0</v>
      </c>
      <c r="K820">
        <v>50</v>
      </c>
      <c r="L820" t="s">
        <v>113</v>
      </c>
      <c r="M820" t="s">
        <v>114</v>
      </c>
    </row>
    <row r="821" spans="2:13" x14ac:dyDescent="0.2">
      <c r="B821">
        <v>3033</v>
      </c>
      <c r="C821">
        <v>4</v>
      </c>
      <c r="D821">
        <v>6</v>
      </c>
      <c r="E821">
        <v>0.1</v>
      </c>
      <c r="F821">
        <v>0.6</v>
      </c>
      <c r="G821">
        <v>0.6</v>
      </c>
      <c r="H821">
        <v>65</v>
      </c>
      <c r="I821">
        <v>1</v>
      </c>
      <c r="J821">
        <v>0</v>
      </c>
      <c r="K821">
        <v>47.9</v>
      </c>
      <c r="L821" t="s">
        <v>115</v>
      </c>
      <c r="M821" t="s">
        <v>116</v>
      </c>
    </row>
    <row r="822" spans="2:13" x14ac:dyDescent="0.2">
      <c r="B822">
        <v>3033</v>
      </c>
      <c r="C822">
        <v>4</v>
      </c>
      <c r="D822">
        <v>12.1</v>
      </c>
      <c r="E822">
        <v>0.2</v>
      </c>
      <c r="F822">
        <v>0.6</v>
      </c>
      <c r="G822">
        <v>0.7</v>
      </c>
      <c r="H822">
        <v>130</v>
      </c>
      <c r="I822">
        <v>4</v>
      </c>
      <c r="J822">
        <v>0</v>
      </c>
      <c r="K822">
        <v>96.1</v>
      </c>
      <c r="L822" t="s">
        <v>128</v>
      </c>
      <c r="M822" t="s">
        <v>116</v>
      </c>
    </row>
    <row r="823" spans="2:13" x14ac:dyDescent="0.2">
      <c r="B823">
        <v>3033</v>
      </c>
      <c r="C823">
        <v>4</v>
      </c>
      <c r="D823">
        <v>12.2</v>
      </c>
      <c r="E823">
        <v>0.2</v>
      </c>
      <c r="F823">
        <v>0.7</v>
      </c>
      <c r="G823">
        <v>0.7</v>
      </c>
      <c r="H823">
        <v>132</v>
      </c>
      <c r="I823">
        <v>4</v>
      </c>
      <c r="J823">
        <v>1</v>
      </c>
      <c r="K823">
        <v>79.2</v>
      </c>
      <c r="L823" t="s">
        <v>122</v>
      </c>
      <c r="M823" t="s">
        <v>118</v>
      </c>
    </row>
    <row r="824" spans="2:13" x14ac:dyDescent="0.2">
      <c r="B824">
        <v>3033</v>
      </c>
      <c r="C824">
        <v>4</v>
      </c>
      <c r="D824">
        <v>15.5</v>
      </c>
      <c r="E824">
        <v>0.26</v>
      </c>
      <c r="F824">
        <v>0.7</v>
      </c>
      <c r="G824">
        <v>0.7</v>
      </c>
      <c r="H824">
        <v>174</v>
      </c>
      <c r="I824">
        <v>7</v>
      </c>
      <c r="J824">
        <v>2</v>
      </c>
      <c r="K824">
        <v>76.3</v>
      </c>
      <c r="L824" t="s">
        <v>123</v>
      </c>
      <c r="M824" t="s">
        <v>118</v>
      </c>
    </row>
    <row r="825" spans="2:13" x14ac:dyDescent="0.2">
      <c r="B825">
        <v>3033</v>
      </c>
      <c r="C825">
        <v>4</v>
      </c>
      <c r="D825">
        <v>15.6</v>
      </c>
      <c r="E825">
        <v>0.26</v>
      </c>
      <c r="F825">
        <v>0.7</v>
      </c>
      <c r="G825">
        <v>0.7</v>
      </c>
      <c r="H825">
        <v>175</v>
      </c>
      <c r="I825">
        <v>7</v>
      </c>
      <c r="J825">
        <v>3</v>
      </c>
      <c r="K825">
        <v>71.3</v>
      </c>
      <c r="L825" t="s">
        <v>125</v>
      </c>
      <c r="M825" t="s">
        <v>118</v>
      </c>
    </row>
    <row r="826" spans="2:13" x14ac:dyDescent="0.2">
      <c r="B826">
        <v>3033</v>
      </c>
      <c r="C826">
        <v>5</v>
      </c>
      <c r="D826">
        <v>0</v>
      </c>
      <c r="E826">
        <v>0</v>
      </c>
      <c r="F826">
        <v>0.6</v>
      </c>
      <c r="G826">
        <v>0.6</v>
      </c>
      <c r="H826">
        <v>0</v>
      </c>
      <c r="I826">
        <v>0</v>
      </c>
      <c r="J826">
        <v>0</v>
      </c>
      <c r="K826">
        <v>50</v>
      </c>
      <c r="L826" t="s">
        <v>113</v>
      </c>
      <c r="M826" t="s">
        <v>114</v>
      </c>
    </row>
    <row r="827" spans="2:13" x14ac:dyDescent="0.2">
      <c r="B827">
        <v>3033</v>
      </c>
      <c r="C827">
        <v>5</v>
      </c>
      <c r="D827">
        <v>6</v>
      </c>
      <c r="E827">
        <v>0.1</v>
      </c>
      <c r="F827">
        <v>0.6</v>
      </c>
      <c r="G827">
        <v>0.6</v>
      </c>
      <c r="H827">
        <v>65</v>
      </c>
      <c r="I827">
        <v>0</v>
      </c>
      <c r="J827">
        <v>0</v>
      </c>
      <c r="K827">
        <v>93</v>
      </c>
      <c r="L827" t="s">
        <v>115</v>
      </c>
      <c r="M827" t="s">
        <v>116</v>
      </c>
    </row>
    <row r="828" spans="2:13" x14ac:dyDescent="0.2">
      <c r="B828">
        <v>3033</v>
      </c>
      <c r="C828">
        <v>5</v>
      </c>
      <c r="D828">
        <v>12.1</v>
      </c>
      <c r="E828">
        <v>0.2</v>
      </c>
      <c r="F828">
        <v>0.6</v>
      </c>
      <c r="G828">
        <v>0.6</v>
      </c>
      <c r="H828">
        <v>130</v>
      </c>
      <c r="I828">
        <v>3</v>
      </c>
      <c r="J828">
        <v>0</v>
      </c>
      <c r="K828">
        <v>94.4</v>
      </c>
      <c r="L828" t="s">
        <v>115</v>
      </c>
      <c r="M828" t="s">
        <v>116</v>
      </c>
    </row>
    <row r="829" spans="2:13" x14ac:dyDescent="0.2">
      <c r="B829">
        <v>3033</v>
      </c>
      <c r="C829">
        <v>5</v>
      </c>
      <c r="D829">
        <v>18.100000000000001</v>
      </c>
      <c r="E829">
        <v>0.3</v>
      </c>
      <c r="F829">
        <v>0.6</v>
      </c>
      <c r="G829">
        <v>0.6</v>
      </c>
      <c r="H829">
        <v>195</v>
      </c>
      <c r="I829">
        <v>5</v>
      </c>
      <c r="J829">
        <v>0</v>
      </c>
      <c r="K829">
        <v>94.7</v>
      </c>
      <c r="L829" t="s">
        <v>115</v>
      </c>
      <c r="M829" t="s">
        <v>116</v>
      </c>
    </row>
    <row r="830" spans="2:13" x14ac:dyDescent="0.2">
      <c r="B830">
        <v>3034</v>
      </c>
      <c r="C830">
        <v>1</v>
      </c>
      <c r="D830">
        <v>0</v>
      </c>
      <c r="E830">
        <v>0</v>
      </c>
      <c r="F830">
        <v>0.6</v>
      </c>
      <c r="G830">
        <v>0.6</v>
      </c>
      <c r="H830">
        <v>0</v>
      </c>
      <c r="I830">
        <v>0</v>
      </c>
      <c r="J830">
        <v>0</v>
      </c>
      <c r="K830">
        <v>50</v>
      </c>
      <c r="L830" t="s">
        <v>113</v>
      </c>
      <c r="M830" t="s">
        <v>114</v>
      </c>
    </row>
    <row r="831" spans="2:13" x14ac:dyDescent="0.2">
      <c r="B831">
        <v>3034</v>
      </c>
      <c r="C831">
        <v>1</v>
      </c>
      <c r="D831">
        <v>6</v>
      </c>
      <c r="E831">
        <v>0.1</v>
      </c>
      <c r="F831">
        <v>0.6</v>
      </c>
      <c r="G831">
        <v>0.6</v>
      </c>
      <c r="H831">
        <v>65</v>
      </c>
      <c r="I831">
        <v>0</v>
      </c>
      <c r="J831">
        <v>0</v>
      </c>
      <c r="K831">
        <v>38</v>
      </c>
      <c r="L831" t="s">
        <v>115</v>
      </c>
      <c r="M831" t="s">
        <v>116</v>
      </c>
    </row>
    <row r="832" spans="2:13" x14ac:dyDescent="0.2">
      <c r="B832">
        <v>3034</v>
      </c>
      <c r="C832">
        <v>1</v>
      </c>
      <c r="D832">
        <v>10.6</v>
      </c>
      <c r="E832">
        <v>0.18</v>
      </c>
      <c r="F832">
        <v>0.6</v>
      </c>
      <c r="G832">
        <v>0.6</v>
      </c>
      <c r="H832">
        <v>114</v>
      </c>
      <c r="I832">
        <v>2</v>
      </c>
      <c r="J832">
        <v>1</v>
      </c>
      <c r="K832">
        <v>76.400000000000006</v>
      </c>
      <c r="L832" t="s">
        <v>117</v>
      </c>
      <c r="M832" t="s">
        <v>118</v>
      </c>
    </row>
    <row r="833" spans="2:13" x14ac:dyDescent="0.2">
      <c r="B833">
        <v>3034</v>
      </c>
      <c r="C833">
        <v>1</v>
      </c>
      <c r="D833">
        <v>12.1</v>
      </c>
      <c r="E833">
        <v>0.2</v>
      </c>
      <c r="F833">
        <v>0.6</v>
      </c>
      <c r="G833">
        <v>0.6</v>
      </c>
      <c r="H833">
        <v>130</v>
      </c>
      <c r="I833">
        <v>3</v>
      </c>
      <c r="J833">
        <v>1</v>
      </c>
      <c r="K833">
        <v>76.3</v>
      </c>
      <c r="L833" t="s">
        <v>136</v>
      </c>
      <c r="M833" t="s">
        <v>116</v>
      </c>
    </row>
    <row r="834" spans="2:13" x14ac:dyDescent="0.2">
      <c r="B834">
        <v>3034</v>
      </c>
      <c r="C834">
        <v>1</v>
      </c>
      <c r="D834">
        <v>18.100000000000001</v>
      </c>
      <c r="E834">
        <v>0.3</v>
      </c>
      <c r="F834">
        <v>0.6</v>
      </c>
      <c r="G834">
        <v>0.7</v>
      </c>
      <c r="H834">
        <v>195</v>
      </c>
      <c r="I834">
        <v>5</v>
      </c>
      <c r="J834">
        <v>1</v>
      </c>
      <c r="K834">
        <v>79.3</v>
      </c>
      <c r="L834" t="s">
        <v>128</v>
      </c>
      <c r="M834" t="s">
        <v>116</v>
      </c>
    </row>
    <row r="835" spans="2:13" x14ac:dyDescent="0.2">
      <c r="B835">
        <v>3034</v>
      </c>
      <c r="C835">
        <v>2</v>
      </c>
      <c r="D835">
        <v>0</v>
      </c>
      <c r="E835">
        <v>0</v>
      </c>
      <c r="F835">
        <v>0.6</v>
      </c>
      <c r="G835">
        <v>0.6</v>
      </c>
      <c r="H835">
        <v>0</v>
      </c>
      <c r="I835">
        <v>0</v>
      </c>
      <c r="J835">
        <v>0</v>
      </c>
      <c r="K835">
        <v>50</v>
      </c>
      <c r="L835" t="s">
        <v>113</v>
      </c>
      <c r="M835" t="s">
        <v>114</v>
      </c>
    </row>
    <row r="836" spans="2:13" x14ac:dyDescent="0.2">
      <c r="B836">
        <v>3034</v>
      </c>
      <c r="C836">
        <v>2</v>
      </c>
      <c r="D836">
        <v>6</v>
      </c>
      <c r="E836">
        <v>0.1</v>
      </c>
      <c r="F836">
        <v>0.6</v>
      </c>
      <c r="G836">
        <v>0.6</v>
      </c>
      <c r="H836">
        <v>65</v>
      </c>
      <c r="I836">
        <v>0</v>
      </c>
      <c r="J836">
        <v>0</v>
      </c>
      <c r="K836">
        <v>38.4</v>
      </c>
      <c r="L836" t="s">
        <v>115</v>
      </c>
      <c r="M836" t="s">
        <v>116</v>
      </c>
    </row>
    <row r="837" spans="2:13" x14ac:dyDescent="0.2">
      <c r="B837">
        <v>3034</v>
      </c>
      <c r="C837">
        <v>2</v>
      </c>
      <c r="D837">
        <v>12.1</v>
      </c>
      <c r="E837">
        <v>0.2</v>
      </c>
      <c r="F837">
        <v>0.6</v>
      </c>
      <c r="G837">
        <v>0.6</v>
      </c>
      <c r="H837">
        <v>130</v>
      </c>
      <c r="I837">
        <v>1</v>
      </c>
      <c r="J837">
        <v>0</v>
      </c>
      <c r="K837">
        <v>88</v>
      </c>
      <c r="L837" t="s">
        <v>115</v>
      </c>
      <c r="M837" t="s">
        <v>116</v>
      </c>
    </row>
    <row r="838" spans="2:13" x14ac:dyDescent="0.2">
      <c r="B838">
        <v>3034</v>
      </c>
      <c r="C838">
        <v>2</v>
      </c>
      <c r="D838">
        <v>14.8</v>
      </c>
      <c r="E838">
        <v>0.25</v>
      </c>
      <c r="F838">
        <v>0.6</v>
      </c>
      <c r="G838">
        <v>0.6</v>
      </c>
      <c r="H838">
        <v>160</v>
      </c>
      <c r="I838">
        <v>3</v>
      </c>
      <c r="J838">
        <v>1</v>
      </c>
      <c r="K838">
        <v>62.8</v>
      </c>
      <c r="L838" t="s">
        <v>129</v>
      </c>
      <c r="M838" t="s">
        <v>118</v>
      </c>
    </row>
    <row r="839" spans="2:13" x14ac:dyDescent="0.2">
      <c r="B839">
        <v>3034</v>
      </c>
      <c r="C839">
        <v>2</v>
      </c>
      <c r="D839">
        <v>18.100000000000001</v>
      </c>
      <c r="E839">
        <v>0.3</v>
      </c>
      <c r="F839">
        <v>0.6</v>
      </c>
      <c r="G839">
        <v>0.6</v>
      </c>
      <c r="H839">
        <v>195</v>
      </c>
      <c r="I839">
        <v>4</v>
      </c>
      <c r="J839">
        <v>1</v>
      </c>
      <c r="K839">
        <v>63.4</v>
      </c>
      <c r="L839" t="s">
        <v>132</v>
      </c>
      <c r="M839" t="s">
        <v>116</v>
      </c>
    </row>
    <row r="840" spans="2:13" x14ac:dyDescent="0.2">
      <c r="B840">
        <v>3034</v>
      </c>
      <c r="C840">
        <v>3</v>
      </c>
      <c r="D840">
        <v>0</v>
      </c>
      <c r="E840">
        <v>0</v>
      </c>
      <c r="F840">
        <v>0.6</v>
      </c>
      <c r="G840">
        <v>0.6</v>
      </c>
      <c r="H840">
        <v>0</v>
      </c>
      <c r="I840">
        <v>0</v>
      </c>
      <c r="J840">
        <v>0</v>
      </c>
      <c r="K840">
        <v>50</v>
      </c>
      <c r="L840" t="s">
        <v>113</v>
      </c>
      <c r="M840" t="s">
        <v>114</v>
      </c>
    </row>
    <row r="841" spans="2:13" x14ac:dyDescent="0.2">
      <c r="B841">
        <v>3034</v>
      </c>
      <c r="C841">
        <v>3</v>
      </c>
      <c r="D841">
        <v>6</v>
      </c>
      <c r="E841">
        <v>0.1</v>
      </c>
      <c r="F841">
        <v>0.6</v>
      </c>
      <c r="G841">
        <v>0.6</v>
      </c>
      <c r="H841">
        <v>65</v>
      </c>
      <c r="I841">
        <v>0</v>
      </c>
      <c r="J841">
        <v>0</v>
      </c>
      <c r="K841">
        <v>39.299999999999997</v>
      </c>
      <c r="L841" t="s">
        <v>115</v>
      </c>
      <c r="M841" t="s">
        <v>116</v>
      </c>
    </row>
    <row r="842" spans="2:13" x14ac:dyDescent="0.2">
      <c r="B842">
        <v>3034</v>
      </c>
      <c r="C842">
        <v>3</v>
      </c>
      <c r="D842">
        <v>7</v>
      </c>
      <c r="E842">
        <v>0.12</v>
      </c>
      <c r="F842">
        <v>0.6</v>
      </c>
      <c r="G842">
        <v>0.6</v>
      </c>
      <c r="H842">
        <v>76</v>
      </c>
      <c r="I842">
        <v>0</v>
      </c>
      <c r="J842">
        <v>1</v>
      </c>
      <c r="K842">
        <v>39.4</v>
      </c>
      <c r="L842" t="s">
        <v>117</v>
      </c>
      <c r="M842" t="s">
        <v>118</v>
      </c>
    </row>
    <row r="843" spans="2:13" x14ac:dyDescent="0.2">
      <c r="B843">
        <v>3034</v>
      </c>
      <c r="C843">
        <v>3</v>
      </c>
      <c r="D843">
        <v>12.1</v>
      </c>
      <c r="E843">
        <v>0.2</v>
      </c>
      <c r="F843">
        <v>0.6</v>
      </c>
      <c r="G843">
        <v>0.6</v>
      </c>
      <c r="H843">
        <v>130</v>
      </c>
      <c r="I843">
        <v>4</v>
      </c>
      <c r="J843">
        <v>1</v>
      </c>
      <c r="K843">
        <v>64.2</v>
      </c>
      <c r="L843" t="s">
        <v>121</v>
      </c>
      <c r="M843" t="s">
        <v>116</v>
      </c>
    </row>
    <row r="844" spans="2:13" x14ac:dyDescent="0.2">
      <c r="B844">
        <v>3034</v>
      </c>
      <c r="C844">
        <v>3</v>
      </c>
      <c r="D844">
        <v>13.6</v>
      </c>
      <c r="E844">
        <v>0.23</v>
      </c>
      <c r="F844">
        <v>0.6</v>
      </c>
      <c r="G844">
        <v>0.6</v>
      </c>
      <c r="H844">
        <v>146</v>
      </c>
      <c r="I844">
        <v>6</v>
      </c>
      <c r="J844">
        <v>2</v>
      </c>
      <c r="K844">
        <v>55.6</v>
      </c>
      <c r="L844" t="s">
        <v>119</v>
      </c>
      <c r="M844" t="s">
        <v>118</v>
      </c>
    </row>
    <row r="845" spans="2:13" x14ac:dyDescent="0.2">
      <c r="B845">
        <v>3034</v>
      </c>
      <c r="C845">
        <v>3</v>
      </c>
      <c r="D845">
        <v>18.100000000000001</v>
      </c>
      <c r="E845">
        <v>0.3</v>
      </c>
      <c r="F845">
        <v>0.6</v>
      </c>
      <c r="G845">
        <v>0.6</v>
      </c>
      <c r="H845">
        <v>195</v>
      </c>
      <c r="I845">
        <v>8</v>
      </c>
      <c r="J845">
        <v>2</v>
      </c>
      <c r="K845">
        <v>56.8</v>
      </c>
      <c r="L845" t="s">
        <v>132</v>
      </c>
      <c r="M845" t="s">
        <v>116</v>
      </c>
    </row>
    <row r="846" spans="2:13" x14ac:dyDescent="0.2">
      <c r="B846">
        <v>3034</v>
      </c>
      <c r="C846">
        <v>4</v>
      </c>
      <c r="D846">
        <v>0</v>
      </c>
      <c r="E846">
        <v>0</v>
      </c>
      <c r="F846">
        <v>0.6</v>
      </c>
      <c r="G846">
        <v>0.6</v>
      </c>
      <c r="H846">
        <v>0</v>
      </c>
      <c r="I846">
        <v>0</v>
      </c>
      <c r="J846">
        <v>0</v>
      </c>
      <c r="K846">
        <v>50</v>
      </c>
      <c r="L846" t="s">
        <v>113</v>
      </c>
      <c r="M846" t="s">
        <v>114</v>
      </c>
    </row>
    <row r="847" spans="2:13" x14ac:dyDescent="0.2">
      <c r="B847">
        <v>3034</v>
      </c>
      <c r="C847">
        <v>4</v>
      </c>
      <c r="D847">
        <v>6</v>
      </c>
      <c r="E847">
        <v>0.1</v>
      </c>
      <c r="F847">
        <v>0.6</v>
      </c>
      <c r="G847">
        <v>0.6</v>
      </c>
      <c r="H847">
        <v>65</v>
      </c>
      <c r="I847">
        <v>0</v>
      </c>
      <c r="J847">
        <v>0</v>
      </c>
      <c r="K847">
        <v>41.3</v>
      </c>
      <c r="L847" t="s">
        <v>115</v>
      </c>
      <c r="M847" t="s">
        <v>116</v>
      </c>
    </row>
    <row r="848" spans="2:13" x14ac:dyDescent="0.2">
      <c r="B848">
        <v>3034</v>
      </c>
      <c r="C848">
        <v>4</v>
      </c>
      <c r="D848">
        <v>6.4</v>
      </c>
      <c r="E848">
        <v>0.11</v>
      </c>
      <c r="F848">
        <v>0.6</v>
      </c>
      <c r="G848">
        <v>0.6</v>
      </c>
      <c r="H848">
        <v>69</v>
      </c>
      <c r="I848">
        <v>0</v>
      </c>
      <c r="J848">
        <v>1</v>
      </c>
      <c r="K848">
        <v>40.6</v>
      </c>
      <c r="L848" t="s">
        <v>117</v>
      </c>
      <c r="M848" t="s">
        <v>118</v>
      </c>
    </row>
    <row r="849" spans="2:13" x14ac:dyDescent="0.2">
      <c r="B849">
        <v>3034</v>
      </c>
      <c r="C849">
        <v>4</v>
      </c>
      <c r="D849">
        <v>9.8000000000000007</v>
      </c>
      <c r="E849">
        <v>0.16</v>
      </c>
      <c r="F849">
        <v>0.6</v>
      </c>
      <c r="G849">
        <v>0.6</v>
      </c>
      <c r="H849">
        <v>106</v>
      </c>
      <c r="I849">
        <v>1</v>
      </c>
      <c r="J849">
        <v>2</v>
      </c>
      <c r="K849">
        <v>40.1</v>
      </c>
      <c r="L849" t="s">
        <v>119</v>
      </c>
      <c r="M849" t="s">
        <v>118</v>
      </c>
    </row>
    <row r="850" spans="2:13" x14ac:dyDescent="0.2">
      <c r="B850">
        <v>3034</v>
      </c>
      <c r="C850">
        <v>4</v>
      </c>
      <c r="D850">
        <v>12.1</v>
      </c>
      <c r="E850">
        <v>0.2</v>
      </c>
      <c r="F850">
        <v>0.6</v>
      </c>
      <c r="G850">
        <v>0.45</v>
      </c>
      <c r="H850">
        <v>130</v>
      </c>
      <c r="I850">
        <v>2</v>
      </c>
      <c r="J850">
        <v>2</v>
      </c>
      <c r="K850">
        <v>57.3</v>
      </c>
      <c r="L850" t="s">
        <v>120</v>
      </c>
      <c r="M850" t="s">
        <v>116</v>
      </c>
    </row>
    <row r="851" spans="2:13" x14ac:dyDescent="0.2">
      <c r="B851">
        <v>3034</v>
      </c>
      <c r="C851">
        <v>4</v>
      </c>
      <c r="D851">
        <v>18.100000000000001</v>
      </c>
      <c r="E851">
        <v>0.3</v>
      </c>
      <c r="F851">
        <v>0.45</v>
      </c>
      <c r="G851">
        <v>0.45</v>
      </c>
      <c r="H851">
        <v>179</v>
      </c>
      <c r="I851">
        <v>5</v>
      </c>
      <c r="J851">
        <v>2</v>
      </c>
      <c r="K851">
        <v>65.400000000000006</v>
      </c>
      <c r="L851" t="s">
        <v>115</v>
      </c>
      <c r="M851" t="s">
        <v>116</v>
      </c>
    </row>
    <row r="852" spans="2:13" x14ac:dyDescent="0.2">
      <c r="B852">
        <v>3034</v>
      </c>
      <c r="C852">
        <v>4</v>
      </c>
      <c r="D852">
        <v>19.600000000000001</v>
      </c>
      <c r="E852">
        <v>0.33</v>
      </c>
      <c r="F852">
        <v>0.45</v>
      </c>
      <c r="G852">
        <v>0.45</v>
      </c>
      <c r="H852">
        <v>191</v>
      </c>
      <c r="I852">
        <v>5</v>
      </c>
      <c r="J852">
        <v>3</v>
      </c>
      <c r="K852">
        <v>65.7</v>
      </c>
      <c r="L852" t="s">
        <v>144</v>
      </c>
      <c r="M852" t="s">
        <v>118</v>
      </c>
    </row>
    <row r="853" spans="2:13" x14ac:dyDescent="0.2">
      <c r="B853">
        <v>3034</v>
      </c>
      <c r="C853">
        <v>5</v>
      </c>
      <c r="D853">
        <v>0</v>
      </c>
      <c r="E853">
        <v>0</v>
      </c>
      <c r="F853">
        <v>0.6</v>
      </c>
      <c r="G853">
        <v>0.6</v>
      </c>
      <c r="H853">
        <v>0</v>
      </c>
      <c r="I853">
        <v>0</v>
      </c>
      <c r="J853">
        <v>0</v>
      </c>
      <c r="K853">
        <v>50</v>
      </c>
      <c r="L853" t="s">
        <v>113</v>
      </c>
      <c r="M853" t="s">
        <v>114</v>
      </c>
    </row>
    <row r="854" spans="2:13" x14ac:dyDescent="0.2">
      <c r="B854">
        <v>3034</v>
      </c>
      <c r="C854">
        <v>5</v>
      </c>
      <c r="D854">
        <v>5.6</v>
      </c>
      <c r="E854">
        <v>0.09</v>
      </c>
      <c r="F854">
        <v>0.6</v>
      </c>
      <c r="G854">
        <v>0.6</v>
      </c>
      <c r="H854">
        <v>60</v>
      </c>
      <c r="I854">
        <v>0</v>
      </c>
      <c r="J854">
        <v>1</v>
      </c>
      <c r="K854">
        <v>41.5</v>
      </c>
      <c r="L854" t="s">
        <v>117</v>
      </c>
      <c r="M854" t="s">
        <v>118</v>
      </c>
    </row>
    <row r="855" spans="2:13" x14ac:dyDescent="0.2">
      <c r="B855">
        <v>3034</v>
      </c>
      <c r="C855">
        <v>5</v>
      </c>
      <c r="D855">
        <v>6</v>
      </c>
      <c r="E855">
        <v>0.1</v>
      </c>
      <c r="F855">
        <v>0.6</v>
      </c>
      <c r="G855">
        <v>0.6</v>
      </c>
      <c r="H855">
        <v>65</v>
      </c>
      <c r="I855">
        <v>0</v>
      </c>
      <c r="J855">
        <v>1</v>
      </c>
      <c r="K855">
        <v>41.7</v>
      </c>
      <c r="L855" t="s">
        <v>132</v>
      </c>
      <c r="M855" t="s">
        <v>116</v>
      </c>
    </row>
    <row r="856" spans="2:13" x14ac:dyDescent="0.2">
      <c r="B856">
        <v>3034</v>
      </c>
      <c r="C856">
        <v>5</v>
      </c>
      <c r="D856">
        <v>12.1</v>
      </c>
      <c r="E856">
        <v>0.2</v>
      </c>
      <c r="F856">
        <v>0.6</v>
      </c>
      <c r="G856">
        <v>0.7</v>
      </c>
      <c r="H856">
        <v>130</v>
      </c>
      <c r="I856">
        <v>3</v>
      </c>
      <c r="J856">
        <v>1</v>
      </c>
      <c r="K856">
        <v>74.599999999999994</v>
      </c>
      <c r="L856" t="s">
        <v>128</v>
      </c>
      <c r="M856" t="s">
        <v>116</v>
      </c>
    </row>
    <row r="857" spans="2:13" x14ac:dyDescent="0.2">
      <c r="B857">
        <v>3034</v>
      </c>
      <c r="C857">
        <v>5</v>
      </c>
      <c r="D857">
        <v>15</v>
      </c>
      <c r="E857">
        <v>0.25</v>
      </c>
      <c r="F857">
        <v>0.7</v>
      </c>
      <c r="G857">
        <v>0.7</v>
      </c>
      <c r="H857">
        <v>167</v>
      </c>
      <c r="I857">
        <v>5</v>
      </c>
      <c r="J857">
        <v>2</v>
      </c>
      <c r="K857">
        <v>66</v>
      </c>
      <c r="L857" t="s">
        <v>139</v>
      </c>
      <c r="M857" t="s">
        <v>118</v>
      </c>
    </row>
    <row r="858" spans="2:13" x14ac:dyDescent="0.2">
      <c r="B858">
        <v>3035</v>
      </c>
      <c r="C858">
        <v>1</v>
      </c>
      <c r="D858">
        <v>0</v>
      </c>
      <c r="E858">
        <v>0</v>
      </c>
      <c r="F858">
        <v>0.6</v>
      </c>
      <c r="G858">
        <v>0.6</v>
      </c>
      <c r="H858">
        <v>0</v>
      </c>
      <c r="I858">
        <v>0</v>
      </c>
      <c r="J858">
        <v>0</v>
      </c>
      <c r="K858">
        <v>50</v>
      </c>
      <c r="L858" t="s">
        <v>113</v>
      </c>
      <c r="M858" t="s">
        <v>114</v>
      </c>
    </row>
    <row r="859" spans="2:13" x14ac:dyDescent="0.2">
      <c r="B859">
        <v>3035</v>
      </c>
      <c r="C859">
        <v>1</v>
      </c>
      <c r="D859">
        <v>6</v>
      </c>
      <c r="E859">
        <v>0.1</v>
      </c>
      <c r="F859">
        <v>0.6</v>
      </c>
      <c r="G859">
        <v>0.6</v>
      </c>
      <c r="H859">
        <v>65</v>
      </c>
      <c r="I859">
        <v>0</v>
      </c>
      <c r="J859">
        <v>0</v>
      </c>
      <c r="K859">
        <v>37.6</v>
      </c>
      <c r="L859" t="s">
        <v>115</v>
      </c>
      <c r="M859" t="s">
        <v>116</v>
      </c>
    </row>
    <row r="860" spans="2:13" x14ac:dyDescent="0.2">
      <c r="B860">
        <v>3035</v>
      </c>
      <c r="C860">
        <v>1</v>
      </c>
      <c r="D860">
        <v>7.2</v>
      </c>
      <c r="E860">
        <v>0.12</v>
      </c>
      <c r="F860">
        <v>0.6</v>
      </c>
      <c r="G860">
        <v>0.6</v>
      </c>
      <c r="H860">
        <v>78</v>
      </c>
      <c r="I860">
        <v>0</v>
      </c>
      <c r="J860">
        <v>1</v>
      </c>
      <c r="K860">
        <v>37.200000000000003</v>
      </c>
      <c r="L860" t="s">
        <v>117</v>
      </c>
      <c r="M860" t="s">
        <v>118</v>
      </c>
    </row>
    <row r="861" spans="2:13" x14ac:dyDescent="0.2">
      <c r="B861">
        <v>3035</v>
      </c>
      <c r="C861">
        <v>1</v>
      </c>
      <c r="D861">
        <v>11.1</v>
      </c>
      <c r="E861">
        <v>0.18</v>
      </c>
      <c r="F861">
        <v>0.6</v>
      </c>
      <c r="G861">
        <v>0.6</v>
      </c>
      <c r="H861">
        <v>119</v>
      </c>
      <c r="I861">
        <v>1</v>
      </c>
      <c r="J861">
        <v>2</v>
      </c>
      <c r="K861">
        <v>52.9</v>
      </c>
      <c r="L861" t="s">
        <v>119</v>
      </c>
      <c r="M861" t="s">
        <v>118</v>
      </c>
    </row>
    <row r="862" spans="2:13" x14ac:dyDescent="0.2">
      <c r="B862">
        <v>3035</v>
      </c>
      <c r="C862">
        <v>1</v>
      </c>
      <c r="D862">
        <v>12.1</v>
      </c>
      <c r="E862">
        <v>0.2</v>
      </c>
      <c r="F862">
        <v>0.6</v>
      </c>
      <c r="G862">
        <v>0.45</v>
      </c>
      <c r="H862">
        <v>130</v>
      </c>
      <c r="I862">
        <v>1</v>
      </c>
      <c r="J862">
        <v>2</v>
      </c>
      <c r="K862">
        <v>52.8</v>
      </c>
      <c r="L862" t="s">
        <v>120</v>
      </c>
      <c r="M862" t="s">
        <v>116</v>
      </c>
    </row>
    <row r="863" spans="2:13" x14ac:dyDescent="0.2">
      <c r="B863">
        <v>3035</v>
      </c>
      <c r="C863">
        <v>1</v>
      </c>
      <c r="D863">
        <v>18.100000000000001</v>
      </c>
      <c r="E863">
        <v>0.3</v>
      </c>
      <c r="F863">
        <v>0.45</v>
      </c>
      <c r="G863">
        <v>0.45</v>
      </c>
      <c r="H863">
        <v>179</v>
      </c>
      <c r="I863">
        <v>3</v>
      </c>
      <c r="J863">
        <v>2</v>
      </c>
      <c r="K863">
        <v>53.1</v>
      </c>
      <c r="L863" t="s">
        <v>115</v>
      </c>
      <c r="M863" t="s">
        <v>116</v>
      </c>
    </row>
    <row r="864" spans="2:13" x14ac:dyDescent="0.2">
      <c r="B864">
        <v>3035</v>
      </c>
      <c r="C864">
        <v>2</v>
      </c>
      <c r="D864">
        <v>0</v>
      </c>
      <c r="E864">
        <v>0</v>
      </c>
      <c r="F864">
        <v>0.6</v>
      </c>
      <c r="G864">
        <v>0.6</v>
      </c>
      <c r="H864">
        <v>0</v>
      </c>
      <c r="I864">
        <v>0</v>
      </c>
      <c r="J864">
        <v>0</v>
      </c>
      <c r="K864">
        <v>50</v>
      </c>
      <c r="L864" t="s">
        <v>113</v>
      </c>
      <c r="M864" t="s">
        <v>114</v>
      </c>
    </row>
    <row r="865" spans="2:13" x14ac:dyDescent="0.2">
      <c r="B865">
        <v>3035</v>
      </c>
      <c r="C865">
        <v>2</v>
      </c>
      <c r="D865">
        <v>6</v>
      </c>
      <c r="E865">
        <v>0.1</v>
      </c>
      <c r="F865">
        <v>0.6</v>
      </c>
      <c r="G865">
        <v>0.6</v>
      </c>
      <c r="H865">
        <v>65</v>
      </c>
      <c r="I865">
        <v>0</v>
      </c>
      <c r="J865">
        <v>0</v>
      </c>
      <c r="K865">
        <v>34.299999999999997</v>
      </c>
      <c r="L865" t="s">
        <v>115</v>
      </c>
      <c r="M865" t="s">
        <v>116</v>
      </c>
    </row>
    <row r="866" spans="2:13" x14ac:dyDescent="0.2">
      <c r="B866">
        <v>3035</v>
      </c>
      <c r="C866">
        <v>2</v>
      </c>
      <c r="D866">
        <v>10.1</v>
      </c>
      <c r="E866">
        <v>0.17</v>
      </c>
      <c r="F866">
        <v>0.6</v>
      </c>
      <c r="G866">
        <v>0.6</v>
      </c>
      <c r="H866">
        <v>109</v>
      </c>
      <c r="I866">
        <v>4</v>
      </c>
      <c r="J866">
        <v>1</v>
      </c>
      <c r="K866">
        <v>68.2</v>
      </c>
      <c r="L866" t="s">
        <v>122</v>
      </c>
      <c r="M866" t="s">
        <v>118</v>
      </c>
    </row>
    <row r="867" spans="2:13" x14ac:dyDescent="0.2">
      <c r="B867">
        <v>3035</v>
      </c>
      <c r="C867">
        <v>2</v>
      </c>
      <c r="D867">
        <v>11</v>
      </c>
      <c r="E867">
        <v>0.18</v>
      </c>
      <c r="F867">
        <v>0.6</v>
      </c>
      <c r="G867">
        <v>0.6</v>
      </c>
      <c r="H867">
        <v>119</v>
      </c>
      <c r="I867">
        <v>4</v>
      </c>
      <c r="J867">
        <v>2</v>
      </c>
      <c r="K867">
        <v>60</v>
      </c>
      <c r="L867" t="s">
        <v>123</v>
      </c>
      <c r="M867" t="s">
        <v>118</v>
      </c>
    </row>
    <row r="868" spans="2:13" x14ac:dyDescent="0.2">
      <c r="B868">
        <v>3035</v>
      </c>
      <c r="C868">
        <v>2</v>
      </c>
      <c r="D868">
        <v>12.1</v>
      </c>
      <c r="E868">
        <v>0.2</v>
      </c>
      <c r="F868">
        <v>0.6</v>
      </c>
      <c r="G868">
        <v>0.6</v>
      </c>
      <c r="H868">
        <v>130</v>
      </c>
      <c r="I868">
        <v>4</v>
      </c>
      <c r="J868">
        <v>2</v>
      </c>
      <c r="K868">
        <v>60.1</v>
      </c>
      <c r="L868" t="s">
        <v>121</v>
      </c>
      <c r="M868" t="s">
        <v>116</v>
      </c>
    </row>
    <row r="869" spans="2:13" x14ac:dyDescent="0.2">
      <c r="B869">
        <v>3035</v>
      </c>
      <c r="C869">
        <v>2</v>
      </c>
      <c r="D869">
        <v>18.100000000000001</v>
      </c>
      <c r="E869">
        <v>0.3</v>
      </c>
      <c r="F869">
        <v>0.6</v>
      </c>
      <c r="G869">
        <v>0.7</v>
      </c>
      <c r="H869">
        <v>195</v>
      </c>
      <c r="I869">
        <v>9</v>
      </c>
      <c r="J869">
        <v>2</v>
      </c>
      <c r="K869">
        <v>70.599999999999994</v>
      </c>
      <c r="L869" t="s">
        <v>128</v>
      </c>
      <c r="M869" t="s">
        <v>116</v>
      </c>
    </row>
    <row r="870" spans="2:13" x14ac:dyDescent="0.2">
      <c r="B870">
        <v>3035</v>
      </c>
      <c r="C870">
        <v>3</v>
      </c>
      <c r="D870">
        <v>0</v>
      </c>
      <c r="E870">
        <v>0</v>
      </c>
      <c r="F870">
        <v>0.6</v>
      </c>
      <c r="G870">
        <v>0.6</v>
      </c>
      <c r="H870">
        <v>0</v>
      </c>
      <c r="I870">
        <v>0</v>
      </c>
      <c r="J870">
        <v>0</v>
      </c>
      <c r="K870">
        <v>50</v>
      </c>
      <c r="L870" t="s">
        <v>113</v>
      </c>
      <c r="M870" t="s">
        <v>114</v>
      </c>
    </row>
    <row r="871" spans="2:13" x14ac:dyDescent="0.2">
      <c r="B871">
        <v>3035</v>
      </c>
      <c r="C871">
        <v>3</v>
      </c>
      <c r="D871">
        <v>6</v>
      </c>
      <c r="E871">
        <v>0.1</v>
      </c>
      <c r="F871">
        <v>0.6</v>
      </c>
      <c r="G871">
        <v>0.6</v>
      </c>
      <c r="H871">
        <v>65</v>
      </c>
      <c r="I871">
        <v>0</v>
      </c>
      <c r="J871">
        <v>0</v>
      </c>
      <c r="K871">
        <v>40.1</v>
      </c>
      <c r="L871" t="s">
        <v>115</v>
      </c>
      <c r="M871" t="s">
        <v>116</v>
      </c>
    </row>
    <row r="872" spans="2:13" x14ac:dyDescent="0.2">
      <c r="B872">
        <v>3035</v>
      </c>
      <c r="C872">
        <v>3</v>
      </c>
      <c r="D872">
        <v>6.6</v>
      </c>
      <c r="E872">
        <v>0.11</v>
      </c>
      <c r="F872">
        <v>0.6</v>
      </c>
      <c r="G872">
        <v>0.6</v>
      </c>
      <c r="H872">
        <v>72</v>
      </c>
      <c r="I872">
        <v>0</v>
      </c>
      <c r="J872">
        <v>1</v>
      </c>
      <c r="K872">
        <v>40.6</v>
      </c>
      <c r="L872" t="s">
        <v>117</v>
      </c>
      <c r="M872" t="s">
        <v>118</v>
      </c>
    </row>
    <row r="873" spans="2:13" x14ac:dyDescent="0.2">
      <c r="B873">
        <v>3035</v>
      </c>
      <c r="C873">
        <v>3</v>
      </c>
      <c r="D873">
        <v>12.1</v>
      </c>
      <c r="E873">
        <v>0.2</v>
      </c>
      <c r="F873">
        <v>0.6</v>
      </c>
      <c r="G873">
        <v>0.6</v>
      </c>
      <c r="H873">
        <v>130</v>
      </c>
      <c r="I873">
        <v>3</v>
      </c>
      <c r="J873">
        <v>1</v>
      </c>
      <c r="K873">
        <v>64</v>
      </c>
      <c r="L873" t="s">
        <v>121</v>
      </c>
      <c r="M873" t="s">
        <v>116</v>
      </c>
    </row>
    <row r="874" spans="2:13" x14ac:dyDescent="0.2">
      <c r="B874">
        <v>3035</v>
      </c>
      <c r="C874">
        <v>3</v>
      </c>
      <c r="D874">
        <v>18.100000000000001</v>
      </c>
      <c r="E874">
        <v>0.3</v>
      </c>
      <c r="F874">
        <v>0.6</v>
      </c>
      <c r="G874">
        <v>0.6</v>
      </c>
      <c r="H874">
        <v>195</v>
      </c>
      <c r="I874">
        <v>5</v>
      </c>
      <c r="J874">
        <v>1</v>
      </c>
      <c r="K874">
        <v>64.099999999999994</v>
      </c>
      <c r="L874" t="s">
        <v>115</v>
      </c>
      <c r="M874" t="s">
        <v>116</v>
      </c>
    </row>
    <row r="875" spans="2:13" x14ac:dyDescent="0.2">
      <c r="B875">
        <v>3035</v>
      </c>
      <c r="C875">
        <v>4</v>
      </c>
      <c r="D875">
        <v>0</v>
      </c>
      <c r="E875">
        <v>0</v>
      </c>
      <c r="F875">
        <v>0.6</v>
      </c>
      <c r="G875">
        <v>0.6</v>
      </c>
      <c r="H875">
        <v>0</v>
      </c>
      <c r="I875">
        <v>0</v>
      </c>
      <c r="J875">
        <v>0</v>
      </c>
      <c r="K875">
        <v>50</v>
      </c>
      <c r="L875" t="s">
        <v>113</v>
      </c>
      <c r="M875" t="s">
        <v>114</v>
      </c>
    </row>
    <row r="876" spans="2:13" x14ac:dyDescent="0.2">
      <c r="B876">
        <v>3035</v>
      </c>
      <c r="C876">
        <v>4</v>
      </c>
      <c r="D876">
        <v>6</v>
      </c>
      <c r="E876">
        <v>0.1</v>
      </c>
      <c r="F876">
        <v>0.6</v>
      </c>
      <c r="G876">
        <v>0.6</v>
      </c>
      <c r="H876">
        <v>65</v>
      </c>
      <c r="I876">
        <v>0</v>
      </c>
      <c r="J876">
        <v>0</v>
      </c>
      <c r="K876">
        <v>36.799999999999997</v>
      </c>
      <c r="L876" t="s">
        <v>115</v>
      </c>
      <c r="M876" t="s">
        <v>116</v>
      </c>
    </row>
    <row r="877" spans="2:13" x14ac:dyDescent="0.2">
      <c r="B877">
        <v>3035</v>
      </c>
      <c r="C877">
        <v>4</v>
      </c>
      <c r="D877">
        <v>12.1</v>
      </c>
      <c r="E877">
        <v>0.2</v>
      </c>
      <c r="F877">
        <v>0.6</v>
      </c>
      <c r="G877">
        <v>0.6</v>
      </c>
      <c r="H877">
        <v>130</v>
      </c>
      <c r="I877">
        <v>4</v>
      </c>
      <c r="J877">
        <v>0</v>
      </c>
      <c r="K877">
        <v>38.200000000000003</v>
      </c>
      <c r="L877" t="s">
        <v>115</v>
      </c>
      <c r="M877" t="s">
        <v>116</v>
      </c>
    </row>
    <row r="878" spans="2:13" x14ac:dyDescent="0.2">
      <c r="B878">
        <v>3035</v>
      </c>
      <c r="C878">
        <v>4</v>
      </c>
      <c r="D878">
        <v>12.4</v>
      </c>
      <c r="E878">
        <v>0.21</v>
      </c>
      <c r="F878">
        <v>0.6</v>
      </c>
      <c r="G878">
        <v>0.6</v>
      </c>
      <c r="H878">
        <v>134</v>
      </c>
      <c r="I878">
        <v>4</v>
      </c>
      <c r="J878">
        <v>1</v>
      </c>
      <c r="K878">
        <v>38.1</v>
      </c>
      <c r="L878" t="s">
        <v>142</v>
      </c>
      <c r="M878" t="s">
        <v>118</v>
      </c>
    </row>
    <row r="879" spans="2:13" x14ac:dyDescent="0.2">
      <c r="B879">
        <v>3035</v>
      </c>
      <c r="C879">
        <v>4</v>
      </c>
      <c r="D879">
        <v>18.100000000000001</v>
      </c>
      <c r="E879">
        <v>0.3</v>
      </c>
      <c r="F879">
        <v>0.6</v>
      </c>
      <c r="G879">
        <v>0.6</v>
      </c>
      <c r="H879">
        <v>195</v>
      </c>
      <c r="I879">
        <v>6</v>
      </c>
      <c r="J879">
        <v>1</v>
      </c>
      <c r="K879">
        <v>37.5</v>
      </c>
      <c r="L879" t="s">
        <v>132</v>
      </c>
      <c r="M879" t="s">
        <v>116</v>
      </c>
    </row>
    <row r="880" spans="2:13" x14ac:dyDescent="0.2">
      <c r="B880">
        <v>3035</v>
      </c>
      <c r="C880">
        <v>5</v>
      </c>
      <c r="D880">
        <v>0</v>
      </c>
      <c r="E880">
        <v>0</v>
      </c>
      <c r="F880">
        <v>0.6</v>
      </c>
      <c r="G880">
        <v>0.6</v>
      </c>
      <c r="H880">
        <v>0</v>
      </c>
      <c r="I880">
        <v>0</v>
      </c>
      <c r="J880">
        <v>0</v>
      </c>
      <c r="K880">
        <v>50</v>
      </c>
      <c r="L880" t="s">
        <v>113</v>
      </c>
      <c r="M880" t="s">
        <v>114</v>
      </c>
    </row>
    <row r="881" spans="2:13" x14ac:dyDescent="0.2">
      <c r="B881">
        <v>3035</v>
      </c>
      <c r="C881">
        <v>5</v>
      </c>
      <c r="D881">
        <v>6</v>
      </c>
      <c r="E881">
        <v>0.1</v>
      </c>
      <c r="F881">
        <v>0.6</v>
      </c>
      <c r="G881">
        <v>0.6</v>
      </c>
      <c r="H881">
        <v>65</v>
      </c>
      <c r="I881">
        <v>0</v>
      </c>
      <c r="J881">
        <v>0</v>
      </c>
      <c r="K881">
        <v>38</v>
      </c>
      <c r="L881" t="s">
        <v>115</v>
      </c>
      <c r="M881" t="s">
        <v>116</v>
      </c>
    </row>
    <row r="882" spans="2:13" x14ac:dyDescent="0.2">
      <c r="B882">
        <v>3035</v>
      </c>
      <c r="C882">
        <v>5</v>
      </c>
      <c r="D882">
        <v>8.8000000000000007</v>
      </c>
      <c r="E882">
        <v>0.15</v>
      </c>
      <c r="F882">
        <v>0.6</v>
      </c>
      <c r="G882">
        <v>0.6</v>
      </c>
      <c r="H882">
        <v>96</v>
      </c>
      <c r="I882">
        <v>0</v>
      </c>
      <c r="J882">
        <v>1</v>
      </c>
      <c r="K882">
        <v>71.8</v>
      </c>
      <c r="L882" t="s">
        <v>122</v>
      </c>
      <c r="M882" t="s">
        <v>118</v>
      </c>
    </row>
    <row r="883" spans="2:13" x14ac:dyDescent="0.2">
      <c r="B883">
        <v>3035</v>
      </c>
      <c r="C883">
        <v>5</v>
      </c>
      <c r="D883">
        <v>12.1</v>
      </c>
      <c r="E883">
        <v>0.2</v>
      </c>
      <c r="F883">
        <v>0.6</v>
      </c>
      <c r="G883">
        <v>0.6</v>
      </c>
      <c r="H883">
        <v>130</v>
      </c>
      <c r="I883">
        <v>2</v>
      </c>
      <c r="J883">
        <v>1</v>
      </c>
      <c r="K883">
        <v>77.099999999999994</v>
      </c>
      <c r="L883" t="s">
        <v>136</v>
      </c>
      <c r="M883" t="s">
        <v>116</v>
      </c>
    </row>
    <row r="884" spans="2:13" x14ac:dyDescent="0.2">
      <c r="B884">
        <v>3035</v>
      </c>
      <c r="C884">
        <v>5</v>
      </c>
      <c r="D884">
        <v>18.100000000000001</v>
      </c>
      <c r="E884">
        <v>0.3</v>
      </c>
      <c r="F884">
        <v>0.6</v>
      </c>
      <c r="G884">
        <v>0.7</v>
      </c>
      <c r="H884">
        <v>195</v>
      </c>
      <c r="I884">
        <v>5</v>
      </c>
      <c r="J884">
        <v>1</v>
      </c>
      <c r="K884">
        <v>83.5</v>
      </c>
      <c r="L884" t="s">
        <v>128</v>
      </c>
      <c r="M884" t="s">
        <v>116</v>
      </c>
    </row>
    <row r="885" spans="2:13" x14ac:dyDescent="0.2">
      <c r="B885">
        <v>3036</v>
      </c>
      <c r="C885">
        <v>1</v>
      </c>
      <c r="D885">
        <v>0</v>
      </c>
      <c r="E885">
        <v>0</v>
      </c>
      <c r="F885">
        <v>0.6</v>
      </c>
      <c r="G885">
        <v>0.6</v>
      </c>
      <c r="H885">
        <v>0</v>
      </c>
      <c r="I885">
        <v>0</v>
      </c>
      <c r="J885">
        <v>0</v>
      </c>
      <c r="K885">
        <v>50</v>
      </c>
      <c r="L885" t="s">
        <v>113</v>
      </c>
      <c r="M885" t="s">
        <v>114</v>
      </c>
    </row>
    <row r="886" spans="2:13" x14ac:dyDescent="0.2">
      <c r="B886">
        <v>3036</v>
      </c>
      <c r="C886">
        <v>1</v>
      </c>
      <c r="D886">
        <v>6</v>
      </c>
      <c r="E886">
        <v>0.1</v>
      </c>
      <c r="F886">
        <v>0.6</v>
      </c>
      <c r="G886">
        <v>0.6</v>
      </c>
      <c r="H886">
        <v>65</v>
      </c>
      <c r="I886">
        <v>0</v>
      </c>
      <c r="J886">
        <v>0</v>
      </c>
      <c r="K886">
        <v>44.2</v>
      </c>
      <c r="L886" t="s">
        <v>115</v>
      </c>
      <c r="M886" t="s">
        <v>116</v>
      </c>
    </row>
    <row r="887" spans="2:13" x14ac:dyDescent="0.2">
      <c r="B887">
        <v>3036</v>
      </c>
      <c r="C887">
        <v>1</v>
      </c>
      <c r="D887">
        <v>10.6</v>
      </c>
      <c r="E887">
        <v>0.18</v>
      </c>
      <c r="F887">
        <v>0.6</v>
      </c>
      <c r="G887">
        <v>0.6</v>
      </c>
      <c r="H887">
        <v>114</v>
      </c>
      <c r="I887">
        <v>6</v>
      </c>
      <c r="J887">
        <v>1</v>
      </c>
      <c r="K887">
        <v>84.3</v>
      </c>
      <c r="L887" t="s">
        <v>117</v>
      </c>
      <c r="M887" t="s">
        <v>118</v>
      </c>
    </row>
    <row r="888" spans="2:13" x14ac:dyDescent="0.2">
      <c r="B888">
        <v>3036</v>
      </c>
      <c r="C888">
        <v>1</v>
      </c>
      <c r="D888">
        <v>12.1</v>
      </c>
      <c r="E888">
        <v>0.2</v>
      </c>
      <c r="F888">
        <v>0.6</v>
      </c>
      <c r="G888">
        <v>0.6</v>
      </c>
      <c r="H888">
        <v>130</v>
      </c>
      <c r="I888">
        <v>7</v>
      </c>
      <c r="J888">
        <v>1</v>
      </c>
      <c r="K888">
        <v>83.8</v>
      </c>
      <c r="L888" t="s">
        <v>138</v>
      </c>
      <c r="M888" t="s">
        <v>116</v>
      </c>
    </row>
    <row r="889" spans="2:13" x14ac:dyDescent="0.2">
      <c r="B889">
        <v>3036</v>
      </c>
      <c r="C889">
        <v>1</v>
      </c>
      <c r="D889">
        <v>18.100000000000001</v>
      </c>
      <c r="E889">
        <v>0.3</v>
      </c>
      <c r="F889">
        <v>0.6</v>
      </c>
      <c r="G889">
        <v>0.6</v>
      </c>
      <c r="H889">
        <v>195</v>
      </c>
      <c r="I889">
        <v>14</v>
      </c>
      <c r="J889">
        <v>1</v>
      </c>
      <c r="K889">
        <v>85.4</v>
      </c>
      <c r="L889" t="s">
        <v>115</v>
      </c>
      <c r="M889" t="s">
        <v>116</v>
      </c>
    </row>
    <row r="890" spans="2:13" x14ac:dyDescent="0.2">
      <c r="B890">
        <v>3036</v>
      </c>
      <c r="C890">
        <v>2</v>
      </c>
      <c r="D890">
        <v>0</v>
      </c>
      <c r="E890">
        <v>0</v>
      </c>
      <c r="F890">
        <v>0.6</v>
      </c>
      <c r="G890">
        <v>0.6</v>
      </c>
      <c r="H890">
        <v>0</v>
      </c>
      <c r="I890">
        <v>0</v>
      </c>
      <c r="J890">
        <v>0</v>
      </c>
      <c r="K890">
        <v>50</v>
      </c>
      <c r="L890" t="s">
        <v>113</v>
      </c>
      <c r="M890" t="s">
        <v>114</v>
      </c>
    </row>
    <row r="891" spans="2:13" x14ac:dyDescent="0.2">
      <c r="B891">
        <v>3036</v>
      </c>
      <c r="C891">
        <v>2</v>
      </c>
      <c r="D891">
        <v>6</v>
      </c>
      <c r="E891">
        <v>0.1</v>
      </c>
      <c r="F891">
        <v>0.6</v>
      </c>
      <c r="G891">
        <v>0.6</v>
      </c>
      <c r="H891">
        <v>65</v>
      </c>
      <c r="I891">
        <v>0</v>
      </c>
      <c r="J891">
        <v>0</v>
      </c>
      <c r="K891">
        <v>43.4</v>
      </c>
      <c r="L891" t="s">
        <v>115</v>
      </c>
      <c r="M891" t="s">
        <v>116</v>
      </c>
    </row>
    <row r="892" spans="2:13" x14ac:dyDescent="0.2">
      <c r="B892">
        <v>3036</v>
      </c>
      <c r="C892">
        <v>2</v>
      </c>
      <c r="D892">
        <v>12.1</v>
      </c>
      <c r="E892">
        <v>0.2</v>
      </c>
      <c r="F892">
        <v>0.6</v>
      </c>
      <c r="G892">
        <v>0.7</v>
      </c>
      <c r="H892">
        <v>130</v>
      </c>
      <c r="I892">
        <v>2</v>
      </c>
      <c r="J892">
        <v>0</v>
      </c>
      <c r="K892">
        <v>93.8</v>
      </c>
      <c r="L892" t="s">
        <v>128</v>
      </c>
      <c r="M892" t="s">
        <v>116</v>
      </c>
    </row>
    <row r="893" spans="2:13" x14ac:dyDescent="0.2">
      <c r="B893">
        <v>3036</v>
      </c>
      <c r="C893">
        <v>3</v>
      </c>
      <c r="D893">
        <v>0</v>
      </c>
      <c r="E893">
        <v>0</v>
      </c>
      <c r="F893">
        <v>0.6</v>
      </c>
      <c r="G893">
        <v>0.6</v>
      </c>
      <c r="H893">
        <v>0</v>
      </c>
      <c r="I893">
        <v>0</v>
      </c>
      <c r="J893">
        <v>0</v>
      </c>
      <c r="K893">
        <v>50</v>
      </c>
      <c r="L893" t="s">
        <v>113</v>
      </c>
      <c r="M893" t="s">
        <v>114</v>
      </c>
    </row>
    <row r="894" spans="2:13" x14ac:dyDescent="0.2">
      <c r="B894">
        <v>3036</v>
      </c>
      <c r="C894">
        <v>3</v>
      </c>
      <c r="D894">
        <v>6</v>
      </c>
      <c r="E894">
        <v>0.1</v>
      </c>
      <c r="F894">
        <v>0.6</v>
      </c>
      <c r="G894">
        <v>0.6</v>
      </c>
      <c r="H894">
        <v>65</v>
      </c>
      <c r="I894">
        <v>0</v>
      </c>
      <c r="J894">
        <v>0</v>
      </c>
      <c r="K894">
        <v>93.4</v>
      </c>
      <c r="L894" t="s">
        <v>115</v>
      </c>
      <c r="M894" t="s">
        <v>116</v>
      </c>
    </row>
    <row r="895" spans="2:13" x14ac:dyDescent="0.2">
      <c r="B895">
        <v>3036</v>
      </c>
      <c r="C895">
        <v>3</v>
      </c>
      <c r="D895">
        <v>12.1</v>
      </c>
      <c r="E895">
        <v>0.2</v>
      </c>
      <c r="F895">
        <v>0.6</v>
      </c>
      <c r="G895">
        <v>0.6</v>
      </c>
      <c r="H895">
        <v>130</v>
      </c>
      <c r="I895">
        <v>4</v>
      </c>
      <c r="J895">
        <v>0</v>
      </c>
      <c r="K895">
        <v>94</v>
      </c>
      <c r="L895" t="s">
        <v>115</v>
      </c>
      <c r="M895" t="s">
        <v>116</v>
      </c>
    </row>
    <row r="896" spans="2:13" x14ac:dyDescent="0.2">
      <c r="B896">
        <v>3036</v>
      </c>
      <c r="C896">
        <v>3</v>
      </c>
      <c r="D896">
        <v>16.3</v>
      </c>
      <c r="E896">
        <v>0.27</v>
      </c>
      <c r="F896">
        <v>0.6</v>
      </c>
      <c r="G896">
        <v>0.6</v>
      </c>
      <c r="H896">
        <v>176</v>
      </c>
      <c r="I896">
        <v>8</v>
      </c>
      <c r="J896">
        <v>1</v>
      </c>
      <c r="K896">
        <v>81.099999999999994</v>
      </c>
      <c r="L896" t="s">
        <v>122</v>
      </c>
      <c r="M896" t="s">
        <v>118</v>
      </c>
    </row>
    <row r="897" spans="2:13" x14ac:dyDescent="0.2">
      <c r="B897">
        <v>3036</v>
      </c>
      <c r="C897">
        <v>3</v>
      </c>
      <c r="D897">
        <v>18.100000000000001</v>
      </c>
      <c r="E897">
        <v>0.3</v>
      </c>
      <c r="F897">
        <v>0.6</v>
      </c>
      <c r="G897">
        <v>0.6</v>
      </c>
      <c r="H897">
        <v>195</v>
      </c>
      <c r="I897">
        <v>11</v>
      </c>
      <c r="J897">
        <v>1</v>
      </c>
      <c r="K897">
        <v>81.3</v>
      </c>
      <c r="L897" t="s">
        <v>121</v>
      </c>
      <c r="M897" t="s">
        <v>116</v>
      </c>
    </row>
    <row r="898" spans="2:13" x14ac:dyDescent="0.2">
      <c r="B898">
        <v>3036</v>
      </c>
      <c r="C898">
        <v>4</v>
      </c>
      <c r="D898">
        <v>0</v>
      </c>
      <c r="E898">
        <v>0</v>
      </c>
      <c r="F898">
        <v>0.6</v>
      </c>
      <c r="G898">
        <v>0.6</v>
      </c>
      <c r="H898">
        <v>0</v>
      </c>
      <c r="I898">
        <v>0</v>
      </c>
      <c r="J898">
        <v>0</v>
      </c>
      <c r="K898">
        <v>50</v>
      </c>
      <c r="L898" t="s">
        <v>113</v>
      </c>
      <c r="M898" t="s">
        <v>114</v>
      </c>
    </row>
    <row r="899" spans="2:13" x14ac:dyDescent="0.2">
      <c r="B899">
        <v>3036</v>
      </c>
      <c r="C899">
        <v>4</v>
      </c>
      <c r="D899">
        <v>6</v>
      </c>
      <c r="E899">
        <v>0.1</v>
      </c>
      <c r="F899">
        <v>0.6</v>
      </c>
      <c r="G899">
        <v>0.6</v>
      </c>
      <c r="H899">
        <v>65</v>
      </c>
      <c r="I899">
        <v>0</v>
      </c>
      <c r="J899">
        <v>0</v>
      </c>
      <c r="K899">
        <v>97.5</v>
      </c>
      <c r="L899" t="s">
        <v>115</v>
      </c>
      <c r="M899" t="s">
        <v>116</v>
      </c>
    </row>
    <row r="900" spans="2:13" x14ac:dyDescent="0.2">
      <c r="B900">
        <v>3036</v>
      </c>
      <c r="C900">
        <v>4</v>
      </c>
      <c r="D900">
        <v>6.6</v>
      </c>
      <c r="E900">
        <v>0.11</v>
      </c>
      <c r="F900">
        <v>0.6</v>
      </c>
      <c r="G900">
        <v>0.6</v>
      </c>
      <c r="H900">
        <v>72</v>
      </c>
      <c r="I900">
        <v>1</v>
      </c>
      <c r="J900">
        <v>1</v>
      </c>
      <c r="K900">
        <v>72.400000000000006</v>
      </c>
      <c r="L900" t="s">
        <v>129</v>
      </c>
      <c r="M900" t="s">
        <v>118</v>
      </c>
    </row>
    <row r="901" spans="2:13" x14ac:dyDescent="0.2">
      <c r="B901">
        <v>3036</v>
      </c>
      <c r="C901">
        <v>4</v>
      </c>
      <c r="D901">
        <v>12.1</v>
      </c>
      <c r="E901">
        <v>0.2</v>
      </c>
      <c r="F901">
        <v>0.6</v>
      </c>
      <c r="G901">
        <v>0.6</v>
      </c>
      <c r="H901">
        <v>130</v>
      </c>
      <c r="I901">
        <v>5</v>
      </c>
      <c r="J901">
        <v>1</v>
      </c>
      <c r="K901">
        <v>84</v>
      </c>
      <c r="L901" t="s">
        <v>124</v>
      </c>
      <c r="M901" t="s">
        <v>116</v>
      </c>
    </row>
    <row r="902" spans="2:13" x14ac:dyDescent="0.2">
      <c r="B902">
        <v>3036</v>
      </c>
      <c r="C902">
        <v>4</v>
      </c>
      <c r="D902">
        <v>18.100000000000001</v>
      </c>
      <c r="E902">
        <v>0.3</v>
      </c>
      <c r="F902">
        <v>0.6</v>
      </c>
      <c r="G902">
        <v>0.6</v>
      </c>
      <c r="H902">
        <v>195</v>
      </c>
      <c r="I902">
        <v>11</v>
      </c>
      <c r="J902">
        <v>1</v>
      </c>
      <c r="K902">
        <v>85.8</v>
      </c>
      <c r="L902" t="s">
        <v>115</v>
      </c>
      <c r="M902" t="s">
        <v>116</v>
      </c>
    </row>
    <row r="903" spans="2:13" x14ac:dyDescent="0.2">
      <c r="B903">
        <v>3036</v>
      </c>
      <c r="C903">
        <v>5</v>
      </c>
      <c r="D903">
        <v>0</v>
      </c>
      <c r="E903">
        <v>0</v>
      </c>
      <c r="F903">
        <v>0.6</v>
      </c>
      <c r="G903">
        <v>0.6</v>
      </c>
      <c r="H903">
        <v>0</v>
      </c>
      <c r="I903">
        <v>0</v>
      </c>
      <c r="J903">
        <v>0</v>
      </c>
      <c r="K903">
        <v>50</v>
      </c>
      <c r="L903" t="s">
        <v>113</v>
      </c>
      <c r="M903" t="s">
        <v>114</v>
      </c>
    </row>
    <row r="904" spans="2:13" x14ac:dyDescent="0.2">
      <c r="B904">
        <v>3036</v>
      </c>
      <c r="C904">
        <v>5</v>
      </c>
      <c r="D904">
        <v>6</v>
      </c>
      <c r="E904">
        <v>0.1</v>
      </c>
      <c r="F904">
        <v>0.6</v>
      </c>
      <c r="G904">
        <v>0.6</v>
      </c>
      <c r="H904">
        <v>65</v>
      </c>
      <c r="I904">
        <v>0</v>
      </c>
      <c r="J904">
        <v>0</v>
      </c>
      <c r="K904">
        <v>44.6</v>
      </c>
      <c r="L904" t="s">
        <v>115</v>
      </c>
      <c r="M904" t="s">
        <v>116</v>
      </c>
    </row>
    <row r="905" spans="2:13" x14ac:dyDescent="0.2">
      <c r="B905">
        <v>3036</v>
      </c>
      <c r="C905">
        <v>5</v>
      </c>
      <c r="D905">
        <v>12.1</v>
      </c>
      <c r="E905">
        <v>0.2</v>
      </c>
      <c r="F905">
        <v>0.6</v>
      </c>
      <c r="G905">
        <v>0.6</v>
      </c>
      <c r="H905">
        <v>130</v>
      </c>
      <c r="I905">
        <v>1</v>
      </c>
      <c r="J905">
        <v>0</v>
      </c>
      <c r="K905">
        <v>43.2</v>
      </c>
      <c r="L905" t="s">
        <v>115</v>
      </c>
      <c r="M905" t="s">
        <v>116</v>
      </c>
    </row>
    <row r="906" spans="2:13" x14ac:dyDescent="0.2">
      <c r="B906">
        <v>3036</v>
      </c>
      <c r="C906">
        <v>5</v>
      </c>
      <c r="D906">
        <v>18.100000000000001</v>
      </c>
      <c r="E906">
        <v>0.3</v>
      </c>
      <c r="F906">
        <v>0.6</v>
      </c>
      <c r="G906">
        <v>0.6</v>
      </c>
      <c r="H906">
        <v>195</v>
      </c>
      <c r="I906">
        <v>3</v>
      </c>
      <c r="J906">
        <v>0</v>
      </c>
      <c r="K906">
        <v>93.5</v>
      </c>
      <c r="L906" t="s">
        <v>115</v>
      </c>
      <c r="M906" t="s">
        <v>116</v>
      </c>
    </row>
    <row r="907" spans="2:13" x14ac:dyDescent="0.2">
      <c r="B907">
        <v>3037</v>
      </c>
      <c r="C907">
        <v>1</v>
      </c>
      <c r="D907">
        <v>0</v>
      </c>
      <c r="E907">
        <v>0</v>
      </c>
      <c r="F907">
        <v>0.6</v>
      </c>
      <c r="G907">
        <v>0.6</v>
      </c>
      <c r="H907">
        <v>0</v>
      </c>
      <c r="I907">
        <v>0</v>
      </c>
      <c r="J907">
        <v>0</v>
      </c>
      <c r="K907">
        <v>50</v>
      </c>
      <c r="L907" t="s">
        <v>113</v>
      </c>
      <c r="M907" t="s">
        <v>114</v>
      </c>
    </row>
    <row r="908" spans="2:13" x14ac:dyDescent="0.2">
      <c r="B908">
        <v>3037</v>
      </c>
      <c r="C908">
        <v>1</v>
      </c>
      <c r="D908">
        <v>6</v>
      </c>
      <c r="E908">
        <v>0.1</v>
      </c>
      <c r="F908">
        <v>0.6</v>
      </c>
      <c r="G908">
        <v>0.6</v>
      </c>
      <c r="H908">
        <v>65</v>
      </c>
      <c r="I908">
        <v>0</v>
      </c>
      <c r="J908">
        <v>0</v>
      </c>
      <c r="K908">
        <v>40.1</v>
      </c>
      <c r="L908" t="s">
        <v>115</v>
      </c>
      <c r="M908" t="s">
        <v>116</v>
      </c>
    </row>
    <row r="909" spans="2:13" x14ac:dyDescent="0.2">
      <c r="B909">
        <v>3037</v>
      </c>
      <c r="C909">
        <v>1</v>
      </c>
      <c r="D909">
        <v>12.1</v>
      </c>
      <c r="E909">
        <v>0.2</v>
      </c>
      <c r="F909">
        <v>0.6</v>
      </c>
      <c r="G909">
        <v>0.7</v>
      </c>
      <c r="H909">
        <v>130</v>
      </c>
      <c r="I909">
        <v>5</v>
      </c>
      <c r="J909">
        <v>0</v>
      </c>
      <c r="K909">
        <v>87.3</v>
      </c>
      <c r="L909" t="s">
        <v>128</v>
      </c>
      <c r="M909" t="s">
        <v>116</v>
      </c>
    </row>
    <row r="910" spans="2:13" x14ac:dyDescent="0.2">
      <c r="B910">
        <v>3037</v>
      </c>
      <c r="C910">
        <v>2</v>
      </c>
      <c r="D910">
        <v>0</v>
      </c>
      <c r="E910">
        <v>0</v>
      </c>
      <c r="F910">
        <v>0.6</v>
      </c>
      <c r="G910">
        <v>0.6</v>
      </c>
      <c r="H910">
        <v>0</v>
      </c>
      <c r="I910">
        <v>0</v>
      </c>
      <c r="J910">
        <v>0</v>
      </c>
      <c r="K910">
        <v>50</v>
      </c>
      <c r="L910" t="s">
        <v>113</v>
      </c>
      <c r="M910" t="s">
        <v>114</v>
      </c>
    </row>
    <row r="911" spans="2:13" x14ac:dyDescent="0.2">
      <c r="B911">
        <v>3037</v>
      </c>
      <c r="C911">
        <v>2</v>
      </c>
      <c r="D911">
        <v>6</v>
      </c>
      <c r="E911">
        <v>0.1</v>
      </c>
      <c r="F911">
        <v>0.6</v>
      </c>
      <c r="G911">
        <v>0.6</v>
      </c>
      <c r="H911">
        <v>65</v>
      </c>
      <c r="I911">
        <v>0</v>
      </c>
      <c r="J911">
        <v>0</v>
      </c>
      <c r="K911">
        <v>40.1</v>
      </c>
      <c r="L911" t="s">
        <v>115</v>
      </c>
      <c r="M911" t="s">
        <v>116</v>
      </c>
    </row>
    <row r="912" spans="2:13" x14ac:dyDescent="0.2">
      <c r="B912">
        <v>3037</v>
      </c>
      <c r="C912">
        <v>2</v>
      </c>
      <c r="D912">
        <v>12.1</v>
      </c>
      <c r="E912">
        <v>0.2</v>
      </c>
      <c r="F912">
        <v>0.6</v>
      </c>
      <c r="G912">
        <v>0.6</v>
      </c>
      <c r="H912">
        <v>130</v>
      </c>
      <c r="I912">
        <v>7</v>
      </c>
      <c r="J912">
        <v>0</v>
      </c>
      <c r="K912">
        <v>90.2</v>
      </c>
      <c r="L912" t="s">
        <v>115</v>
      </c>
      <c r="M912" t="s">
        <v>116</v>
      </c>
    </row>
    <row r="913" spans="2:13" x14ac:dyDescent="0.2">
      <c r="B913">
        <v>3037</v>
      </c>
      <c r="C913">
        <v>2</v>
      </c>
      <c r="D913">
        <v>12.1</v>
      </c>
      <c r="E913">
        <v>0.2</v>
      </c>
      <c r="F913">
        <v>0.6</v>
      </c>
      <c r="G913">
        <v>0.6</v>
      </c>
      <c r="H913">
        <v>131</v>
      </c>
      <c r="I913">
        <v>7</v>
      </c>
      <c r="J913">
        <v>1</v>
      </c>
      <c r="K913">
        <v>65.3</v>
      </c>
      <c r="L913" t="s">
        <v>117</v>
      </c>
      <c r="M913" t="s">
        <v>118</v>
      </c>
    </row>
    <row r="914" spans="2:13" x14ac:dyDescent="0.2">
      <c r="B914">
        <v>3037</v>
      </c>
      <c r="C914">
        <v>2</v>
      </c>
      <c r="D914">
        <v>15.5</v>
      </c>
      <c r="E914">
        <v>0.26</v>
      </c>
      <c r="F914">
        <v>0.6</v>
      </c>
      <c r="G914">
        <v>0.6</v>
      </c>
      <c r="H914">
        <v>167</v>
      </c>
      <c r="I914">
        <v>10</v>
      </c>
      <c r="J914">
        <v>2</v>
      </c>
      <c r="K914">
        <v>56.7</v>
      </c>
      <c r="L914" t="s">
        <v>119</v>
      </c>
      <c r="M914" t="s">
        <v>118</v>
      </c>
    </row>
    <row r="915" spans="2:13" x14ac:dyDescent="0.2">
      <c r="B915">
        <v>3037</v>
      </c>
      <c r="C915">
        <v>2</v>
      </c>
      <c r="D915">
        <v>18.100000000000001</v>
      </c>
      <c r="E915">
        <v>0.3</v>
      </c>
      <c r="F915">
        <v>0.6</v>
      </c>
      <c r="G915">
        <v>0.45</v>
      </c>
      <c r="H915">
        <v>195</v>
      </c>
      <c r="I915">
        <v>10</v>
      </c>
      <c r="J915">
        <v>2</v>
      </c>
      <c r="K915">
        <v>57</v>
      </c>
      <c r="L915" t="s">
        <v>126</v>
      </c>
      <c r="M915" t="s">
        <v>116</v>
      </c>
    </row>
    <row r="916" spans="2:13" x14ac:dyDescent="0.2">
      <c r="B916">
        <v>3037</v>
      </c>
      <c r="C916">
        <v>3</v>
      </c>
      <c r="D916">
        <v>0</v>
      </c>
      <c r="E916">
        <v>0</v>
      </c>
      <c r="F916">
        <v>0.6</v>
      </c>
      <c r="G916">
        <v>0.6</v>
      </c>
      <c r="H916">
        <v>0</v>
      </c>
      <c r="I916">
        <v>0</v>
      </c>
      <c r="J916">
        <v>0</v>
      </c>
      <c r="K916">
        <v>50</v>
      </c>
      <c r="L916" t="s">
        <v>113</v>
      </c>
      <c r="M916" t="s">
        <v>114</v>
      </c>
    </row>
    <row r="917" spans="2:13" x14ac:dyDescent="0.2">
      <c r="B917">
        <v>3037</v>
      </c>
      <c r="C917">
        <v>3</v>
      </c>
      <c r="D917">
        <v>6</v>
      </c>
      <c r="E917">
        <v>0.1</v>
      </c>
      <c r="F917">
        <v>0.6</v>
      </c>
      <c r="G917">
        <v>0.6</v>
      </c>
      <c r="H917">
        <v>65</v>
      </c>
      <c r="I917">
        <v>0</v>
      </c>
      <c r="J917">
        <v>0</v>
      </c>
      <c r="K917">
        <v>44.2</v>
      </c>
      <c r="L917" t="s">
        <v>115</v>
      </c>
      <c r="M917" t="s">
        <v>116</v>
      </c>
    </row>
    <row r="918" spans="2:13" x14ac:dyDescent="0.2">
      <c r="B918">
        <v>3037</v>
      </c>
      <c r="C918">
        <v>3</v>
      </c>
      <c r="D918">
        <v>8.6</v>
      </c>
      <c r="E918">
        <v>0.14000000000000001</v>
      </c>
      <c r="F918">
        <v>0.6</v>
      </c>
      <c r="G918">
        <v>0.6</v>
      </c>
      <c r="H918">
        <v>93</v>
      </c>
      <c r="I918">
        <v>2</v>
      </c>
      <c r="J918">
        <v>1</v>
      </c>
      <c r="K918">
        <v>68</v>
      </c>
      <c r="L918" t="s">
        <v>129</v>
      </c>
      <c r="M918" t="s">
        <v>118</v>
      </c>
    </row>
    <row r="919" spans="2:13" x14ac:dyDescent="0.2">
      <c r="B919">
        <v>3037</v>
      </c>
      <c r="C919">
        <v>3</v>
      </c>
      <c r="D919">
        <v>12.1</v>
      </c>
      <c r="E919">
        <v>0.2</v>
      </c>
      <c r="F919">
        <v>0.6</v>
      </c>
      <c r="G919">
        <v>0.6</v>
      </c>
      <c r="H919">
        <v>130</v>
      </c>
      <c r="I919">
        <v>5</v>
      </c>
      <c r="J919">
        <v>1</v>
      </c>
      <c r="K919">
        <v>75.400000000000006</v>
      </c>
      <c r="L919" t="s">
        <v>124</v>
      </c>
      <c r="M919" t="s">
        <v>116</v>
      </c>
    </row>
    <row r="920" spans="2:13" x14ac:dyDescent="0.2">
      <c r="B920">
        <v>3037</v>
      </c>
      <c r="C920">
        <v>3</v>
      </c>
      <c r="D920">
        <v>18.100000000000001</v>
      </c>
      <c r="E920">
        <v>0.3</v>
      </c>
      <c r="F920">
        <v>0.6</v>
      </c>
      <c r="G920">
        <v>0.6</v>
      </c>
      <c r="H920">
        <v>195</v>
      </c>
      <c r="I920">
        <v>7</v>
      </c>
      <c r="J920">
        <v>1</v>
      </c>
      <c r="K920">
        <v>79.900000000000006</v>
      </c>
      <c r="L920" t="s">
        <v>115</v>
      </c>
      <c r="M920" t="s">
        <v>116</v>
      </c>
    </row>
    <row r="921" spans="2:13" x14ac:dyDescent="0.2">
      <c r="B921">
        <v>3037</v>
      </c>
      <c r="C921">
        <v>4</v>
      </c>
      <c r="D921">
        <v>0</v>
      </c>
      <c r="E921">
        <v>0</v>
      </c>
      <c r="F921">
        <v>0.6</v>
      </c>
      <c r="G921">
        <v>0.6</v>
      </c>
      <c r="H921">
        <v>0</v>
      </c>
      <c r="I921">
        <v>0</v>
      </c>
      <c r="J921">
        <v>0</v>
      </c>
      <c r="K921">
        <v>50</v>
      </c>
      <c r="L921" t="s">
        <v>113</v>
      </c>
      <c r="M921" t="s">
        <v>114</v>
      </c>
    </row>
    <row r="922" spans="2:13" x14ac:dyDescent="0.2">
      <c r="B922">
        <v>3037</v>
      </c>
      <c r="C922">
        <v>4</v>
      </c>
      <c r="D922">
        <v>6</v>
      </c>
      <c r="E922">
        <v>0.1</v>
      </c>
      <c r="F922">
        <v>0.6</v>
      </c>
      <c r="G922">
        <v>0.6</v>
      </c>
      <c r="H922">
        <v>65</v>
      </c>
      <c r="I922">
        <v>1</v>
      </c>
      <c r="J922">
        <v>0</v>
      </c>
      <c r="K922">
        <v>41.7</v>
      </c>
      <c r="L922" t="s">
        <v>115</v>
      </c>
      <c r="M922" t="s">
        <v>116</v>
      </c>
    </row>
    <row r="923" spans="2:13" x14ac:dyDescent="0.2">
      <c r="B923">
        <v>3037</v>
      </c>
      <c r="C923">
        <v>4</v>
      </c>
      <c r="D923">
        <v>7.2</v>
      </c>
      <c r="E923">
        <v>0.12</v>
      </c>
      <c r="F923">
        <v>0.6</v>
      </c>
      <c r="G923">
        <v>0.6</v>
      </c>
      <c r="H923">
        <v>78</v>
      </c>
      <c r="I923">
        <v>2</v>
      </c>
      <c r="J923">
        <v>1</v>
      </c>
      <c r="K923">
        <v>40.299999999999997</v>
      </c>
      <c r="L923" t="s">
        <v>122</v>
      </c>
      <c r="M923" t="s">
        <v>118</v>
      </c>
    </row>
    <row r="924" spans="2:13" x14ac:dyDescent="0.2">
      <c r="B924">
        <v>3037</v>
      </c>
      <c r="C924">
        <v>4</v>
      </c>
      <c r="D924">
        <v>8.6</v>
      </c>
      <c r="E924">
        <v>0.14000000000000001</v>
      </c>
      <c r="F924">
        <v>0.6</v>
      </c>
      <c r="G924">
        <v>0.6</v>
      </c>
      <c r="H924">
        <v>93</v>
      </c>
      <c r="I924">
        <v>3</v>
      </c>
      <c r="J924">
        <v>2</v>
      </c>
      <c r="K924">
        <v>40.700000000000003</v>
      </c>
      <c r="L924" t="s">
        <v>119</v>
      </c>
      <c r="M924" t="s">
        <v>118</v>
      </c>
    </row>
    <row r="925" spans="2:13" x14ac:dyDescent="0.2">
      <c r="B925">
        <v>3037</v>
      </c>
      <c r="C925">
        <v>4</v>
      </c>
      <c r="D925">
        <v>12.1</v>
      </c>
      <c r="E925">
        <v>0.2</v>
      </c>
      <c r="F925">
        <v>0.6</v>
      </c>
      <c r="G925">
        <v>0.45</v>
      </c>
      <c r="H925">
        <v>130</v>
      </c>
      <c r="I925">
        <v>4</v>
      </c>
      <c r="J925">
        <v>2</v>
      </c>
      <c r="K925">
        <v>39.200000000000003</v>
      </c>
      <c r="L925" t="s">
        <v>126</v>
      </c>
      <c r="M925" t="s">
        <v>116</v>
      </c>
    </row>
    <row r="926" spans="2:13" x14ac:dyDescent="0.2">
      <c r="B926">
        <v>3037</v>
      </c>
      <c r="C926">
        <v>4</v>
      </c>
      <c r="D926">
        <v>15.1</v>
      </c>
      <c r="E926">
        <v>0.25</v>
      </c>
      <c r="F926">
        <v>0.45</v>
      </c>
      <c r="G926">
        <v>0.45</v>
      </c>
      <c r="H926">
        <v>154</v>
      </c>
      <c r="I926">
        <v>4</v>
      </c>
      <c r="J926">
        <v>3</v>
      </c>
      <c r="K926">
        <v>52.4</v>
      </c>
      <c r="L926" t="s">
        <v>125</v>
      </c>
      <c r="M926" t="s">
        <v>118</v>
      </c>
    </row>
    <row r="927" spans="2:13" x14ac:dyDescent="0.2">
      <c r="B927">
        <v>3037</v>
      </c>
      <c r="C927">
        <v>4</v>
      </c>
      <c r="D927">
        <v>16.5</v>
      </c>
      <c r="E927">
        <v>0.28000000000000003</v>
      </c>
      <c r="F927">
        <v>0.45</v>
      </c>
      <c r="G927">
        <v>0.45</v>
      </c>
      <c r="H927">
        <v>166</v>
      </c>
      <c r="I927">
        <v>5</v>
      </c>
      <c r="J927">
        <v>4</v>
      </c>
      <c r="K927">
        <v>50.3</v>
      </c>
      <c r="L927" t="s">
        <v>140</v>
      </c>
      <c r="M927" t="s">
        <v>118</v>
      </c>
    </row>
    <row r="928" spans="2:13" x14ac:dyDescent="0.2">
      <c r="B928">
        <v>3037</v>
      </c>
      <c r="C928">
        <v>4</v>
      </c>
      <c r="D928">
        <v>18.100000000000001</v>
      </c>
      <c r="E928">
        <v>0.3</v>
      </c>
      <c r="F928">
        <v>0.45</v>
      </c>
      <c r="G928">
        <v>0.3</v>
      </c>
      <c r="H928">
        <v>179</v>
      </c>
      <c r="I928">
        <v>7</v>
      </c>
      <c r="J928">
        <v>4</v>
      </c>
      <c r="K928">
        <v>50.2</v>
      </c>
      <c r="L928" t="s">
        <v>120</v>
      </c>
      <c r="M928" t="s">
        <v>116</v>
      </c>
    </row>
    <row r="929" spans="2:13" x14ac:dyDescent="0.2">
      <c r="B929">
        <v>3037</v>
      </c>
      <c r="C929">
        <v>5</v>
      </c>
      <c r="D929">
        <v>0</v>
      </c>
      <c r="E929">
        <v>0</v>
      </c>
      <c r="F929">
        <v>0.6</v>
      </c>
      <c r="G929">
        <v>0.6</v>
      </c>
      <c r="H929">
        <v>0</v>
      </c>
      <c r="I929">
        <v>0</v>
      </c>
      <c r="J929">
        <v>0</v>
      </c>
      <c r="K929">
        <v>50</v>
      </c>
      <c r="L929" t="s">
        <v>113</v>
      </c>
      <c r="M929" t="s">
        <v>114</v>
      </c>
    </row>
    <row r="930" spans="2:13" x14ac:dyDescent="0.2">
      <c r="B930">
        <v>3037</v>
      </c>
      <c r="C930">
        <v>5</v>
      </c>
      <c r="D930">
        <v>6</v>
      </c>
      <c r="E930">
        <v>0.1</v>
      </c>
      <c r="F930">
        <v>0.6</v>
      </c>
      <c r="G930">
        <v>0.6</v>
      </c>
      <c r="H930">
        <v>65</v>
      </c>
      <c r="I930">
        <v>0</v>
      </c>
      <c r="J930">
        <v>0</v>
      </c>
      <c r="K930">
        <v>90.5</v>
      </c>
      <c r="L930" t="s">
        <v>115</v>
      </c>
      <c r="M930" t="s">
        <v>116</v>
      </c>
    </row>
    <row r="931" spans="2:13" x14ac:dyDescent="0.2">
      <c r="B931">
        <v>3037</v>
      </c>
      <c r="C931">
        <v>5</v>
      </c>
      <c r="D931">
        <v>9.8000000000000007</v>
      </c>
      <c r="E931">
        <v>0.16</v>
      </c>
      <c r="F931">
        <v>0.6</v>
      </c>
      <c r="G931">
        <v>0.6</v>
      </c>
      <c r="H931">
        <v>106</v>
      </c>
      <c r="I931">
        <v>1</v>
      </c>
      <c r="J931">
        <v>1</v>
      </c>
      <c r="K931">
        <v>78.8</v>
      </c>
      <c r="L931" t="s">
        <v>117</v>
      </c>
      <c r="M931" t="s">
        <v>118</v>
      </c>
    </row>
    <row r="932" spans="2:13" x14ac:dyDescent="0.2">
      <c r="B932">
        <v>3037</v>
      </c>
      <c r="C932">
        <v>5</v>
      </c>
      <c r="D932">
        <v>12.1</v>
      </c>
      <c r="E932">
        <v>0.2</v>
      </c>
      <c r="F932">
        <v>0.6</v>
      </c>
      <c r="G932">
        <v>0.6</v>
      </c>
      <c r="H932">
        <v>130</v>
      </c>
      <c r="I932">
        <v>5</v>
      </c>
      <c r="J932">
        <v>1</v>
      </c>
      <c r="K932">
        <v>81.900000000000006</v>
      </c>
      <c r="L932" t="s">
        <v>136</v>
      </c>
      <c r="M932" t="s">
        <v>116</v>
      </c>
    </row>
    <row r="933" spans="2:13" x14ac:dyDescent="0.2">
      <c r="B933">
        <v>3037</v>
      </c>
      <c r="C933">
        <v>5</v>
      </c>
      <c r="D933">
        <v>14.6</v>
      </c>
      <c r="E933">
        <v>0.24</v>
      </c>
      <c r="F933">
        <v>0.6</v>
      </c>
      <c r="G933">
        <v>0.6</v>
      </c>
      <c r="H933">
        <v>158</v>
      </c>
      <c r="I933">
        <v>7</v>
      </c>
      <c r="J933">
        <v>2</v>
      </c>
      <c r="K933">
        <v>77.7</v>
      </c>
      <c r="L933" t="s">
        <v>119</v>
      </c>
      <c r="M933" t="s">
        <v>118</v>
      </c>
    </row>
    <row r="934" spans="2:13" x14ac:dyDescent="0.2">
      <c r="B934">
        <v>3037</v>
      </c>
      <c r="C934">
        <v>5</v>
      </c>
      <c r="D934">
        <v>18.100000000000001</v>
      </c>
      <c r="E934">
        <v>0.3</v>
      </c>
      <c r="F934">
        <v>0.6</v>
      </c>
      <c r="G934">
        <v>0.6</v>
      </c>
      <c r="H934">
        <v>195</v>
      </c>
      <c r="I934">
        <v>10</v>
      </c>
      <c r="J934">
        <v>2</v>
      </c>
      <c r="K934">
        <v>77.8</v>
      </c>
      <c r="L934" t="s">
        <v>121</v>
      </c>
      <c r="M934" t="s">
        <v>116</v>
      </c>
    </row>
    <row r="935" spans="2:13" x14ac:dyDescent="0.2">
      <c r="B935">
        <v>3038</v>
      </c>
      <c r="C935">
        <v>1</v>
      </c>
      <c r="D935">
        <v>0</v>
      </c>
      <c r="E935">
        <v>0</v>
      </c>
      <c r="F935">
        <v>0.6</v>
      </c>
      <c r="G935">
        <v>0.6</v>
      </c>
      <c r="H935">
        <v>0</v>
      </c>
      <c r="I935">
        <v>0</v>
      </c>
      <c r="J935">
        <v>0</v>
      </c>
      <c r="K935">
        <v>50</v>
      </c>
      <c r="L935" t="s">
        <v>113</v>
      </c>
      <c r="M935" t="s">
        <v>114</v>
      </c>
    </row>
    <row r="936" spans="2:13" x14ac:dyDescent="0.2">
      <c r="B936">
        <v>3038</v>
      </c>
      <c r="C936">
        <v>1</v>
      </c>
      <c r="D936">
        <v>6</v>
      </c>
      <c r="E936">
        <v>0.1</v>
      </c>
      <c r="F936">
        <v>0.6</v>
      </c>
      <c r="G936">
        <v>0.6</v>
      </c>
      <c r="H936">
        <v>65</v>
      </c>
      <c r="I936">
        <v>1</v>
      </c>
      <c r="J936">
        <v>0</v>
      </c>
      <c r="K936">
        <v>45</v>
      </c>
      <c r="L936" t="s">
        <v>115</v>
      </c>
      <c r="M936" t="s">
        <v>116</v>
      </c>
    </row>
    <row r="937" spans="2:13" x14ac:dyDescent="0.2">
      <c r="B937">
        <v>3038</v>
      </c>
      <c r="C937">
        <v>1</v>
      </c>
      <c r="D937">
        <v>12.1</v>
      </c>
      <c r="E937">
        <v>0.2</v>
      </c>
      <c r="F937">
        <v>0.6</v>
      </c>
      <c r="G937">
        <v>0.7</v>
      </c>
      <c r="H937">
        <v>130</v>
      </c>
      <c r="I937">
        <v>3</v>
      </c>
      <c r="J937">
        <v>0</v>
      </c>
      <c r="K937">
        <v>94.2</v>
      </c>
      <c r="L937" t="s">
        <v>128</v>
      </c>
      <c r="M937" t="s">
        <v>116</v>
      </c>
    </row>
    <row r="938" spans="2:13" x14ac:dyDescent="0.2">
      <c r="B938">
        <v>3038</v>
      </c>
      <c r="C938">
        <v>1</v>
      </c>
      <c r="D938">
        <v>15</v>
      </c>
      <c r="E938">
        <v>0.25</v>
      </c>
      <c r="F938">
        <v>0.7</v>
      </c>
      <c r="G938">
        <v>0.7</v>
      </c>
      <c r="H938">
        <v>167</v>
      </c>
      <c r="I938">
        <v>7</v>
      </c>
      <c r="J938">
        <v>1</v>
      </c>
      <c r="K938">
        <v>84.1</v>
      </c>
      <c r="L938" t="s">
        <v>129</v>
      </c>
      <c r="M938" t="s">
        <v>118</v>
      </c>
    </row>
    <row r="939" spans="2:13" x14ac:dyDescent="0.2">
      <c r="B939">
        <v>3038</v>
      </c>
      <c r="C939">
        <v>2</v>
      </c>
      <c r="D939">
        <v>0</v>
      </c>
      <c r="E939">
        <v>0</v>
      </c>
      <c r="F939">
        <v>0.6</v>
      </c>
      <c r="G939">
        <v>0.6</v>
      </c>
      <c r="H939">
        <v>0</v>
      </c>
      <c r="I939">
        <v>0</v>
      </c>
      <c r="J939">
        <v>0</v>
      </c>
      <c r="K939">
        <v>50</v>
      </c>
      <c r="L939" t="s">
        <v>113</v>
      </c>
      <c r="M939" t="s">
        <v>114</v>
      </c>
    </row>
    <row r="940" spans="2:13" x14ac:dyDescent="0.2">
      <c r="B940">
        <v>3038</v>
      </c>
      <c r="C940">
        <v>2</v>
      </c>
      <c r="D940">
        <v>6</v>
      </c>
      <c r="E940">
        <v>0.1</v>
      </c>
      <c r="F940">
        <v>0.6</v>
      </c>
      <c r="G940">
        <v>0.6</v>
      </c>
      <c r="H940">
        <v>65</v>
      </c>
      <c r="I940">
        <v>0</v>
      </c>
      <c r="J940">
        <v>0</v>
      </c>
      <c r="K940">
        <v>41.7</v>
      </c>
      <c r="L940" t="s">
        <v>115</v>
      </c>
      <c r="M940" t="s">
        <v>116</v>
      </c>
    </row>
    <row r="941" spans="2:13" x14ac:dyDescent="0.2">
      <c r="B941">
        <v>3038</v>
      </c>
      <c r="C941">
        <v>2</v>
      </c>
      <c r="D941">
        <v>12.1</v>
      </c>
      <c r="E941">
        <v>0.2</v>
      </c>
      <c r="F941">
        <v>0.6</v>
      </c>
      <c r="G941">
        <v>0.6</v>
      </c>
      <c r="H941">
        <v>130</v>
      </c>
      <c r="I941">
        <v>6</v>
      </c>
      <c r="J941">
        <v>0</v>
      </c>
      <c r="K941">
        <v>44</v>
      </c>
      <c r="L941" t="s">
        <v>115</v>
      </c>
      <c r="M941" t="s">
        <v>116</v>
      </c>
    </row>
    <row r="942" spans="2:13" x14ac:dyDescent="0.2">
      <c r="B942">
        <v>3038</v>
      </c>
      <c r="C942">
        <v>2</v>
      </c>
      <c r="D942">
        <v>18.100000000000001</v>
      </c>
      <c r="E942">
        <v>0.3</v>
      </c>
      <c r="F942">
        <v>0.6</v>
      </c>
      <c r="G942">
        <v>0.6</v>
      </c>
      <c r="H942">
        <v>195</v>
      </c>
      <c r="I942">
        <v>9</v>
      </c>
      <c r="J942">
        <v>0</v>
      </c>
      <c r="K942">
        <v>94.7</v>
      </c>
      <c r="L942" t="s">
        <v>115</v>
      </c>
      <c r="M942" t="s">
        <v>116</v>
      </c>
    </row>
    <row r="943" spans="2:13" x14ac:dyDescent="0.2">
      <c r="B943">
        <v>3038</v>
      </c>
      <c r="C943">
        <v>3</v>
      </c>
      <c r="D943">
        <v>0</v>
      </c>
      <c r="E943">
        <v>0</v>
      </c>
      <c r="F943">
        <v>0.6</v>
      </c>
      <c r="G943">
        <v>0.6</v>
      </c>
      <c r="H943">
        <v>0</v>
      </c>
      <c r="I943">
        <v>0</v>
      </c>
      <c r="J943">
        <v>0</v>
      </c>
      <c r="K943">
        <v>50</v>
      </c>
      <c r="L943" t="s">
        <v>113</v>
      </c>
      <c r="M943" t="s">
        <v>114</v>
      </c>
    </row>
    <row r="944" spans="2:13" x14ac:dyDescent="0.2">
      <c r="B944">
        <v>3038</v>
      </c>
      <c r="C944">
        <v>3</v>
      </c>
      <c r="D944">
        <v>6</v>
      </c>
      <c r="E944">
        <v>0.1</v>
      </c>
      <c r="F944">
        <v>0.6</v>
      </c>
      <c r="G944">
        <v>0.6</v>
      </c>
      <c r="H944">
        <v>65</v>
      </c>
      <c r="I944">
        <v>0</v>
      </c>
      <c r="J944">
        <v>0</v>
      </c>
      <c r="K944">
        <v>97.1</v>
      </c>
      <c r="L944" t="s">
        <v>115</v>
      </c>
      <c r="M944" t="s">
        <v>116</v>
      </c>
    </row>
    <row r="945" spans="2:13" x14ac:dyDescent="0.2">
      <c r="B945">
        <v>3038</v>
      </c>
      <c r="C945">
        <v>3</v>
      </c>
      <c r="D945">
        <v>12.1</v>
      </c>
      <c r="E945">
        <v>0.2</v>
      </c>
      <c r="F945">
        <v>0.6</v>
      </c>
      <c r="G945">
        <v>0.7</v>
      </c>
      <c r="H945">
        <v>130</v>
      </c>
      <c r="I945">
        <v>7</v>
      </c>
      <c r="J945">
        <v>0</v>
      </c>
      <c r="K945">
        <v>95.6</v>
      </c>
      <c r="L945" t="s">
        <v>128</v>
      </c>
      <c r="M945" t="s">
        <v>116</v>
      </c>
    </row>
    <row r="946" spans="2:13" x14ac:dyDescent="0.2">
      <c r="B946">
        <v>3038</v>
      </c>
      <c r="C946">
        <v>3</v>
      </c>
      <c r="D946">
        <v>13.3</v>
      </c>
      <c r="E946">
        <v>0.22</v>
      </c>
      <c r="F946">
        <v>0.7</v>
      </c>
      <c r="G946">
        <v>0.7</v>
      </c>
      <c r="H946">
        <v>146</v>
      </c>
      <c r="I946">
        <v>8</v>
      </c>
      <c r="J946">
        <v>1</v>
      </c>
      <c r="K946">
        <v>85.7</v>
      </c>
      <c r="L946" t="s">
        <v>129</v>
      </c>
      <c r="M946" t="s">
        <v>118</v>
      </c>
    </row>
    <row r="947" spans="2:13" x14ac:dyDescent="0.2">
      <c r="B947">
        <v>3038</v>
      </c>
      <c r="C947">
        <v>4</v>
      </c>
      <c r="D947">
        <v>0</v>
      </c>
      <c r="E947">
        <v>0</v>
      </c>
      <c r="F947">
        <v>0.6</v>
      </c>
      <c r="G947">
        <v>0.6</v>
      </c>
      <c r="H947">
        <v>0</v>
      </c>
      <c r="I947">
        <v>0</v>
      </c>
      <c r="J947">
        <v>0</v>
      </c>
      <c r="K947">
        <v>50</v>
      </c>
      <c r="L947" t="s">
        <v>113</v>
      </c>
      <c r="M947" t="s">
        <v>114</v>
      </c>
    </row>
    <row r="948" spans="2:13" x14ac:dyDescent="0.2">
      <c r="B948">
        <v>3038</v>
      </c>
      <c r="C948">
        <v>4</v>
      </c>
      <c r="D948">
        <v>6</v>
      </c>
      <c r="E948">
        <v>0.1</v>
      </c>
      <c r="F948">
        <v>0.6</v>
      </c>
      <c r="G948">
        <v>0.6</v>
      </c>
      <c r="H948">
        <v>65</v>
      </c>
      <c r="I948">
        <v>1</v>
      </c>
      <c r="J948">
        <v>0</v>
      </c>
      <c r="K948">
        <v>43.8</v>
      </c>
      <c r="L948" t="s">
        <v>115</v>
      </c>
      <c r="M948" t="s">
        <v>116</v>
      </c>
    </row>
    <row r="949" spans="2:13" x14ac:dyDescent="0.2">
      <c r="B949">
        <v>3038</v>
      </c>
      <c r="C949">
        <v>4</v>
      </c>
      <c r="D949">
        <v>12.1</v>
      </c>
      <c r="E949">
        <v>0.2</v>
      </c>
      <c r="F949">
        <v>0.6</v>
      </c>
      <c r="G949">
        <v>0.6</v>
      </c>
      <c r="H949">
        <v>130</v>
      </c>
      <c r="I949">
        <v>5</v>
      </c>
      <c r="J949">
        <v>0</v>
      </c>
      <c r="K949">
        <v>93.8</v>
      </c>
      <c r="L949" t="s">
        <v>115</v>
      </c>
      <c r="M949" t="s">
        <v>116</v>
      </c>
    </row>
    <row r="950" spans="2:13" x14ac:dyDescent="0.2">
      <c r="B950">
        <v>3038</v>
      </c>
      <c r="C950">
        <v>4</v>
      </c>
      <c r="D950">
        <v>13.2</v>
      </c>
      <c r="E950">
        <v>0.22</v>
      </c>
      <c r="F950">
        <v>0.6</v>
      </c>
      <c r="G950">
        <v>0.6</v>
      </c>
      <c r="H950">
        <v>142</v>
      </c>
      <c r="I950">
        <v>5</v>
      </c>
      <c r="J950">
        <v>1</v>
      </c>
      <c r="K950">
        <v>77.099999999999994</v>
      </c>
      <c r="L950" t="s">
        <v>117</v>
      </c>
      <c r="M950" t="s">
        <v>118</v>
      </c>
    </row>
    <row r="951" spans="2:13" x14ac:dyDescent="0.2">
      <c r="B951">
        <v>3038</v>
      </c>
      <c r="C951">
        <v>4</v>
      </c>
      <c r="D951">
        <v>18.100000000000001</v>
      </c>
      <c r="E951">
        <v>0.3</v>
      </c>
      <c r="F951">
        <v>0.6</v>
      </c>
      <c r="G951">
        <v>0.6</v>
      </c>
      <c r="H951">
        <v>195</v>
      </c>
      <c r="I951">
        <v>7</v>
      </c>
      <c r="J951">
        <v>1</v>
      </c>
      <c r="K951">
        <v>81.5</v>
      </c>
      <c r="L951" t="s">
        <v>124</v>
      </c>
      <c r="M951" t="s">
        <v>116</v>
      </c>
    </row>
    <row r="952" spans="2:13" x14ac:dyDescent="0.2">
      <c r="B952">
        <v>3038</v>
      </c>
      <c r="C952">
        <v>5</v>
      </c>
      <c r="D952">
        <v>0</v>
      </c>
      <c r="E952">
        <v>0</v>
      </c>
      <c r="F952">
        <v>0.6</v>
      </c>
      <c r="G952">
        <v>0.6</v>
      </c>
      <c r="H952">
        <v>0</v>
      </c>
      <c r="I952">
        <v>0</v>
      </c>
      <c r="J952">
        <v>0</v>
      </c>
      <c r="K952">
        <v>50</v>
      </c>
      <c r="L952" t="s">
        <v>113</v>
      </c>
      <c r="M952" t="s">
        <v>114</v>
      </c>
    </row>
    <row r="953" spans="2:13" x14ac:dyDescent="0.2">
      <c r="B953">
        <v>3038</v>
      </c>
      <c r="C953">
        <v>5</v>
      </c>
      <c r="D953">
        <v>6</v>
      </c>
      <c r="E953">
        <v>0.1</v>
      </c>
      <c r="F953">
        <v>0.6</v>
      </c>
      <c r="G953">
        <v>0.6</v>
      </c>
      <c r="H953">
        <v>65</v>
      </c>
      <c r="I953">
        <v>2</v>
      </c>
      <c r="J953">
        <v>0</v>
      </c>
      <c r="K953">
        <v>95.9</v>
      </c>
      <c r="L953" t="s">
        <v>115</v>
      </c>
      <c r="M953" t="s">
        <v>116</v>
      </c>
    </row>
    <row r="954" spans="2:13" x14ac:dyDescent="0.2">
      <c r="B954">
        <v>3038</v>
      </c>
      <c r="C954">
        <v>5</v>
      </c>
      <c r="D954">
        <v>12.1</v>
      </c>
      <c r="E954">
        <v>0.2</v>
      </c>
      <c r="F954">
        <v>0.6</v>
      </c>
      <c r="G954">
        <v>0.7</v>
      </c>
      <c r="H954">
        <v>130</v>
      </c>
      <c r="I954">
        <v>6</v>
      </c>
      <c r="J954">
        <v>0</v>
      </c>
      <c r="K954">
        <v>95.4</v>
      </c>
      <c r="L954" t="s">
        <v>128</v>
      </c>
      <c r="M954" t="s">
        <v>116</v>
      </c>
    </row>
    <row r="955" spans="2:13" x14ac:dyDescent="0.2">
      <c r="B955">
        <v>3039</v>
      </c>
      <c r="C955">
        <v>1</v>
      </c>
      <c r="D955">
        <v>0</v>
      </c>
      <c r="E955">
        <v>0</v>
      </c>
      <c r="F955">
        <v>0.6</v>
      </c>
      <c r="G955">
        <v>0.6</v>
      </c>
      <c r="H955">
        <v>0</v>
      </c>
      <c r="I955">
        <v>0</v>
      </c>
      <c r="J955">
        <v>0</v>
      </c>
      <c r="K955">
        <v>50</v>
      </c>
      <c r="L955" t="s">
        <v>113</v>
      </c>
      <c r="M955" t="s">
        <v>114</v>
      </c>
    </row>
    <row r="956" spans="2:13" x14ac:dyDescent="0.2">
      <c r="B956">
        <v>3039</v>
      </c>
      <c r="C956">
        <v>1</v>
      </c>
      <c r="D956">
        <v>6</v>
      </c>
      <c r="E956">
        <v>0.1</v>
      </c>
      <c r="F956">
        <v>0.6</v>
      </c>
      <c r="G956">
        <v>0.6</v>
      </c>
      <c r="H956">
        <v>65</v>
      </c>
      <c r="I956">
        <v>0</v>
      </c>
      <c r="J956">
        <v>0</v>
      </c>
      <c r="K956">
        <v>43</v>
      </c>
      <c r="L956" t="s">
        <v>115</v>
      </c>
      <c r="M956" t="s">
        <v>116</v>
      </c>
    </row>
    <row r="957" spans="2:13" x14ac:dyDescent="0.2">
      <c r="B957">
        <v>3039</v>
      </c>
      <c r="C957">
        <v>1</v>
      </c>
      <c r="D957">
        <v>9.6999999999999993</v>
      </c>
      <c r="E957">
        <v>0.16</v>
      </c>
      <c r="F957">
        <v>0.6</v>
      </c>
      <c r="G957">
        <v>0.6</v>
      </c>
      <c r="H957">
        <v>104</v>
      </c>
      <c r="I957">
        <v>3</v>
      </c>
      <c r="J957">
        <v>1</v>
      </c>
      <c r="K957">
        <v>76.900000000000006</v>
      </c>
      <c r="L957" t="s">
        <v>117</v>
      </c>
      <c r="M957" t="s">
        <v>118</v>
      </c>
    </row>
    <row r="958" spans="2:13" x14ac:dyDescent="0.2">
      <c r="B958">
        <v>3039</v>
      </c>
      <c r="C958">
        <v>1</v>
      </c>
      <c r="D958">
        <v>12.1</v>
      </c>
      <c r="E958">
        <v>0.2</v>
      </c>
      <c r="F958">
        <v>0.6</v>
      </c>
      <c r="G958">
        <v>0.6</v>
      </c>
      <c r="H958">
        <v>130</v>
      </c>
      <c r="I958">
        <v>4</v>
      </c>
      <c r="J958">
        <v>1</v>
      </c>
      <c r="K958">
        <v>78.099999999999994</v>
      </c>
      <c r="L958" t="s">
        <v>124</v>
      </c>
      <c r="M958" t="s">
        <v>116</v>
      </c>
    </row>
    <row r="959" spans="2:13" x14ac:dyDescent="0.2">
      <c r="B959">
        <v>3039</v>
      </c>
      <c r="C959">
        <v>1</v>
      </c>
      <c r="D959">
        <v>12.4</v>
      </c>
      <c r="E959">
        <v>0.21</v>
      </c>
      <c r="F959">
        <v>0.6</v>
      </c>
      <c r="G959">
        <v>0.6</v>
      </c>
      <c r="H959">
        <v>134</v>
      </c>
      <c r="I959">
        <v>4</v>
      </c>
      <c r="J959">
        <v>2</v>
      </c>
      <c r="K959">
        <v>69.8</v>
      </c>
      <c r="L959" t="s">
        <v>119</v>
      </c>
      <c r="M959" t="s">
        <v>118</v>
      </c>
    </row>
    <row r="960" spans="2:13" x14ac:dyDescent="0.2">
      <c r="B960">
        <v>3039</v>
      </c>
      <c r="C960">
        <v>1</v>
      </c>
      <c r="D960">
        <v>12.5</v>
      </c>
      <c r="E960">
        <v>0.21</v>
      </c>
      <c r="F960">
        <v>0.6</v>
      </c>
      <c r="G960">
        <v>0.6</v>
      </c>
      <c r="H960">
        <v>135</v>
      </c>
      <c r="I960">
        <v>4</v>
      </c>
      <c r="J960">
        <v>3</v>
      </c>
      <c r="K960">
        <v>64.599999999999994</v>
      </c>
      <c r="L960" t="s">
        <v>125</v>
      </c>
      <c r="M960" t="s">
        <v>118</v>
      </c>
    </row>
    <row r="961" spans="2:13" x14ac:dyDescent="0.2">
      <c r="B961">
        <v>3039</v>
      </c>
      <c r="C961">
        <v>1</v>
      </c>
      <c r="D961">
        <v>18.100000000000001</v>
      </c>
      <c r="E961">
        <v>0.3</v>
      </c>
      <c r="F961">
        <v>0.6</v>
      </c>
      <c r="G961">
        <v>0.45</v>
      </c>
      <c r="H961">
        <v>195</v>
      </c>
      <c r="I961">
        <v>8</v>
      </c>
      <c r="J961">
        <v>3</v>
      </c>
      <c r="K961">
        <v>64.3</v>
      </c>
      <c r="L961" t="s">
        <v>126</v>
      </c>
      <c r="M961" t="s">
        <v>116</v>
      </c>
    </row>
    <row r="962" spans="2:13" x14ac:dyDescent="0.2">
      <c r="B962">
        <v>3039</v>
      </c>
      <c r="C962">
        <v>2</v>
      </c>
      <c r="D962">
        <v>0</v>
      </c>
      <c r="E962">
        <v>0</v>
      </c>
      <c r="F962">
        <v>0.6</v>
      </c>
      <c r="G962">
        <v>0.6</v>
      </c>
      <c r="H962">
        <v>0</v>
      </c>
      <c r="I962">
        <v>0</v>
      </c>
      <c r="J962">
        <v>0</v>
      </c>
      <c r="K962">
        <v>50</v>
      </c>
      <c r="L962" t="s">
        <v>113</v>
      </c>
      <c r="M962" t="s">
        <v>114</v>
      </c>
    </row>
    <row r="963" spans="2:13" x14ac:dyDescent="0.2">
      <c r="B963">
        <v>3039</v>
      </c>
      <c r="C963">
        <v>2</v>
      </c>
      <c r="D963">
        <v>6</v>
      </c>
      <c r="E963">
        <v>0.1</v>
      </c>
      <c r="F963">
        <v>0.6</v>
      </c>
      <c r="G963">
        <v>0.6</v>
      </c>
      <c r="H963">
        <v>65</v>
      </c>
      <c r="I963">
        <v>1</v>
      </c>
      <c r="J963">
        <v>0</v>
      </c>
      <c r="K963">
        <v>45.9</v>
      </c>
      <c r="L963" t="s">
        <v>115</v>
      </c>
      <c r="M963" t="s">
        <v>116</v>
      </c>
    </row>
    <row r="964" spans="2:13" x14ac:dyDescent="0.2">
      <c r="B964">
        <v>3039</v>
      </c>
      <c r="C964">
        <v>2</v>
      </c>
      <c r="D964">
        <v>12.1</v>
      </c>
      <c r="E964">
        <v>0.2</v>
      </c>
      <c r="F964">
        <v>0.6</v>
      </c>
      <c r="G964">
        <v>0.7</v>
      </c>
      <c r="H964">
        <v>130</v>
      </c>
      <c r="I964">
        <v>10</v>
      </c>
      <c r="J964">
        <v>0</v>
      </c>
      <c r="K964">
        <v>95.4</v>
      </c>
      <c r="L964" t="s">
        <v>128</v>
      </c>
      <c r="M964" t="s">
        <v>116</v>
      </c>
    </row>
    <row r="965" spans="2:13" x14ac:dyDescent="0.2">
      <c r="B965">
        <v>3039</v>
      </c>
      <c r="C965">
        <v>2</v>
      </c>
      <c r="D965">
        <v>14.2</v>
      </c>
      <c r="E965">
        <v>0.24</v>
      </c>
      <c r="F965">
        <v>0.7</v>
      </c>
      <c r="G965">
        <v>0.7</v>
      </c>
      <c r="H965">
        <v>157</v>
      </c>
      <c r="I965">
        <v>11</v>
      </c>
      <c r="J965">
        <v>1</v>
      </c>
      <c r="K965">
        <v>82.4</v>
      </c>
      <c r="L965" t="s">
        <v>117</v>
      </c>
      <c r="M965" t="s">
        <v>118</v>
      </c>
    </row>
    <row r="966" spans="2:13" x14ac:dyDescent="0.2">
      <c r="B966">
        <v>3039</v>
      </c>
      <c r="C966">
        <v>3</v>
      </c>
      <c r="D966">
        <v>0</v>
      </c>
      <c r="E966">
        <v>0</v>
      </c>
      <c r="F966">
        <v>0.6</v>
      </c>
      <c r="G966">
        <v>0.6</v>
      </c>
      <c r="H966">
        <v>0</v>
      </c>
      <c r="I966">
        <v>0</v>
      </c>
      <c r="J966">
        <v>0</v>
      </c>
      <c r="K966">
        <v>50</v>
      </c>
      <c r="L966" t="s">
        <v>113</v>
      </c>
      <c r="M966" t="s">
        <v>114</v>
      </c>
    </row>
    <row r="967" spans="2:13" x14ac:dyDescent="0.2">
      <c r="B967">
        <v>3039</v>
      </c>
      <c r="C967">
        <v>3</v>
      </c>
      <c r="D967">
        <v>6</v>
      </c>
      <c r="E967">
        <v>0.1</v>
      </c>
      <c r="F967">
        <v>0.6</v>
      </c>
      <c r="G967">
        <v>0.6</v>
      </c>
      <c r="H967">
        <v>65</v>
      </c>
      <c r="I967">
        <v>1</v>
      </c>
      <c r="J967">
        <v>0</v>
      </c>
      <c r="K967">
        <v>43.4</v>
      </c>
      <c r="L967" t="s">
        <v>115</v>
      </c>
      <c r="M967" t="s">
        <v>116</v>
      </c>
    </row>
    <row r="968" spans="2:13" x14ac:dyDescent="0.2">
      <c r="B968">
        <v>3039</v>
      </c>
      <c r="C968">
        <v>3</v>
      </c>
      <c r="D968">
        <v>12.1</v>
      </c>
      <c r="E968">
        <v>0.2</v>
      </c>
      <c r="F968">
        <v>0.6</v>
      </c>
      <c r="G968">
        <v>0.7</v>
      </c>
      <c r="H968">
        <v>130</v>
      </c>
      <c r="I968">
        <v>3</v>
      </c>
      <c r="J968">
        <v>0</v>
      </c>
      <c r="K968">
        <v>94.4</v>
      </c>
      <c r="L968" t="s">
        <v>128</v>
      </c>
      <c r="M968" t="s">
        <v>116</v>
      </c>
    </row>
    <row r="969" spans="2:13" x14ac:dyDescent="0.2">
      <c r="B969">
        <v>3039</v>
      </c>
      <c r="C969">
        <v>4</v>
      </c>
      <c r="D969">
        <v>0</v>
      </c>
      <c r="E969">
        <v>0</v>
      </c>
      <c r="F969">
        <v>0.6</v>
      </c>
      <c r="G969">
        <v>0.6</v>
      </c>
      <c r="H969">
        <v>0</v>
      </c>
      <c r="I969">
        <v>0</v>
      </c>
      <c r="J969">
        <v>0</v>
      </c>
      <c r="K969">
        <v>50</v>
      </c>
      <c r="L969" t="s">
        <v>113</v>
      </c>
      <c r="M969" t="s">
        <v>114</v>
      </c>
    </row>
    <row r="970" spans="2:13" x14ac:dyDescent="0.2">
      <c r="B970">
        <v>3039</v>
      </c>
      <c r="C970">
        <v>4</v>
      </c>
      <c r="D970">
        <v>6</v>
      </c>
      <c r="E970">
        <v>0.1</v>
      </c>
      <c r="F970">
        <v>0.6</v>
      </c>
      <c r="G970">
        <v>0.6</v>
      </c>
      <c r="H970">
        <v>65</v>
      </c>
      <c r="I970">
        <v>1</v>
      </c>
      <c r="J970">
        <v>0</v>
      </c>
      <c r="K970">
        <v>47.1</v>
      </c>
      <c r="L970" t="s">
        <v>115</v>
      </c>
      <c r="M970" t="s">
        <v>116</v>
      </c>
    </row>
    <row r="971" spans="2:13" x14ac:dyDescent="0.2">
      <c r="B971">
        <v>3039</v>
      </c>
      <c r="C971">
        <v>4</v>
      </c>
      <c r="D971">
        <v>12.1</v>
      </c>
      <c r="E971">
        <v>0.2</v>
      </c>
      <c r="F971">
        <v>0.6</v>
      </c>
      <c r="G971">
        <v>0.7</v>
      </c>
      <c r="H971">
        <v>130</v>
      </c>
      <c r="I971">
        <v>5</v>
      </c>
      <c r="J971">
        <v>0</v>
      </c>
      <c r="K971">
        <v>96.7</v>
      </c>
      <c r="L971" t="s">
        <v>128</v>
      </c>
      <c r="M971" t="s">
        <v>116</v>
      </c>
    </row>
    <row r="972" spans="2:13" x14ac:dyDescent="0.2">
      <c r="B972">
        <v>3039</v>
      </c>
      <c r="C972">
        <v>4</v>
      </c>
      <c r="D972">
        <v>15</v>
      </c>
      <c r="E972">
        <v>0.25</v>
      </c>
      <c r="F972">
        <v>0.7</v>
      </c>
      <c r="G972">
        <v>0.7</v>
      </c>
      <c r="H972">
        <v>167</v>
      </c>
      <c r="I972">
        <v>8</v>
      </c>
      <c r="J972">
        <v>1</v>
      </c>
      <c r="K972">
        <v>86</v>
      </c>
      <c r="L972" t="s">
        <v>129</v>
      </c>
      <c r="M972" t="s">
        <v>118</v>
      </c>
    </row>
    <row r="973" spans="2:13" x14ac:dyDescent="0.2">
      <c r="B973">
        <v>3039</v>
      </c>
      <c r="C973">
        <v>5</v>
      </c>
      <c r="D973">
        <v>0</v>
      </c>
      <c r="E973">
        <v>0</v>
      </c>
      <c r="F973">
        <v>0.6</v>
      </c>
      <c r="G973">
        <v>0.6</v>
      </c>
      <c r="H973">
        <v>0</v>
      </c>
      <c r="I973">
        <v>0</v>
      </c>
      <c r="J973">
        <v>0</v>
      </c>
      <c r="K973">
        <v>50</v>
      </c>
      <c r="L973" t="s">
        <v>113</v>
      </c>
      <c r="M973" t="s">
        <v>114</v>
      </c>
    </row>
    <row r="974" spans="2:13" x14ac:dyDescent="0.2">
      <c r="B974">
        <v>3039</v>
      </c>
      <c r="C974">
        <v>5</v>
      </c>
      <c r="D974">
        <v>6</v>
      </c>
      <c r="E974">
        <v>0.1</v>
      </c>
      <c r="F974">
        <v>0.6</v>
      </c>
      <c r="G974">
        <v>0.6</v>
      </c>
      <c r="H974">
        <v>65</v>
      </c>
      <c r="I974">
        <v>2</v>
      </c>
      <c r="J974">
        <v>0</v>
      </c>
      <c r="K974">
        <v>47.9</v>
      </c>
      <c r="L974" t="s">
        <v>115</v>
      </c>
      <c r="M974" t="s">
        <v>116</v>
      </c>
    </row>
    <row r="975" spans="2:13" x14ac:dyDescent="0.2">
      <c r="B975">
        <v>3039</v>
      </c>
      <c r="C975">
        <v>5</v>
      </c>
      <c r="D975">
        <v>12.1</v>
      </c>
      <c r="E975">
        <v>0.2</v>
      </c>
      <c r="F975">
        <v>0.6</v>
      </c>
      <c r="G975">
        <v>0.7</v>
      </c>
      <c r="H975">
        <v>130</v>
      </c>
      <c r="I975">
        <v>4</v>
      </c>
      <c r="J975">
        <v>0</v>
      </c>
      <c r="K975">
        <v>95.6</v>
      </c>
      <c r="L975" t="s">
        <v>128</v>
      </c>
      <c r="M975" t="s">
        <v>116</v>
      </c>
    </row>
    <row r="976" spans="2:13" x14ac:dyDescent="0.2">
      <c r="B976">
        <v>3039</v>
      </c>
      <c r="C976">
        <v>5</v>
      </c>
      <c r="D976">
        <v>14.9</v>
      </c>
      <c r="E976">
        <v>0.25</v>
      </c>
      <c r="F976">
        <v>0.7</v>
      </c>
      <c r="G976">
        <v>0.7</v>
      </c>
      <c r="H976">
        <v>166</v>
      </c>
      <c r="I976">
        <v>5</v>
      </c>
      <c r="J976">
        <v>1</v>
      </c>
      <c r="K976">
        <v>83.1</v>
      </c>
      <c r="L976" t="s">
        <v>122</v>
      </c>
      <c r="M976" t="s">
        <v>118</v>
      </c>
    </row>
    <row r="977" spans="2:13" x14ac:dyDescent="0.2">
      <c r="B977">
        <v>3040</v>
      </c>
      <c r="C977">
        <v>1</v>
      </c>
      <c r="D977">
        <v>0</v>
      </c>
      <c r="E977">
        <v>0</v>
      </c>
      <c r="F977">
        <v>0.6</v>
      </c>
      <c r="G977">
        <v>0.6</v>
      </c>
      <c r="H977">
        <v>0</v>
      </c>
      <c r="I977">
        <v>0</v>
      </c>
      <c r="J977">
        <v>0</v>
      </c>
      <c r="K977">
        <v>50</v>
      </c>
      <c r="L977" t="s">
        <v>113</v>
      </c>
      <c r="M977" t="s">
        <v>114</v>
      </c>
    </row>
    <row r="978" spans="2:13" x14ac:dyDescent="0.2">
      <c r="B978">
        <v>3040</v>
      </c>
      <c r="C978">
        <v>1</v>
      </c>
      <c r="D978">
        <v>6</v>
      </c>
      <c r="E978">
        <v>0.1</v>
      </c>
      <c r="F978">
        <v>0.6</v>
      </c>
      <c r="G978">
        <v>0.6</v>
      </c>
      <c r="H978">
        <v>65</v>
      </c>
      <c r="I978">
        <v>0</v>
      </c>
      <c r="J978">
        <v>0</v>
      </c>
      <c r="K978">
        <v>42.1</v>
      </c>
      <c r="L978" t="s">
        <v>115</v>
      </c>
      <c r="M978" t="s">
        <v>116</v>
      </c>
    </row>
    <row r="979" spans="2:13" x14ac:dyDescent="0.2">
      <c r="B979">
        <v>3040</v>
      </c>
      <c r="C979">
        <v>1</v>
      </c>
      <c r="D979">
        <v>12.1</v>
      </c>
      <c r="E979">
        <v>0.2</v>
      </c>
      <c r="F979">
        <v>0.6</v>
      </c>
      <c r="G979">
        <v>0.6</v>
      </c>
      <c r="H979">
        <v>130</v>
      </c>
      <c r="I979">
        <v>6</v>
      </c>
      <c r="J979">
        <v>0</v>
      </c>
      <c r="K979">
        <v>41.7</v>
      </c>
      <c r="L979" t="s">
        <v>115</v>
      </c>
      <c r="M979" t="s">
        <v>116</v>
      </c>
    </row>
    <row r="980" spans="2:13" x14ac:dyDescent="0.2">
      <c r="B980">
        <v>3040</v>
      </c>
      <c r="C980">
        <v>1</v>
      </c>
      <c r="D980">
        <v>18.100000000000001</v>
      </c>
      <c r="E980">
        <v>0.3</v>
      </c>
      <c r="F980">
        <v>0.6</v>
      </c>
      <c r="G980">
        <v>0.6</v>
      </c>
      <c r="H980">
        <v>195</v>
      </c>
      <c r="I980">
        <v>10</v>
      </c>
      <c r="J980">
        <v>0</v>
      </c>
      <c r="K980">
        <v>90.9</v>
      </c>
      <c r="L980" t="s">
        <v>115</v>
      </c>
      <c r="M980" t="s">
        <v>116</v>
      </c>
    </row>
    <row r="981" spans="2:13" x14ac:dyDescent="0.2">
      <c r="B981">
        <v>3040</v>
      </c>
      <c r="C981">
        <v>2</v>
      </c>
      <c r="D981">
        <v>0</v>
      </c>
      <c r="E981">
        <v>0</v>
      </c>
      <c r="F981">
        <v>0.6</v>
      </c>
      <c r="G981">
        <v>0.6</v>
      </c>
      <c r="H981">
        <v>0</v>
      </c>
      <c r="I981">
        <v>0</v>
      </c>
      <c r="J981">
        <v>0</v>
      </c>
      <c r="K981">
        <v>50</v>
      </c>
      <c r="L981" t="s">
        <v>113</v>
      </c>
      <c r="M981" t="s">
        <v>114</v>
      </c>
    </row>
    <row r="982" spans="2:13" x14ac:dyDescent="0.2">
      <c r="B982">
        <v>3040</v>
      </c>
      <c r="C982">
        <v>2</v>
      </c>
      <c r="D982">
        <v>6</v>
      </c>
      <c r="E982">
        <v>0.1</v>
      </c>
      <c r="F982">
        <v>0.6</v>
      </c>
      <c r="G982">
        <v>0.6</v>
      </c>
      <c r="H982">
        <v>65</v>
      </c>
      <c r="I982">
        <v>0</v>
      </c>
      <c r="J982">
        <v>0</v>
      </c>
      <c r="K982">
        <v>42.6</v>
      </c>
      <c r="L982" t="s">
        <v>115</v>
      </c>
      <c r="M982" t="s">
        <v>116</v>
      </c>
    </row>
    <row r="983" spans="2:13" x14ac:dyDescent="0.2">
      <c r="B983">
        <v>3040</v>
      </c>
      <c r="C983">
        <v>2</v>
      </c>
      <c r="D983">
        <v>6.8</v>
      </c>
      <c r="E983">
        <v>0.11</v>
      </c>
      <c r="F983">
        <v>0.6</v>
      </c>
      <c r="G983">
        <v>0.6</v>
      </c>
      <c r="H983">
        <v>73</v>
      </c>
      <c r="I983">
        <v>0</v>
      </c>
      <c r="J983">
        <v>1</v>
      </c>
      <c r="K983">
        <v>43</v>
      </c>
      <c r="L983" t="s">
        <v>122</v>
      </c>
      <c r="M983" t="s">
        <v>118</v>
      </c>
    </row>
    <row r="984" spans="2:13" x14ac:dyDescent="0.2">
      <c r="B984">
        <v>3040</v>
      </c>
      <c r="C984">
        <v>2</v>
      </c>
      <c r="D984">
        <v>8.1999999999999993</v>
      </c>
      <c r="E984">
        <v>0.14000000000000001</v>
      </c>
      <c r="F984">
        <v>0.6</v>
      </c>
      <c r="G984">
        <v>0.6</v>
      </c>
      <c r="H984">
        <v>89</v>
      </c>
      <c r="I984">
        <v>1</v>
      </c>
      <c r="J984">
        <v>2</v>
      </c>
      <c r="K984">
        <v>42.7</v>
      </c>
      <c r="L984" t="s">
        <v>127</v>
      </c>
      <c r="M984" t="s">
        <v>118</v>
      </c>
    </row>
    <row r="985" spans="2:13" x14ac:dyDescent="0.2">
      <c r="B985">
        <v>3040</v>
      </c>
      <c r="C985">
        <v>2</v>
      </c>
      <c r="D985">
        <v>12.1</v>
      </c>
      <c r="E985">
        <v>0.2</v>
      </c>
      <c r="F985">
        <v>0.6</v>
      </c>
      <c r="G985">
        <v>0.6</v>
      </c>
      <c r="H985">
        <v>130</v>
      </c>
      <c r="I985">
        <v>8</v>
      </c>
      <c r="J985">
        <v>2</v>
      </c>
      <c r="K985">
        <v>66.5</v>
      </c>
      <c r="L985" t="s">
        <v>121</v>
      </c>
      <c r="M985" t="s">
        <v>116</v>
      </c>
    </row>
    <row r="986" spans="2:13" x14ac:dyDescent="0.2">
      <c r="B986">
        <v>3040</v>
      </c>
      <c r="C986">
        <v>2</v>
      </c>
      <c r="D986">
        <v>18.100000000000001</v>
      </c>
      <c r="E986">
        <v>0.3</v>
      </c>
      <c r="F986">
        <v>0.6</v>
      </c>
      <c r="G986">
        <v>0.7</v>
      </c>
      <c r="H986">
        <v>195</v>
      </c>
      <c r="I986">
        <v>10</v>
      </c>
      <c r="J986">
        <v>2</v>
      </c>
      <c r="K986">
        <v>74.7</v>
      </c>
      <c r="L986" t="s">
        <v>128</v>
      </c>
      <c r="M986" t="s">
        <v>116</v>
      </c>
    </row>
    <row r="987" spans="2:13" x14ac:dyDescent="0.2">
      <c r="B987">
        <v>3041</v>
      </c>
      <c r="C987">
        <v>1</v>
      </c>
      <c r="D987">
        <v>0</v>
      </c>
      <c r="E987">
        <v>0</v>
      </c>
      <c r="F987">
        <v>0.6</v>
      </c>
      <c r="G987">
        <v>0.6</v>
      </c>
      <c r="H987">
        <v>0</v>
      </c>
      <c r="I987">
        <v>0</v>
      </c>
      <c r="J987">
        <v>0</v>
      </c>
      <c r="K987">
        <v>50</v>
      </c>
      <c r="L987" t="s">
        <v>113</v>
      </c>
      <c r="M987" t="s">
        <v>114</v>
      </c>
    </row>
    <row r="988" spans="2:13" x14ac:dyDescent="0.2">
      <c r="B988">
        <v>3041</v>
      </c>
      <c r="C988">
        <v>1</v>
      </c>
      <c r="D988">
        <v>6</v>
      </c>
      <c r="E988">
        <v>0.1</v>
      </c>
      <c r="F988">
        <v>0.6</v>
      </c>
      <c r="G988">
        <v>0.6</v>
      </c>
      <c r="H988">
        <v>65</v>
      </c>
      <c r="I988">
        <v>0</v>
      </c>
      <c r="J988">
        <v>0</v>
      </c>
      <c r="K988">
        <v>88.8</v>
      </c>
      <c r="L988" t="s">
        <v>115</v>
      </c>
      <c r="M988" t="s">
        <v>116</v>
      </c>
    </row>
    <row r="989" spans="2:13" x14ac:dyDescent="0.2">
      <c r="B989">
        <v>3041</v>
      </c>
      <c r="C989">
        <v>1</v>
      </c>
      <c r="D989">
        <v>7.9</v>
      </c>
      <c r="E989">
        <v>0.13</v>
      </c>
      <c r="F989">
        <v>0.6</v>
      </c>
      <c r="G989">
        <v>0.6</v>
      </c>
      <c r="H989">
        <v>86</v>
      </c>
      <c r="I989">
        <v>0</v>
      </c>
      <c r="J989">
        <v>1</v>
      </c>
      <c r="K989">
        <v>64</v>
      </c>
      <c r="L989" t="s">
        <v>122</v>
      </c>
      <c r="M989" t="s">
        <v>118</v>
      </c>
    </row>
    <row r="990" spans="2:13" x14ac:dyDescent="0.2">
      <c r="B990">
        <v>3041</v>
      </c>
      <c r="C990">
        <v>1</v>
      </c>
      <c r="D990">
        <v>11.9</v>
      </c>
      <c r="E990">
        <v>0.2</v>
      </c>
      <c r="F990">
        <v>0.6</v>
      </c>
      <c r="G990">
        <v>0.6</v>
      </c>
      <c r="H990">
        <v>129</v>
      </c>
      <c r="I990">
        <v>2</v>
      </c>
      <c r="J990">
        <v>2</v>
      </c>
      <c r="K990">
        <v>54.1</v>
      </c>
      <c r="L990" t="s">
        <v>127</v>
      </c>
      <c r="M990" t="s">
        <v>118</v>
      </c>
    </row>
    <row r="991" spans="2:13" x14ac:dyDescent="0.2">
      <c r="B991">
        <v>3041</v>
      </c>
      <c r="C991">
        <v>1</v>
      </c>
      <c r="D991">
        <v>12.1</v>
      </c>
      <c r="E991">
        <v>0.2</v>
      </c>
      <c r="F991">
        <v>0.6</v>
      </c>
      <c r="G991">
        <v>0.45</v>
      </c>
      <c r="H991">
        <v>130</v>
      </c>
      <c r="I991">
        <v>3</v>
      </c>
      <c r="J991">
        <v>2</v>
      </c>
      <c r="K991">
        <v>54.2</v>
      </c>
      <c r="L991" t="s">
        <v>126</v>
      </c>
      <c r="M991" t="s">
        <v>116</v>
      </c>
    </row>
    <row r="992" spans="2:13" x14ac:dyDescent="0.2">
      <c r="B992">
        <v>3041</v>
      </c>
      <c r="C992">
        <v>1</v>
      </c>
      <c r="D992">
        <v>18.100000000000001</v>
      </c>
      <c r="E992">
        <v>0.3</v>
      </c>
      <c r="F992">
        <v>0.45</v>
      </c>
      <c r="G992">
        <v>0.45</v>
      </c>
      <c r="H992">
        <v>179</v>
      </c>
      <c r="I992">
        <v>4</v>
      </c>
      <c r="J992">
        <v>2</v>
      </c>
      <c r="K992">
        <v>63.4</v>
      </c>
      <c r="L992" t="s">
        <v>115</v>
      </c>
      <c r="M992" t="s">
        <v>116</v>
      </c>
    </row>
    <row r="993" spans="2:13" x14ac:dyDescent="0.2">
      <c r="B993">
        <v>3041</v>
      </c>
      <c r="C993">
        <v>2</v>
      </c>
      <c r="D993">
        <v>0</v>
      </c>
      <c r="E993">
        <v>0</v>
      </c>
      <c r="F993">
        <v>0.6</v>
      </c>
      <c r="G993">
        <v>0.6</v>
      </c>
      <c r="H993">
        <v>0</v>
      </c>
      <c r="I993">
        <v>0</v>
      </c>
      <c r="J993">
        <v>0</v>
      </c>
      <c r="K993">
        <v>50</v>
      </c>
      <c r="L993" t="s">
        <v>113</v>
      </c>
      <c r="M993" t="s">
        <v>114</v>
      </c>
    </row>
    <row r="994" spans="2:13" x14ac:dyDescent="0.2">
      <c r="B994">
        <v>3041</v>
      </c>
      <c r="C994">
        <v>2</v>
      </c>
      <c r="D994">
        <v>6</v>
      </c>
      <c r="E994">
        <v>0.1</v>
      </c>
      <c r="F994">
        <v>0.6</v>
      </c>
      <c r="G994">
        <v>0.6</v>
      </c>
      <c r="H994">
        <v>65</v>
      </c>
      <c r="I994">
        <v>0</v>
      </c>
      <c r="J994">
        <v>0</v>
      </c>
      <c r="K994">
        <v>38.799999999999997</v>
      </c>
      <c r="L994" t="s">
        <v>115</v>
      </c>
      <c r="M994" t="s">
        <v>116</v>
      </c>
    </row>
    <row r="995" spans="2:13" x14ac:dyDescent="0.2">
      <c r="B995">
        <v>3041</v>
      </c>
      <c r="C995">
        <v>2</v>
      </c>
      <c r="D995">
        <v>6.6</v>
      </c>
      <c r="E995">
        <v>0.11</v>
      </c>
      <c r="F995">
        <v>0.6</v>
      </c>
      <c r="G995">
        <v>0.6</v>
      </c>
      <c r="H995">
        <v>72</v>
      </c>
      <c r="I995">
        <v>0</v>
      </c>
      <c r="J995">
        <v>1</v>
      </c>
      <c r="K995">
        <v>38</v>
      </c>
      <c r="L995" t="s">
        <v>117</v>
      </c>
      <c r="M995" t="s">
        <v>118</v>
      </c>
    </row>
    <row r="996" spans="2:13" x14ac:dyDescent="0.2">
      <c r="B996">
        <v>3041</v>
      </c>
      <c r="C996">
        <v>2</v>
      </c>
      <c r="D996">
        <v>12.1</v>
      </c>
      <c r="E996">
        <v>0.2</v>
      </c>
      <c r="F996">
        <v>0.6</v>
      </c>
      <c r="G996">
        <v>0.6</v>
      </c>
      <c r="H996">
        <v>130</v>
      </c>
      <c r="I996">
        <v>3</v>
      </c>
      <c r="J996">
        <v>1</v>
      </c>
      <c r="K996">
        <v>75.900000000000006</v>
      </c>
      <c r="L996" t="s">
        <v>136</v>
      </c>
      <c r="M996" t="s">
        <v>116</v>
      </c>
    </row>
    <row r="997" spans="2:13" x14ac:dyDescent="0.2">
      <c r="B997">
        <v>3041</v>
      </c>
      <c r="C997">
        <v>2</v>
      </c>
      <c r="D997">
        <v>18.100000000000001</v>
      </c>
      <c r="E997">
        <v>0.3</v>
      </c>
      <c r="F997">
        <v>0.6</v>
      </c>
      <c r="G997">
        <v>0.6</v>
      </c>
      <c r="H997">
        <v>195</v>
      </c>
      <c r="I997">
        <v>5</v>
      </c>
      <c r="J997">
        <v>1</v>
      </c>
      <c r="K997">
        <v>77.5</v>
      </c>
      <c r="L997" t="s">
        <v>115</v>
      </c>
      <c r="M997" t="s">
        <v>116</v>
      </c>
    </row>
    <row r="998" spans="2:13" x14ac:dyDescent="0.2">
      <c r="B998">
        <v>3041</v>
      </c>
      <c r="C998">
        <v>6</v>
      </c>
      <c r="D998">
        <v>0</v>
      </c>
      <c r="E998">
        <v>0</v>
      </c>
      <c r="F998">
        <v>0.6</v>
      </c>
      <c r="G998">
        <v>0.6</v>
      </c>
      <c r="H998">
        <v>0</v>
      </c>
      <c r="I998">
        <v>0</v>
      </c>
      <c r="J998">
        <v>0</v>
      </c>
      <c r="K998">
        <v>50</v>
      </c>
      <c r="L998" t="s">
        <v>113</v>
      </c>
      <c r="M998" t="s">
        <v>114</v>
      </c>
    </row>
    <row r="999" spans="2:13" x14ac:dyDescent="0.2">
      <c r="B999">
        <v>3041</v>
      </c>
      <c r="C999">
        <v>6</v>
      </c>
      <c r="D999">
        <v>6</v>
      </c>
      <c r="E999">
        <v>0.1</v>
      </c>
      <c r="F999">
        <v>0.6</v>
      </c>
      <c r="G999">
        <v>0.6</v>
      </c>
      <c r="H999">
        <v>65</v>
      </c>
      <c r="I999">
        <v>1</v>
      </c>
      <c r="J999">
        <v>0</v>
      </c>
      <c r="K999">
        <v>88.8</v>
      </c>
      <c r="L999" t="s">
        <v>115</v>
      </c>
      <c r="M999" t="s">
        <v>116</v>
      </c>
    </row>
    <row r="1000" spans="2:13" x14ac:dyDescent="0.2">
      <c r="B1000">
        <v>3041</v>
      </c>
      <c r="C1000">
        <v>6</v>
      </c>
      <c r="D1000">
        <v>10.3</v>
      </c>
      <c r="E1000">
        <v>0.17</v>
      </c>
      <c r="F1000">
        <v>0.6</v>
      </c>
      <c r="G1000">
        <v>0.6</v>
      </c>
      <c r="H1000">
        <v>111</v>
      </c>
      <c r="I1000">
        <v>3</v>
      </c>
      <c r="J1000">
        <v>1</v>
      </c>
      <c r="K1000">
        <v>66</v>
      </c>
      <c r="L1000" t="s">
        <v>117</v>
      </c>
      <c r="M1000" t="s">
        <v>118</v>
      </c>
    </row>
    <row r="1001" spans="2:13" x14ac:dyDescent="0.2">
      <c r="B1001">
        <v>3041</v>
      </c>
      <c r="C1001">
        <v>6</v>
      </c>
      <c r="D1001">
        <v>12.1</v>
      </c>
      <c r="E1001">
        <v>0.2</v>
      </c>
      <c r="F1001">
        <v>0.6</v>
      </c>
      <c r="G1001">
        <v>0.6</v>
      </c>
      <c r="H1001">
        <v>130</v>
      </c>
      <c r="I1001">
        <v>4</v>
      </c>
      <c r="J1001">
        <v>1</v>
      </c>
      <c r="K1001">
        <v>65.7</v>
      </c>
      <c r="L1001" t="s">
        <v>132</v>
      </c>
      <c r="M1001" t="s">
        <v>116</v>
      </c>
    </row>
    <row r="1002" spans="2:13" x14ac:dyDescent="0.2">
      <c r="B1002">
        <v>3041</v>
      </c>
      <c r="C1002">
        <v>6</v>
      </c>
      <c r="D1002">
        <v>13.6</v>
      </c>
      <c r="E1002">
        <v>0.23</v>
      </c>
      <c r="F1002">
        <v>0.6</v>
      </c>
      <c r="G1002">
        <v>0.6</v>
      </c>
      <c r="H1002">
        <v>147</v>
      </c>
      <c r="I1002">
        <v>4</v>
      </c>
      <c r="J1002">
        <v>2</v>
      </c>
      <c r="K1002">
        <v>65.599999999999994</v>
      </c>
      <c r="L1002" t="s">
        <v>119</v>
      </c>
      <c r="M1002" t="s">
        <v>118</v>
      </c>
    </row>
    <row r="1003" spans="2:13" x14ac:dyDescent="0.2">
      <c r="B1003">
        <v>3041</v>
      </c>
      <c r="C1003">
        <v>6</v>
      </c>
      <c r="D1003">
        <v>17.600000000000001</v>
      </c>
      <c r="E1003">
        <v>0.28999999999999998</v>
      </c>
      <c r="F1003">
        <v>0.6</v>
      </c>
      <c r="G1003">
        <v>0.6</v>
      </c>
      <c r="H1003">
        <v>190</v>
      </c>
      <c r="I1003">
        <v>7</v>
      </c>
      <c r="J1003">
        <v>3</v>
      </c>
      <c r="K1003">
        <v>66.599999999999994</v>
      </c>
      <c r="L1003" t="s">
        <v>147</v>
      </c>
      <c r="M1003" t="s">
        <v>118</v>
      </c>
    </row>
    <row r="1004" spans="2:13" x14ac:dyDescent="0.2">
      <c r="B1004">
        <v>3041</v>
      </c>
      <c r="C1004">
        <v>6</v>
      </c>
      <c r="D1004">
        <v>18.100000000000001</v>
      </c>
      <c r="E1004">
        <v>0.3</v>
      </c>
      <c r="F1004">
        <v>0.6</v>
      </c>
      <c r="G1004">
        <v>0.6</v>
      </c>
      <c r="H1004">
        <v>195</v>
      </c>
      <c r="I1004">
        <v>7</v>
      </c>
      <c r="J1004">
        <v>3</v>
      </c>
      <c r="K1004">
        <v>66.400000000000006</v>
      </c>
      <c r="L1004" t="s">
        <v>121</v>
      </c>
      <c r="M1004" t="s">
        <v>116</v>
      </c>
    </row>
    <row r="1005" spans="2:13" x14ac:dyDescent="0.2">
      <c r="B1005">
        <v>3042</v>
      </c>
      <c r="C1005">
        <v>1</v>
      </c>
      <c r="D1005">
        <v>0</v>
      </c>
      <c r="E1005">
        <v>0</v>
      </c>
      <c r="F1005">
        <v>0.6</v>
      </c>
      <c r="G1005">
        <v>0.6</v>
      </c>
      <c r="H1005">
        <v>0</v>
      </c>
      <c r="I1005">
        <v>0</v>
      </c>
      <c r="J1005">
        <v>0</v>
      </c>
      <c r="K1005">
        <v>50</v>
      </c>
      <c r="L1005" t="s">
        <v>113</v>
      </c>
      <c r="M1005" t="s">
        <v>114</v>
      </c>
    </row>
    <row r="1006" spans="2:13" x14ac:dyDescent="0.2">
      <c r="B1006">
        <v>3042</v>
      </c>
      <c r="C1006">
        <v>1</v>
      </c>
      <c r="D1006">
        <v>6</v>
      </c>
      <c r="E1006">
        <v>0.1</v>
      </c>
      <c r="F1006">
        <v>0.6</v>
      </c>
      <c r="G1006">
        <v>0.6</v>
      </c>
      <c r="H1006">
        <v>65</v>
      </c>
      <c r="I1006">
        <v>0</v>
      </c>
      <c r="J1006">
        <v>0</v>
      </c>
      <c r="K1006">
        <v>36.4</v>
      </c>
      <c r="L1006" t="s">
        <v>115</v>
      </c>
      <c r="M1006" t="s">
        <v>116</v>
      </c>
    </row>
    <row r="1007" spans="2:13" x14ac:dyDescent="0.2">
      <c r="B1007">
        <v>3042</v>
      </c>
      <c r="C1007">
        <v>1</v>
      </c>
      <c r="D1007">
        <v>9.8000000000000007</v>
      </c>
      <c r="E1007">
        <v>0.16</v>
      </c>
      <c r="F1007">
        <v>0.6</v>
      </c>
      <c r="G1007">
        <v>0.6</v>
      </c>
      <c r="H1007">
        <v>106</v>
      </c>
      <c r="I1007">
        <v>0</v>
      </c>
      <c r="J1007">
        <v>1</v>
      </c>
      <c r="K1007">
        <v>61.2</v>
      </c>
      <c r="L1007" t="s">
        <v>122</v>
      </c>
      <c r="M1007" t="s">
        <v>118</v>
      </c>
    </row>
    <row r="1008" spans="2:13" x14ac:dyDescent="0.2">
      <c r="B1008">
        <v>3042</v>
      </c>
      <c r="C1008">
        <v>1</v>
      </c>
      <c r="D1008">
        <v>12.1</v>
      </c>
      <c r="E1008">
        <v>0.2</v>
      </c>
      <c r="F1008">
        <v>0.6</v>
      </c>
      <c r="G1008">
        <v>0.6</v>
      </c>
      <c r="H1008">
        <v>130</v>
      </c>
      <c r="I1008">
        <v>0</v>
      </c>
      <c r="J1008">
        <v>1</v>
      </c>
      <c r="K1008">
        <v>62.3</v>
      </c>
      <c r="L1008" t="s">
        <v>121</v>
      </c>
      <c r="M1008" t="s">
        <v>116</v>
      </c>
    </row>
    <row r="1009" spans="2:13" x14ac:dyDescent="0.2">
      <c r="B1009">
        <v>3042</v>
      </c>
      <c r="C1009">
        <v>1</v>
      </c>
      <c r="D1009">
        <v>13.8</v>
      </c>
      <c r="E1009">
        <v>0.23</v>
      </c>
      <c r="F1009">
        <v>0.6</v>
      </c>
      <c r="G1009">
        <v>0.6</v>
      </c>
      <c r="H1009">
        <v>149</v>
      </c>
      <c r="I1009">
        <v>3</v>
      </c>
      <c r="J1009">
        <v>2</v>
      </c>
      <c r="K1009">
        <v>62.6</v>
      </c>
      <c r="L1009" t="s">
        <v>119</v>
      </c>
      <c r="M1009" t="s">
        <v>118</v>
      </c>
    </row>
    <row r="1010" spans="2:13" x14ac:dyDescent="0.2">
      <c r="B1010">
        <v>3042</v>
      </c>
      <c r="C1010">
        <v>1</v>
      </c>
      <c r="D1010">
        <v>18.100000000000001</v>
      </c>
      <c r="E1010">
        <v>0.3</v>
      </c>
      <c r="F1010">
        <v>0.6</v>
      </c>
      <c r="G1010">
        <v>0.6</v>
      </c>
      <c r="H1010">
        <v>195</v>
      </c>
      <c r="I1010">
        <v>8</v>
      </c>
      <c r="J1010">
        <v>2</v>
      </c>
      <c r="K1010">
        <v>68.8</v>
      </c>
      <c r="L1010" t="s">
        <v>124</v>
      </c>
      <c r="M1010" t="s">
        <v>116</v>
      </c>
    </row>
    <row r="1011" spans="2:13" x14ac:dyDescent="0.2">
      <c r="B1011">
        <v>3042</v>
      </c>
      <c r="C1011">
        <v>2</v>
      </c>
      <c r="D1011">
        <v>0</v>
      </c>
      <c r="E1011">
        <v>0</v>
      </c>
      <c r="F1011">
        <v>0.6</v>
      </c>
      <c r="G1011">
        <v>0.6</v>
      </c>
      <c r="H1011">
        <v>0</v>
      </c>
      <c r="I1011">
        <v>0</v>
      </c>
      <c r="J1011">
        <v>0</v>
      </c>
      <c r="K1011">
        <v>50</v>
      </c>
      <c r="L1011" t="s">
        <v>113</v>
      </c>
      <c r="M1011" t="s">
        <v>114</v>
      </c>
    </row>
    <row r="1012" spans="2:13" x14ac:dyDescent="0.2">
      <c r="B1012">
        <v>3042</v>
      </c>
      <c r="C1012">
        <v>2</v>
      </c>
      <c r="D1012">
        <v>6</v>
      </c>
      <c r="E1012">
        <v>0.1</v>
      </c>
      <c r="F1012">
        <v>0.6</v>
      </c>
      <c r="G1012">
        <v>0.6</v>
      </c>
      <c r="H1012">
        <v>65</v>
      </c>
      <c r="I1012">
        <v>1</v>
      </c>
      <c r="J1012">
        <v>0</v>
      </c>
      <c r="K1012">
        <v>37.200000000000003</v>
      </c>
      <c r="L1012" t="s">
        <v>115</v>
      </c>
      <c r="M1012" t="s">
        <v>116</v>
      </c>
    </row>
    <row r="1013" spans="2:13" x14ac:dyDescent="0.2">
      <c r="B1013">
        <v>3042</v>
      </c>
      <c r="C1013">
        <v>2</v>
      </c>
      <c r="D1013">
        <v>9.4</v>
      </c>
      <c r="E1013">
        <v>0.16</v>
      </c>
      <c r="F1013">
        <v>0.6</v>
      </c>
      <c r="G1013">
        <v>0.6</v>
      </c>
      <c r="H1013">
        <v>102</v>
      </c>
      <c r="I1013">
        <v>3</v>
      </c>
      <c r="J1013">
        <v>1</v>
      </c>
      <c r="K1013">
        <v>63</v>
      </c>
      <c r="L1013" t="s">
        <v>122</v>
      </c>
      <c r="M1013" t="s">
        <v>118</v>
      </c>
    </row>
    <row r="1014" spans="2:13" x14ac:dyDescent="0.2">
      <c r="B1014">
        <v>3042</v>
      </c>
      <c r="C1014">
        <v>2</v>
      </c>
      <c r="D1014">
        <v>12.1</v>
      </c>
      <c r="E1014">
        <v>0.2</v>
      </c>
      <c r="F1014">
        <v>0.6</v>
      </c>
      <c r="G1014">
        <v>0.6</v>
      </c>
      <c r="H1014">
        <v>130</v>
      </c>
      <c r="I1014">
        <v>4</v>
      </c>
      <c r="J1014">
        <v>1</v>
      </c>
      <c r="K1014">
        <v>62.6</v>
      </c>
      <c r="L1014" t="s">
        <v>121</v>
      </c>
      <c r="M1014" t="s">
        <v>116</v>
      </c>
    </row>
    <row r="1015" spans="2:13" x14ac:dyDescent="0.2">
      <c r="B1015">
        <v>3042</v>
      </c>
      <c r="C1015">
        <v>2</v>
      </c>
      <c r="D1015">
        <v>18.100000000000001</v>
      </c>
      <c r="E1015">
        <v>0.3</v>
      </c>
      <c r="F1015">
        <v>0.6</v>
      </c>
      <c r="G1015">
        <v>0.6</v>
      </c>
      <c r="H1015">
        <v>195</v>
      </c>
      <c r="I1015">
        <v>5</v>
      </c>
      <c r="J1015">
        <v>1</v>
      </c>
      <c r="K1015">
        <v>62.5</v>
      </c>
      <c r="L1015" t="s">
        <v>115</v>
      </c>
      <c r="M1015" t="s">
        <v>116</v>
      </c>
    </row>
    <row r="1016" spans="2:13" x14ac:dyDescent="0.2">
      <c r="B1016">
        <v>3042</v>
      </c>
      <c r="C1016">
        <v>2</v>
      </c>
      <c r="D1016">
        <v>18.2</v>
      </c>
      <c r="E1016">
        <v>0.3</v>
      </c>
      <c r="F1016">
        <v>0.6</v>
      </c>
      <c r="G1016">
        <v>0.6</v>
      </c>
      <c r="H1016">
        <v>196</v>
      </c>
      <c r="I1016">
        <v>5</v>
      </c>
      <c r="J1016">
        <v>2</v>
      </c>
      <c r="K1016">
        <v>54.1</v>
      </c>
      <c r="L1016" t="s">
        <v>139</v>
      </c>
      <c r="M1016" t="s">
        <v>118</v>
      </c>
    </row>
    <row r="1017" spans="2:13" x14ac:dyDescent="0.2">
      <c r="B1017">
        <v>3042</v>
      </c>
      <c r="C1017">
        <v>3</v>
      </c>
      <c r="D1017">
        <v>0</v>
      </c>
      <c r="E1017">
        <v>0</v>
      </c>
      <c r="F1017">
        <v>0.6</v>
      </c>
      <c r="G1017">
        <v>0.6</v>
      </c>
      <c r="H1017">
        <v>0</v>
      </c>
      <c r="I1017">
        <v>0</v>
      </c>
      <c r="J1017">
        <v>0</v>
      </c>
      <c r="K1017">
        <v>50</v>
      </c>
      <c r="L1017" t="s">
        <v>113</v>
      </c>
      <c r="M1017" t="s">
        <v>114</v>
      </c>
    </row>
    <row r="1018" spans="2:13" x14ac:dyDescent="0.2">
      <c r="B1018">
        <v>3042</v>
      </c>
      <c r="C1018">
        <v>3</v>
      </c>
      <c r="D1018">
        <v>6</v>
      </c>
      <c r="E1018">
        <v>0.1</v>
      </c>
      <c r="F1018">
        <v>0.6</v>
      </c>
      <c r="G1018">
        <v>0.6</v>
      </c>
      <c r="H1018">
        <v>65</v>
      </c>
      <c r="I1018">
        <v>0</v>
      </c>
      <c r="J1018">
        <v>0</v>
      </c>
      <c r="K1018">
        <v>39.700000000000003</v>
      </c>
      <c r="L1018" t="s">
        <v>115</v>
      </c>
      <c r="M1018" t="s">
        <v>116</v>
      </c>
    </row>
    <row r="1019" spans="2:13" x14ac:dyDescent="0.2">
      <c r="B1019">
        <v>3042</v>
      </c>
      <c r="C1019">
        <v>3</v>
      </c>
      <c r="D1019">
        <v>6.4</v>
      </c>
      <c r="E1019">
        <v>0.11</v>
      </c>
      <c r="F1019">
        <v>0.6</v>
      </c>
      <c r="G1019">
        <v>0.6</v>
      </c>
      <c r="H1019">
        <v>70</v>
      </c>
      <c r="I1019">
        <v>0</v>
      </c>
      <c r="J1019">
        <v>1</v>
      </c>
      <c r="K1019">
        <v>39.1</v>
      </c>
      <c r="L1019" t="s">
        <v>117</v>
      </c>
      <c r="M1019" t="s">
        <v>118</v>
      </c>
    </row>
    <row r="1020" spans="2:13" x14ac:dyDescent="0.2">
      <c r="B1020">
        <v>3042</v>
      </c>
      <c r="C1020">
        <v>3</v>
      </c>
      <c r="D1020">
        <v>12.1</v>
      </c>
      <c r="E1020">
        <v>0.2</v>
      </c>
      <c r="F1020">
        <v>0.6</v>
      </c>
      <c r="G1020">
        <v>0.6</v>
      </c>
      <c r="H1020">
        <v>130</v>
      </c>
      <c r="I1020">
        <v>8</v>
      </c>
      <c r="J1020">
        <v>1</v>
      </c>
      <c r="K1020">
        <v>64.2</v>
      </c>
      <c r="L1020" t="s">
        <v>121</v>
      </c>
      <c r="M1020" t="s">
        <v>116</v>
      </c>
    </row>
    <row r="1021" spans="2:13" x14ac:dyDescent="0.2">
      <c r="B1021">
        <v>3042</v>
      </c>
      <c r="C1021">
        <v>3</v>
      </c>
      <c r="D1021">
        <v>18.100000000000001</v>
      </c>
      <c r="E1021">
        <v>0.3</v>
      </c>
      <c r="F1021">
        <v>0.6</v>
      </c>
      <c r="G1021">
        <v>0.6</v>
      </c>
      <c r="H1021">
        <v>195</v>
      </c>
      <c r="I1021">
        <v>12</v>
      </c>
      <c r="J1021">
        <v>1</v>
      </c>
      <c r="K1021">
        <v>73.2</v>
      </c>
      <c r="L1021" t="s">
        <v>115</v>
      </c>
      <c r="M1021" t="s">
        <v>116</v>
      </c>
    </row>
    <row r="1022" spans="2:13" x14ac:dyDescent="0.2">
      <c r="B1022">
        <v>3042</v>
      </c>
      <c r="C1022">
        <v>4</v>
      </c>
      <c r="D1022">
        <v>0</v>
      </c>
      <c r="E1022">
        <v>0</v>
      </c>
      <c r="F1022">
        <v>0.6</v>
      </c>
      <c r="G1022">
        <v>0.6</v>
      </c>
      <c r="H1022">
        <v>0</v>
      </c>
      <c r="I1022">
        <v>0</v>
      </c>
      <c r="J1022">
        <v>0</v>
      </c>
      <c r="K1022">
        <v>50</v>
      </c>
      <c r="L1022" t="s">
        <v>113</v>
      </c>
      <c r="M1022" t="s">
        <v>114</v>
      </c>
    </row>
    <row r="1023" spans="2:13" x14ac:dyDescent="0.2">
      <c r="B1023">
        <v>3042</v>
      </c>
      <c r="C1023">
        <v>4</v>
      </c>
      <c r="D1023">
        <v>6</v>
      </c>
      <c r="E1023">
        <v>0.1</v>
      </c>
      <c r="F1023">
        <v>0.6</v>
      </c>
      <c r="G1023">
        <v>0.6</v>
      </c>
      <c r="H1023">
        <v>65</v>
      </c>
      <c r="I1023">
        <v>0</v>
      </c>
      <c r="J1023">
        <v>0</v>
      </c>
      <c r="K1023">
        <v>38.4</v>
      </c>
      <c r="L1023" t="s">
        <v>115</v>
      </c>
      <c r="M1023" t="s">
        <v>116</v>
      </c>
    </row>
    <row r="1024" spans="2:13" x14ac:dyDescent="0.2">
      <c r="B1024">
        <v>3042</v>
      </c>
      <c r="C1024">
        <v>4</v>
      </c>
      <c r="D1024">
        <v>7.3</v>
      </c>
      <c r="E1024">
        <v>0.12</v>
      </c>
      <c r="F1024">
        <v>0.6</v>
      </c>
      <c r="G1024">
        <v>0.6</v>
      </c>
      <c r="H1024">
        <v>79</v>
      </c>
      <c r="I1024">
        <v>0</v>
      </c>
      <c r="J1024">
        <v>1</v>
      </c>
      <c r="K1024">
        <v>37.799999999999997</v>
      </c>
      <c r="L1024" t="s">
        <v>117</v>
      </c>
      <c r="M1024" t="s">
        <v>118</v>
      </c>
    </row>
    <row r="1025" spans="2:13" x14ac:dyDescent="0.2">
      <c r="B1025">
        <v>3042</v>
      </c>
      <c r="C1025">
        <v>4</v>
      </c>
      <c r="D1025">
        <v>12.1</v>
      </c>
      <c r="E1025">
        <v>0.2</v>
      </c>
      <c r="F1025">
        <v>0.6</v>
      </c>
      <c r="G1025">
        <v>0.6</v>
      </c>
      <c r="H1025">
        <v>130</v>
      </c>
      <c r="I1025">
        <v>5</v>
      </c>
      <c r="J1025">
        <v>1</v>
      </c>
      <c r="K1025">
        <v>39.200000000000003</v>
      </c>
      <c r="L1025" t="s">
        <v>132</v>
      </c>
      <c r="M1025" t="s">
        <v>116</v>
      </c>
    </row>
    <row r="1026" spans="2:13" x14ac:dyDescent="0.2">
      <c r="B1026">
        <v>3042</v>
      </c>
      <c r="C1026">
        <v>4</v>
      </c>
      <c r="D1026">
        <v>15.4</v>
      </c>
      <c r="E1026">
        <v>0.26</v>
      </c>
      <c r="F1026">
        <v>0.6</v>
      </c>
      <c r="G1026">
        <v>0.6</v>
      </c>
      <c r="H1026">
        <v>166</v>
      </c>
      <c r="I1026">
        <v>8</v>
      </c>
      <c r="J1026">
        <v>2</v>
      </c>
      <c r="K1026">
        <v>56.3</v>
      </c>
      <c r="L1026" t="s">
        <v>119</v>
      </c>
      <c r="M1026" t="s">
        <v>118</v>
      </c>
    </row>
    <row r="1027" spans="2:13" x14ac:dyDescent="0.2">
      <c r="B1027">
        <v>3042</v>
      </c>
      <c r="C1027">
        <v>4</v>
      </c>
      <c r="D1027">
        <v>15.5</v>
      </c>
      <c r="E1027">
        <v>0.26</v>
      </c>
      <c r="F1027">
        <v>0.6</v>
      </c>
      <c r="G1027">
        <v>0.6</v>
      </c>
      <c r="H1027">
        <v>167</v>
      </c>
      <c r="I1027">
        <v>8</v>
      </c>
      <c r="J1027">
        <v>3</v>
      </c>
      <c r="K1027">
        <v>52</v>
      </c>
      <c r="L1027" t="s">
        <v>125</v>
      </c>
      <c r="M1027" t="s">
        <v>118</v>
      </c>
    </row>
    <row r="1028" spans="2:13" x14ac:dyDescent="0.2">
      <c r="B1028">
        <v>3042</v>
      </c>
      <c r="C1028">
        <v>4</v>
      </c>
      <c r="D1028">
        <v>18.100000000000001</v>
      </c>
      <c r="E1028">
        <v>0.3</v>
      </c>
      <c r="F1028">
        <v>0.6</v>
      </c>
      <c r="G1028">
        <v>0.45</v>
      </c>
      <c r="H1028">
        <v>195</v>
      </c>
      <c r="I1028">
        <v>10</v>
      </c>
      <c r="J1028">
        <v>3</v>
      </c>
      <c r="K1028">
        <v>52.5</v>
      </c>
      <c r="L1028" t="s">
        <v>120</v>
      </c>
      <c r="M1028" t="s">
        <v>116</v>
      </c>
    </row>
    <row r="1029" spans="2:13" x14ac:dyDescent="0.2">
      <c r="B1029">
        <v>3042</v>
      </c>
      <c r="C1029">
        <v>5</v>
      </c>
      <c r="D1029">
        <v>0</v>
      </c>
      <c r="E1029">
        <v>0</v>
      </c>
      <c r="F1029">
        <v>0.6</v>
      </c>
      <c r="G1029">
        <v>0.6</v>
      </c>
      <c r="H1029">
        <v>0</v>
      </c>
      <c r="I1029">
        <v>0</v>
      </c>
      <c r="J1029">
        <v>0</v>
      </c>
      <c r="K1029">
        <v>50</v>
      </c>
      <c r="L1029" t="s">
        <v>113</v>
      </c>
      <c r="M1029" t="s">
        <v>114</v>
      </c>
    </row>
    <row r="1030" spans="2:13" x14ac:dyDescent="0.2">
      <c r="B1030">
        <v>3042</v>
      </c>
      <c r="C1030">
        <v>5</v>
      </c>
      <c r="D1030">
        <v>6</v>
      </c>
      <c r="E1030">
        <v>0.1</v>
      </c>
      <c r="F1030">
        <v>0.6</v>
      </c>
      <c r="G1030">
        <v>0.6</v>
      </c>
      <c r="H1030">
        <v>65</v>
      </c>
      <c r="I1030">
        <v>1</v>
      </c>
      <c r="J1030">
        <v>0</v>
      </c>
      <c r="K1030">
        <v>40.1</v>
      </c>
      <c r="L1030" t="s">
        <v>115</v>
      </c>
      <c r="M1030" t="s">
        <v>116</v>
      </c>
    </row>
    <row r="1031" spans="2:13" x14ac:dyDescent="0.2">
      <c r="B1031">
        <v>3042</v>
      </c>
      <c r="C1031">
        <v>5</v>
      </c>
      <c r="D1031">
        <v>7.2</v>
      </c>
      <c r="E1031">
        <v>0.12</v>
      </c>
      <c r="F1031">
        <v>0.6</v>
      </c>
      <c r="G1031">
        <v>0.6</v>
      </c>
      <c r="H1031">
        <v>78</v>
      </c>
      <c r="I1031">
        <v>1</v>
      </c>
      <c r="J1031">
        <v>1</v>
      </c>
      <c r="K1031">
        <v>40.6</v>
      </c>
      <c r="L1031" t="s">
        <v>122</v>
      </c>
      <c r="M1031" t="s">
        <v>118</v>
      </c>
    </row>
    <row r="1032" spans="2:13" x14ac:dyDescent="0.2">
      <c r="B1032">
        <v>3042</v>
      </c>
      <c r="C1032">
        <v>5</v>
      </c>
      <c r="D1032">
        <v>12.1</v>
      </c>
      <c r="E1032">
        <v>0.2</v>
      </c>
      <c r="F1032">
        <v>0.6</v>
      </c>
      <c r="G1032">
        <v>0.6</v>
      </c>
      <c r="H1032">
        <v>130</v>
      </c>
      <c r="I1032">
        <v>1</v>
      </c>
      <c r="J1032">
        <v>1</v>
      </c>
      <c r="K1032">
        <v>78.2</v>
      </c>
      <c r="L1032" t="s">
        <v>136</v>
      </c>
      <c r="M1032" t="s">
        <v>116</v>
      </c>
    </row>
    <row r="1033" spans="2:13" x14ac:dyDescent="0.2">
      <c r="B1033">
        <v>3042</v>
      </c>
      <c r="C1033">
        <v>5</v>
      </c>
      <c r="D1033">
        <v>18.100000000000001</v>
      </c>
      <c r="E1033">
        <v>0.3</v>
      </c>
      <c r="F1033">
        <v>0.6</v>
      </c>
      <c r="G1033">
        <v>0.6</v>
      </c>
      <c r="H1033">
        <v>195</v>
      </c>
      <c r="I1033">
        <v>8</v>
      </c>
      <c r="J1033">
        <v>1</v>
      </c>
      <c r="K1033">
        <v>77.400000000000006</v>
      </c>
      <c r="L1033" t="s">
        <v>115</v>
      </c>
      <c r="M1033" t="s">
        <v>116</v>
      </c>
    </row>
    <row r="1034" spans="2:13" x14ac:dyDescent="0.2">
      <c r="B1034">
        <v>3043</v>
      </c>
      <c r="C1034">
        <v>1</v>
      </c>
      <c r="D1034">
        <v>0</v>
      </c>
      <c r="E1034">
        <v>0</v>
      </c>
      <c r="F1034">
        <v>0.6</v>
      </c>
      <c r="G1034">
        <v>0.6</v>
      </c>
      <c r="H1034">
        <v>0</v>
      </c>
      <c r="I1034">
        <v>0</v>
      </c>
      <c r="J1034">
        <v>0</v>
      </c>
      <c r="K1034">
        <v>50</v>
      </c>
      <c r="L1034" t="s">
        <v>113</v>
      </c>
      <c r="M1034" t="s">
        <v>114</v>
      </c>
    </row>
    <row r="1035" spans="2:13" x14ac:dyDescent="0.2">
      <c r="B1035">
        <v>3043</v>
      </c>
      <c r="C1035">
        <v>1</v>
      </c>
      <c r="D1035">
        <v>6</v>
      </c>
      <c r="E1035">
        <v>0.1</v>
      </c>
      <c r="F1035">
        <v>0.6</v>
      </c>
      <c r="G1035">
        <v>0.6</v>
      </c>
      <c r="H1035">
        <v>65</v>
      </c>
      <c r="I1035">
        <v>1</v>
      </c>
      <c r="J1035">
        <v>0</v>
      </c>
      <c r="K1035">
        <v>43.8</v>
      </c>
      <c r="L1035" t="s">
        <v>115</v>
      </c>
      <c r="M1035" t="s">
        <v>116</v>
      </c>
    </row>
    <row r="1036" spans="2:13" x14ac:dyDescent="0.2">
      <c r="B1036">
        <v>3043</v>
      </c>
      <c r="C1036">
        <v>1</v>
      </c>
      <c r="D1036">
        <v>7.8</v>
      </c>
      <c r="E1036">
        <v>0.13</v>
      </c>
      <c r="F1036">
        <v>0.6</v>
      </c>
      <c r="G1036">
        <v>0.6</v>
      </c>
      <c r="H1036">
        <v>84</v>
      </c>
      <c r="I1036">
        <v>2</v>
      </c>
      <c r="J1036">
        <v>1</v>
      </c>
      <c r="K1036">
        <v>43.3</v>
      </c>
      <c r="L1036" t="s">
        <v>122</v>
      </c>
      <c r="M1036" t="s">
        <v>118</v>
      </c>
    </row>
    <row r="1037" spans="2:13" x14ac:dyDescent="0.2">
      <c r="B1037">
        <v>3043</v>
      </c>
      <c r="C1037">
        <v>1</v>
      </c>
      <c r="D1037">
        <v>12.1</v>
      </c>
      <c r="E1037">
        <v>0.2</v>
      </c>
      <c r="F1037">
        <v>0.6</v>
      </c>
      <c r="G1037">
        <v>0.6</v>
      </c>
      <c r="H1037">
        <v>130</v>
      </c>
      <c r="I1037">
        <v>3</v>
      </c>
      <c r="J1037">
        <v>1</v>
      </c>
      <c r="K1037">
        <v>67.900000000000006</v>
      </c>
      <c r="L1037" t="s">
        <v>121</v>
      </c>
      <c r="M1037" t="s">
        <v>116</v>
      </c>
    </row>
    <row r="1038" spans="2:13" x14ac:dyDescent="0.2">
      <c r="B1038">
        <v>3043</v>
      </c>
      <c r="C1038">
        <v>1</v>
      </c>
      <c r="D1038">
        <v>12.9</v>
      </c>
      <c r="E1038">
        <v>0.21</v>
      </c>
      <c r="F1038">
        <v>0.6</v>
      </c>
      <c r="G1038">
        <v>0.6</v>
      </c>
      <c r="H1038">
        <v>139</v>
      </c>
      <c r="I1038">
        <v>3</v>
      </c>
      <c r="J1038">
        <v>2</v>
      </c>
      <c r="K1038">
        <v>59.5</v>
      </c>
      <c r="L1038" t="s">
        <v>127</v>
      </c>
      <c r="M1038" t="s">
        <v>118</v>
      </c>
    </row>
    <row r="1039" spans="2:13" x14ac:dyDescent="0.2">
      <c r="B1039">
        <v>3043</v>
      </c>
      <c r="C1039">
        <v>1</v>
      </c>
      <c r="D1039">
        <v>17.5</v>
      </c>
      <c r="E1039">
        <v>0.28999999999999998</v>
      </c>
      <c r="F1039">
        <v>0.6</v>
      </c>
      <c r="G1039">
        <v>0.6</v>
      </c>
      <c r="H1039">
        <v>189</v>
      </c>
      <c r="I1039">
        <v>8</v>
      </c>
      <c r="J1039">
        <v>3</v>
      </c>
      <c r="K1039">
        <v>62.9</v>
      </c>
      <c r="L1039" t="s">
        <v>125</v>
      </c>
      <c r="M1039" t="s">
        <v>118</v>
      </c>
    </row>
    <row r="1040" spans="2:13" x14ac:dyDescent="0.2">
      <c r="B1040">
        <v>3043</v>
      </c>
      <c r="C1040">
        <v>1</v>
      </c>
      <c r="D1040">
        <v>18.100000000000001</v>
      </c>
      <c r="E1040">
        <v>0.3</v>
      </c>
      <c r="F1040">
        <v>0.6</v>
      </c>
      <c r="G1040">
        <v>0.6</v>
      </c>
      <c r="H1040">
        <v>195</v>
      </c>
      <c r="I1040">
        <v>8</v>
      </c>
      <c r="J1040">
        <v>3</v>
      </c>
      <c r="K1040">
        <v>67.5</v>
      </c>
      <c r="L1040" t="s">
        <v>121</v>
      </c>
      <c r="M1040" t="s">
        <v>116</v>
      </c>
    </row>
    <row r="1041" spans="2:13" x14ac:dyDescent="0.2">
      <c r="B1041">
        <v>3043</v>
      </c>
      <c r="C1041">
        <v>2</v>
      </c>
      <c r="D1041">
        <v>0</v>
      </c>
      <c r="E1041">
        <v>0</v>
      </c>
      <c r="F1041">
        <v>0.6</v>
      </c>
      <c r="G1041">
        <v>0.6</v>
      </c>
      <c r="H1041">
        <v>0</v>
      </c>
      <c r="I1041">
        <v>0</v>
      </c>
      <c r="J1041">
        <v>0</v>
      </c>
      <c r="K1041">
        <v>50</v>
      </c>
      <c r="L1041" t="s">
        <v>113</v>
      </c>
      <c r="M1041" t="s">
        <v>114</v>
      </c>
    </row>
    <row r="1042" spans="2:13" x14ac:dyDescent="0.2">
      <c r="B1042">
        <v>3043</v>
      </c>
      <c r="C1042">
        <v>2</v>
      </c>
      <c r="D1042">
        <v>6</v>
      </c>
      <c r="E1042">
        <v>0.1</v>
      </c>
      <c r="F1042">
        <v>0.6</v>
      </c>
      <c r="G1042">
        <v>0.6</v>
      </c>
      <c r="H1042">
        <v>65</v>
      </c>
      <c r="I1042">
        <v>1</v>
      </c>
      <c r="J1042">
        <v>0</v>
      </c>
      <c r="K1042">
        <v>95.9</v>
      </c>
      <c r="L1042" t="s">
        <v>115</v>
      </c>
      <c r="M1042" t="s">
        <v>116</v>
      </c>
    </row>
    <row r="1043" spans="2:13" x14ac:dyDescent="0.2">
      <c r="B1043">
        <v>3043</v>
      </c>
      <c r="C1043">
        <v>2</v>
      </c>
      <c r="D1043">
        <v>12.1</v>
      </c>
      <c r="E1043">
        <v>0.2</v>
      </c>
      <c r="F1043">
        <v>0.6</v>
      </c>
      <c r="G1043">
        <v>0.7</v>
      </c>
      <c r="H1043">
        <v>130</v>
      </c>
      <c r="I1043">
        <v>7</v>
      </c>
      <c r="J1043">
        <v>0</v>
      </c>
      <c r="K1043">
        <v>95</v>
      </c>
      <c r="L1043" t="s">
        <v>128</v>
      </c>
      <c r="M1043" t="s">
        <v>116</v>
      </c>
    </row>
    <row r="1044" spans="2:13" x14ac:dyDescent="0.2">
      <c r="B1044">
        <v>3043</v>
      </c>
      <c r="C1044">
        <v>2</v>
      </c>
      <c r="D1044">
        <v>12.9</v>
      </c>
      <c r="E1044">
        <v>0.21</v>
      </c>
      <c r="F1044">
        <v>0.7</v>
      </c>
      <c r="G1044">
        <v>0.7</v>
      </c>
      <c r="H1044">
        <v>140</v>
      </c>
      <c r="I1044">
        <v>8</v>
      </c>
      <c r="J1044">
        <v>1</v>
      </c>
      <c r="K1044">
        <v>82.2</v>
      </c>
      <c r="L1044" t="s">
        <v>117</v>
      </c>
      <c r="M1044" t="s">
        <v>118</v>
      </c>
    </row>
    <row r="1045" spans="2:13" x14ac:dyDescent="0.2">
      <c r="B1045">
        <v>3043</v>
      </c>
      <c r="C1045">
        <v>2</v>
      </c>
      <c r="D1045">
        <v>16.5</v>
      </c>
      <c r="E1045">
        <v>0.28000000000000003</v>
      </c>
      <c r="F1045">
        <v>0.7</v>
      </c>
      <c r="G1045">
        <v>0.7</v>
      </c>
      <c r="H1045">
        <v>186</v>
      </c>
      <c r="I1045">
        <v>10</v>
      </c>
      <c r="J1045">
        <v>2</v>
      </c>
      <c r="K1045">
        <v>78.3</v>
      </c>
      <c r="L1045" t="s">
        <v>119</v>
      </c>
      <c r="M1045" t="s">
        <v>118</v>
      </c>
    </row>
    <row r="1046" spans="2:13" x14ac:dyDescent="0.2">
      <c r="B1046">
        <v>3043</v>
      </c>
      <c r="C1046">
        <v>3</v>
      </c>
      <c r="D1046">
        <v>0</v>
      </c>
      <c r="E1046">
        <v>0</v>
      </c>
      <c r="F1046">
        <v>0.6</v>
      </c>
      <c r="G1046">
        <v>0.6</v>
      </c>
      <c r="H1046">
        <v>0</v>
      </c>
      <c r="I1046">
        <v>0</v>
      </c>
      <c r="J1046">
        <v>0</v>
      </c>
      <c r="K1046">
        <v>50</v>
      </c>
      <c r="L1046" t="s">
        <v>113</v>
      </c>
      <c r="M1046" t="s">
        <v>114</v>
      </c>
    </row>
    <row r="1047" spans="2:13" x14ac:dyDescent="0.2">
      <c r="B1047">
        <v>3043</v>
      </c>
      <c r="C1047">
        <v>3</v>
      </c>
      <c r="D1047">
        <v>6</v>
      </c>
      <c r="E1047">
        <v>0.1</v>
      </c>
      <c r="F1047">
        <v>0.6</v>
      </c>
      <c r="G1047">
        <v>0.6</v>
      </c>
      <c r="H1047">
        <v>65</v>
      </c>
      <c r="I1047">
        <v>0</v>
      </c>
      <c r="J1047">
        <v>0</v>
      </c>
      <c r="K1047">
        <v>95</v>
      </c>
      <c r="L1047" t="s">
        <v>115</v>
      </c>
      <c r="M1047" t="s">
        <v>116</v>
      </c>
    </row>
    <row r="1048" spans="2:13" x14ac:dyDescent="0.2">
      <c r="B1048">
        <v>3043</v>
      </c>
      <c r="C1048">
        <v>3</v>
      </c>
      <c r="D1048">
        <v>12.1</v>
      </c>
      <c r="E1048">
        <v>0.2</v>
      </c>
      <c r="F1048">
        <v>0.6</v>
      </c>
      <c r="G1048">
        <v>0.6</v>
      </c>
      <c r="H1048">
        <v>130</v>
      </c>
      <c r="I1048">
        <v>7</v>
      </c>
      <c r="J1048">
        <v>0</v>
      </c>
      <c r="K1048">
        <v>93.8</v>
      </c>
      <c r="L1048" t="s">
        <v>115</v>
      </c>
      <c r="M1048" t="s">
        <v>116</v>
      </c>
    </row>
    <row r="1049" spans="2:13" x14ac:dyDescent="0.2">
      <c r="B1049">
        <v>3043</v>
      </c>
      <c r="C1049">
        <v>3</v>
      </c>
      <c r="D1049">
        <v>18.100000000000001</v>
      </c>
      <c r="E1049">
        <v>0.3</v>
      </c>
      <c r="F1049">
        <v>0.6</v>
      </c>
      <c r="G1049">
        <v>0.6</v>
      </c>
      <c r="H1049">
        <v>195</v>
      </c>
      <c r="I1049">
        <v>7</v>
      </c>
      <c r="J1049">
        <v>0</v>
      </c>
      <c r="K1049">
        <v>94</v>
      </c>
      <c r="L1049" t="s">
        <v>115</v>
      </c>
      <c r="M1049" t="s">
        <v>116</v>
      </c>
    </row>
    <row r="1050" spans="2:13" x14ac:dyDescent="0.2">
      <c r="B1050">
        <v>3043</v>
      </c>
      <c r="C1050">
        <v>4</v>
      </c>
      <c r="D1050">
        <v>0</v>
      </c>
      <c r="E1050">
        <v>0</v>
      </c>
      <c r="F1050">
        <v>0.6</v>
      </c>
      <c r="G1050">
        <v>0.6</v>
      </c>
      <c r="H1050">
        <v>0</v>
      </c>
      <c r="I1050">
        <v>0</v>
      </c>
      <c r="J1050">
        <v>0</v>
      </c>
      <c r="K1050">
        <v>50</v>
      </c>
      <c r="L1050" t="s">
        <v>113</v>
      </c>
      <c r="M1050" t="s">
        <v>114</v>
      </c>
    </row>
    <row r="1051" spans="2:13" x14ac:dyDescent="0.2">
      <c r="B1051">
        <v>3043</v>
      </c>
      <c r="C1051">
        <v>4</v>
      </c>
      <c r="D1051">
        <v>6</v>
      </c>
      <c r="E1051">
        <v>0.1</v>
      </c>
      <c r="F1051">
        <v>0.6</v>
      </c>
      <c r="G1051">
        <v>0.6</v>
      </c>
      <c r="H1051">
        <v>65</v>
      </c>
      <c r="I1051">
        <v>1</v>
      </c>
      <c r="J1051">
        <v>0</v>
      </c>
      <c r="K1051">
        <v>43.8</v>
      </c>
      <c r="L1051" t="s">
        <v>115</v>
      </c>
      <c r="M1051" t="s">
        <v>116</v>
      </c>
    </row>
    <row r="1052" spans="2:13" x14ac:dyDescent="0.2">
      <c r="B1052">
        <v>3043</v>
      </c>
      <c r="C1052">
        <v>4</v>
      </c>
      <c r="D1052">
        <v>11.3</v>
      </c>
      <c r="E1052">
        <v>0.19</v>
      </c>
      <c r="F1052">
        <v>0.6</v>
      </c>
      <c r="G1052">
        <v>0.6</v>
      </c>
      <c r="H1052">
        <v>122</v>
      </c>
      <c r="I1052">
        <v>4</v>
      </c>
      <c r="J1052">
        <v>1</v>
      </c>
      <c r="K1052">
        <v>45.3</v>
      </c>
      <c r="L1052" t="s">
        <v>117</v>
      </c>
      <c r="M1052" t="s">
        <v>118</v>
      </c>
    </row>
    <row r="1053" spans="2:13" x14ac:dyDescent="0.2">
      <c r="B1053">
        <v>3043</v>
      </c>
      <c r="C1053">
        <v>4</v>
      </c>
      <c r="D1053">
        <v>12.1</v>
      </c>
      <c r="E1053">
        <v>0.2</v>
      </c>
      <c r="F1053">
        <v>0.6</v>
      </c>
      <c r="G1053">
        <v>0.6</v>
      </c>
      <c r="H1053">
        <v>130</v>
      </c>
      <c r="I1053">
        <v>4</v>
      </c>
      <c r="J1053">
        <v>1</v>
      </c>
      <c r="K1053">
        <v>45.4</v>
      </c>
      <c r="L1053" t="s">
        <v>132</v>
      </c>
      <c r="M1053" t="s">
        <v>116</v>
      </c>
    </row>
    <row r="1054" spans="2:13" x14ac:dyDescent="0.2">
      <c r="B1054">
        <v>3043</v>
      </c>
      <c r="C1054">
        <v>4</v>
      </c>
      <c r="D1054">
        <v>14.4</v>
      </c>
      <c r="E1054">
        <v>0.24</v>
      </c>
      <c r="F1054">
        <v>0.6</v>
      </c>
      <c r="G1054">
        <v>0.6</v>
      </c>
      <c r="H1054">
        <v>155</v>
      </c>
      <c r="I1054">
        <v>6</v>
      </c>
      <c r="J1054">
        <v>2</v>
      </c>
      <c r="K1054">
        <v>45.3</v>
      </c>
      <c r="L1054" t="s">
        <v>119</v>
      </c>
      <c r="M1054" t="s">
        <v>118</v>
      </c>
    </row>
    <row r="1055" spans="2:13" x14ac:dyDescent="0.2">
      <c r="B1055">
        <v>3043</v>
      </c>
      <c r="C1055">
        <v>4</v>
      </c>
      <c r="D1055">
        <v>18.100000000000001</v>
      </c>
      <c r="E1055">
        <v>0.3</v>
      </c>
      <c r="F1055">
        <v>0.6</v>
      </c>
      <c r="G1055">
        <v>0.6</v>
      </c>
      <c r="H1055">
        <v>195</v>
      </c>
      <c r="I1055">
        <v>10</v>
      </c>
      <c r="J1055">
        <v>2</v>
      </c>
      <c r="K1055">
        <v>45.3</v>
      </c>
      <c r="L1055" t="s">
        <v>132</v>
      </c>
      <c r="M1055" t="s">
        <v>116</v>
      </c>
    </row>
    <row r="1056" spans="2:13" x14ac:dyDescent="0.2">
      <c r="B1056">
        <v>3043</v>
      </c>
      <c r="C1056">
        <v>5</v>
      </c>
      <c r="D1056">
        <v>0</v>
      </c>
      <c r="E1056">
        <v>0</v>
      </c>
      <c r="F1056">
        <v>0.6</v>
      </c>
      <c r="G1056">
        <v>0.6</v>
      </c>
      <c r="H1056">
        <v>0</v>
      </c>
      <c r="I1056">
        <v>0</v>
      </c>
      <c r="J1056">
        <v>0</v>
      </c>
      <c r="K1056">
        <v>50</v>
      </c>
      <c r="L1056" t="s">
        <v>113</v>
      </c>
      <c r="M1056" t="s">
        <v>114</v>
      </c>
    </row>
    <row r="1057" spans="2:13" x14ac:dyDescent="0.2">
      <c r="B1057">
        <v>3043</v>
      </c>
      <c r="C1057">
        <v>5</v>
      </c>
      <c r="D1057">
        <v>6</v>
      </c>
      <c r="E1057">
        <v>0.1</v>
      </c>
      <c r="F1057">
        <v>0.6</v>
      </c>
      <c r="G1057">
        <v>0.6</v>
      </c>
      <c r="H1057">
        <v>65</v>
      </c>
      <c r="I1057">
        <v>0</v>
      </c>
      <c r="J1057">
        <v>1</v>
      </c>
      <c r="K1057">
        <v>68.400000000000006</v>
      </c>
      <c r="L1057" t="s">
        <v>122</v>
      </c>
      <c r="M1057" t="s">
        <v>118</v>
      </c>
    </row>
    <row r="1058" spans="2:13" x14ac:dyDescent="0.2">
      <c r="B1058">
        <v>3043</v>
      </c>
      <c r="C1058">
        <v>5</v>
      </c>
      <c r="D1058">
        <v>6</v>
      </c>
      <c r="E1058">
        <v>0.1</v>
      </c>
      <c r="F1058">
        <v>0.6</v>
      </c>
      <c r="G1058">
        <v>0.6</v>
      </c>
      <c r="H1058">
        <v>65</v>
      </c>
      <c r="I1058">
        <v>0</v>
      </c>
      <c r="J1058">
        <v>1</v>
      </c>
      <c r="K1058">
        <v>68.400000000000006</v>
      </c>
      <c r="L1058" t="s">
        <v>121</v>
      </c>
      <c r="M1058" t="s">
        <v>116</v>
      </c>
    </row>
    <row r="1059" spans="2:13" x14ac:dyDescent="0.2">
      <c r="B1059">
        <v>3043</v>
      </c>
      <c r="C1059">
        <v>5</v>
      </c>
      <c r="D1059">
        <v>12.1</v>
      </c>
      <c r="E1059">
        <v>0.2</v>
      </c>
      <c r="F1059">
        <v>0.6</v>
      </c>
      <c r="G1059">
        <v>0.6</v>
      </c>
      <c r="H1059">
        <v>130</v>
      </c>
      <c r="I1059">
        <v>5</v>
      </c>
      <c r="J1059">
        <v>1</v>
      </c>
      <c r="K1059">
        <v>76.099999999999994</v>
      </c>
      <c r="L1059" t="s">
        <v>115</v>
      </c>
      <c r="M1059" t="s">
        <v>116</v>
      </c>
    </row>
    <row r="1060" spans="2:13" x14ac:dyDescent="0.2">
      <c r="B1060">
        <v>3043</v>
      </c>
      <c r="C1060">
        <v>5</v>
      </c>
      <c r="D1060">
        <v>13.5</v>
      </c>
      <c r="E1060">
        <v>0.23</v>
      </c>
      <c r="F1060">
        <v>0.6</v>
      </c>
      <c r="G1060">
        <v>0.6</v>
      </c>
      <c r="H1060">
        <v>146</v>
      </c>
      <c r="I1060">
        <v>5</v>
      </c>
      <c r="J1060">
        <v>2</v>
      </c>
      <c r="K1060">
        <v>72.599999999999994</v>
      </c>
      <c r="L1060" t="s">
        <v>133</v>
      </c>
      <c r="M1060" t="s">
        <v>118</v>
      </c>
    </row>
    <row r="1061" spans="2:13" x14ac:dyDescent="0.2">
      <c r="B1061">
        <v>3043</v>
      </c>
      <c r="C1061">
        <v>5</v>
      </c>
      <c r="D1061">
        <v>18.100000000000001</v>
      </c>
      <c r="E1061">
        <v>0.3</v>
      </c>
      <c r="F1061">
        <v>0.6</v>
      </c>
      <c r="G1061">
        <v>0.6</v>
      </c>
      <c r="H1061">
        <v>195</v>
      </c>
      <c r="I1061">
        <v>8</v>
      </c>
      <c r="J1061">
        <v>2</v>
      </c>
      <c r="K1061">
        <v>76.5</v>
      </c>
      <c r="L1061" t="s">
        <v>124</v>
      </c>
      <c r="M1061" t="s">
        <v>116</v>
      </c>
    </row>
    <row r="1062" spans="2:13" x14ac:dyDescent="0.2">
      <c r="B1062">
        <v>3044</v>
      </c>
      <c r="C1062">
        <v>1</v>
      </c>
      <c r="D1062">
        <v>0</v>
      </c>
      <c r="E1062">
        <v>0</v>
      </c>
      <c r="F1062">
        <v>0.6</v>
      </c>
      <c r="G1062">
        <v>0.6</v>
      </c>
      <c r="H1062">
        <v>0</v>
      </c>
      <c r="I1062">
        <v>0</v>
      </c>
      <c r="J1062">
        <v>0</v>
      </c>
      <c r="K1062">
        <v>50</v>
      </c>
      <c r="L1062" t="s">
        <v>113</v>
      </c>
      <c r="M1062" t="s">
        <v>114</v>
      </c>
    </row>
    <row r="1063" spans="2:13" x14ac:dyDescent="0.2">
      <c r="B1063">
        <v>3044</v>
      </c>
      <c r="C1063">
        <v>1</v>
      </c>
      <c r="D1063">
        <v>6</v>
      </c>
      <c r="E1063">
        <v>0.1</v>
      </c>
      <c r="F1063">
        <v>0.6</v>
      </c>
      <c r="G1063">
        <v>0.7</v>
      </c>
      <c r="H1063">
        <v>65</v>
      </c>
      <c r="I1063">
        <v>0</v>
      </c>
      <c r="J1063">
        <v>0</v>
      </c>
      <c r="K1063">
        <v>95.9</v>
      </c>
      <c r="L1063" t="s">
        <v>128</v>
      </c>
      <c r="M1063" t="s">
        <v>116</v>
      </c>
    </row>
    <row r="1064" spans="2:13" x14ac:dyDescent="0.2">
      <c r="B1064">
        <v>3044</v>
      </c>
      <c r="C1064">
        <v>1</v>
      </c>
      <c r="D1064">
        <v>12.1</v>
      </c>
      <c r="E1064">
        <v>0.2</v>
      </c>
      <c r="F1064">
        <v>0.7</v>
      </c>
      <c r="G1064">
        <v>0.8</v>
      </c>
      <c r="H1064">
        <v>141</v>
      </c>
      <c r="I1064">
        <v>6</v>
      </c>
      <c r="J1064">
        <v>0</v>
      </c>
      <c r="K1064">
        <v>96.7</v>
      </c>
      <c r="L1064" t="s">
        <v>128</v>
      </c>
      <c r="M1064" t="s">
        <v>116</v>
      </c>
    </row>
    <row r="1065" spans="2:13" x14ac:dyDescent="0.2">
      <c r="B1065">
        <v>3044</v>
      </c>
      <c r="C1065">
        <v>1</v>
      </c>
      <c r="D1065">
        <v>13.4</v>
      </c>
      <c r="E1065">
        <v>0.22</v>
      </c>
      <c r="F1065">
        <v>0.8</v>
      </c>
      <c r="G1065">
        <v>0.8</v>
      </c>
      <c r="H1065">
        <v>160</v>
      </c>
      <c r="I1065">
        <v>7</v>
      </c>
      <c r="J1065">
        <v>1</v>
      </c>
      <c r="K1065">
        <v>88.1</v>
      </c>
      <c r="L1065" t="s">
        <v>122</v>
      </c>
      <c r="M1065" t="s">
        <v>118</v>
      </c>
    </row>
    <row r="1066" spans="2:13" x14ac:dyDescent="0.2">
      <c r="B1066">
        <v>3044</v>
      </c>
      <c r="C1066">
        <v>2</v>
      </c>
      <c r="D1066">
        <v>0</v>
      </c>
      <c r="E1066">
        <v>0</v>
      </c>
      <c r="F1066">
        <v>0.6</v>
      </c>
      <c r="G1066">
        <v>0.6</v>
      </c>
      <c r="H1066">
        <v>0</v>
      </c>
      <c r="I1066">
        <v>0</v>
      </c>
      <c r="J1066">
        <v>0</v>
      </c>
      <c r="K1066">
        <v>50</v>
      </c>
      <c r="L1066" t="s">
        <v>113</v>
      </c>
      <c r="M1066" t="s">
        <v>114</v>
      </c>
    </row>
    <row r="1067" spans="2:13" x14ac:dyDescent="0.2">
      <c r="B1067">
        <v>3044</v>
      </c>
      <c r="C1067">
        <v>2</v>
      </c>
      <c r="D1067">
        <v>6</v>
      </c>
      <c r="E1067">
        <v>0.1</v>
      </c>
      <c r="F1067">
        <v>0.6</v>
      </c>
      <c r="G1067">
        <v>0.6</v>
      </c>
      <c r="H1067">
        <v>65</v>
      </c>
      <c r="I1067">
        <v>0</v>
      </c>
      <c r="J1067">
        <v>0</v>
      </c>
      <c r="K1067">
        <v>45.9</v>
      </c>
      <c r="L1067" t="s">
        <v>115</v>
      </c>
      <c r="M1067" t="s">
        <v>116</v>
      </c>
    </row>
    <row r="1068" spans="2:13" x14ac:dyDescent="0.2">
      <c r="B1068">
        <v>3044</v>
      </c>
      <c r="C1068">
        <v>2</v>
      </c>
      <c r="D1068">
        <v>12.1</v>
      </c>
      <c r="E1068">
        <v>0.2</v>
      </c>
      <c r="F1068">
        <v>0.6</v>
      </c>
      <c r="G1068">
        <v>0.7</v>
      </c>
      <c r="H1068">
        <v>130</v>
      </c>
      <c r="I1068">
        <v>7</v>
      </c>
      <c r="J1068">
        <v>0</v>
      </c>
      <c r="K1068">
        <v>94.6</v>
      </c>
      <c r="L1068" t="s">
        <v>128</v>
      </c>
      <c r="M1068" t="s">
        <v>116</v>
      </c>
    </row>
    <row r="1069" spans="2:13" x14ac:dyDescent="0.2">
      <c r="B1069">
        <v>3044</v>
      </c>
      <c r="C1069">
        <v>3</v>
      </c>
      <c r="D1069">
        <v>0</v>
      </c>
      <c r="E1069">
        <v>0</v>
      </c>
      <c r="F1069">
        <v>0.6</v>
      </c>
      <c r="G1069">
        <v>0.6</v>
      </c>
      <c r="H1069">
        <v>0</v>
      </c>
      <c r="I1069">
        <v>0</v>
      </c>
      <c r="J1069">
        <v>0</v>
      </c>
      <c r="K1069">
        <v>50</v>
      </c>
      <c r="L1069" t="s">
        <v>113</v>
      </c>
      <c r="M1069" t="s">
        <v>114</v>
      </c>
    </row>
    <row r="1070" spans="2:13" x14ac:dyDescent="0.2">
      <c r="B1070">
        <v>3044</v>
      </c>
      <c r="C1070">
        <v>3</v>
      </c>
      <c r="D1070">
        <v>6</v>
      </c>
      <c r="E1070">
        <v>0.1</v>
      </c>
      <c r="F1070">
        <v>0.6</v>
      </c>
      <c r="G1070">
        <v>0.6</v>
      </c>
      <c r="H1070">
        <v>65</v>
      </c>
      <c r="I1070">
        <v>1</v>
      </c>
      <c r="J1070">
        <v>0</v>
      </c>
      <c r="K1070">
        <v>45.9</v>
      </c>
      <c r="L1070" t="s">
        <v>115</v>
      </c>
      <c r="M1070" t="s">
        <v>116</v>
      </c>
    </row>
    <row r="1071" spans="2:13" x14ac:dyDescent="0.2">
      <c r="B1071">
        <v>3044</v>
      </c>
      <c r="C1071">
        <v>3</v>
      </c>
      <c r="D1071">
        <v>12.1</v>
      </c>
      <c r="E1071">
        <v>0.2</v>
      </c>
      <c r="F1071">
        <v>0.6</v>
      </c>
      <c r="G1071">
        <v>0.7</v>
      </c>
      <c r="H1071">
        <v>130</v>
      </c>
      <c r="I1071">
        <v>3</v>
      </c>
      <c r="J1071">
        <v>0</v>
      </c>
      <c r="K1071">
        <v>95</v>
      </c>
      <c r="L1071" t="s">
        <v>128</v>
      </c>
      <c r="M1071" t="s">
        <v>116</v>
      </c>
    </row>
    <row r="1072" spans="2:13" x14ac:dyDescent="0.2">
      <c r="B1072">
        <v>3044</v>
      </c>
      <c r="C1072">
        <v>4</v>
      </c>
      <c r="D1072">
        <v>0</v>
      </c>
      <c r="E1072">
        <v>0</v>
      </c>
      <c r="F1072">
        <v>0.6</v>
      </c>
      <c r="G1072">
        <v>0.6</v>
      </c>
      <c r="H1072">
        <v>0</v>
      </c>
      <c r="I1072">
        <v>0</v>
      </c>
      <c r="J1072">
        <v>0</v>
      </c>
      <c r="K1072">
        <v>50</v>
      </c>
      <c r="L1072" t="s">
        <v>113</v>
      </c>
      <c r="M1072" t="s">
        <v>114</v>
      </c>
    </row>
    <row r="1073" spans="2:13" x14ac:dyDescent="0.2">
      <c r="B1073">
        <v>3044</v>
      </c>
      <c r="C1073">
        <v>4</v>
      </c>
      <c r="D1073">
        <v>6</v>
      </c>
      <c r="E1073">
        <v>0.1</v>
      </c>
      <c r="F1073">
        <v>0.6</v>
      </c>
      <c r="G1073">
        <v>0.6</v>
      </c>
      <c r="H1073">
        <v>65</v>
      </c>
      <c r="I1073">
        <v>0</v>
      </c>
      <c r="J1073">
        <v>0</v>
      </c>
      <c r="K1073">
        <v>45.9</v>
      </c>
      <c r="L1073" t="s">
        <v>115</v>
      </c>
      <c r="M1073" t="s">
        <v>116</v>
      </c>
    </row>
    <row r="1074" spans="2:13" x14ac:dyDescent="0.2">
      <c r="B1074">
        <v>3044</v>
      </c>
      <c r="C1074">
        <v>4</v>
      </c>
      <c r="D1074">
        <v>12.1</v>
      </c>
      <c r="E1074">
        <v>0.2</v>
      </c>
      <c r="F1074">
        <v>0.6</v>
      </c>
      <c r="G1074">
        <v>0.7</v>
      </c>
      <c r="H1074">
        <v>130</v>
      </c>
      <c r="I1074">
        <v>5</v>
      </c>
      <c r="J1074">
        <v>0</v>
      </c>
      <c r="K1074">
        <v>95.6</v>
      </c>
      <c r="L1074" t="s">
        <v>128</v>
      </c>
      <c r="M1074" t="s">
        <v>116</v>
      </c>
    </row>
    <row r="1075" spans="2:13" x14ac:dyDescent="0.2">
      <c r="B1075">
        <v>3044</v>
      </c>
      <c r="C1075">
        <v>5</v>
      </c>
      <c r="D1075">
        <v>0</v>
      </c>
      <c r="E1075">
        <v>0</v>
      </c>
      <c r="F1075">
        <v>0.6</v>
      </c>
      <c r="G1075">
        <v>0.6</v>
      </c>
      <c r="H1075">
        <v>0</v>
      </c>
      <c r="I1075">
        <v>0</v>
      </c>
      <c r="J1075">
        <v>0</v>
      </c>
      <c r="K1075">
        <v>50</v>
      </c>
      <c r="L1075" t="s">
        <v>113</v>
      </c>
      <c r="M1075" t="s">
        <v>114</v>
      </c>
    </row>
    <row r="1076" spans="2:13" x14ac:dyDescent="0.2">
      <c r="B1076">
        <v>3044</v>
      </c>
      <c r="C1076">
        <v>5</v>
      </c>
      <c r="D1076">
        <v>6</v>
      </c>
      <c r="E1076">
        <v>0.1</v>
      </c>
      <c r="F1076">
        <v>0.6</v>
      </c>
      <c r="G1076">
        <v>0.6</v>
      </c>
      <c r="H1076">
        <v>65</v>
      </c>
      <c r="I1076">
        <v>2</v>
      </c>
      <c r="J1076">
        <v>0</v>
      </c>
      <c r="K1076">
        <v>45</v>
      </c>
      <c r="L1076" t="s">
        <v>115</v>
      </c>
      <c r="M1076" t="s">
        <v>116</v>
      </c>
    </row>
    <row r="1077" spans="2:13" x14ac:dyDescent="0.2">
      <c r="B1077">
        <v>3044</v>
      </c>
      <c r="C1077">
        <v>5</v>
      </c>
      <c r="D1077">
        <v>12</v>
      </c>
      <c r="E1077">
        <v>0.2</v>
      </c>
      <c r="F1077">
        <v>0.6</v>
      </c>
      <c r="G1077">
        <v>0.6</v>
      </c>
      <c r="H1077">
        <v>130</v>
      </c>
      <c r="I1077">
        <v>8</v>
      </c>
      <c r="J1077">
        <v>1</v>
      </c>
      <c r="K1077">
        <v>78.8</v>
      </c>
      <c r="L1077" t="s">
        <v>122</v>
      </c>
      <c r="M1077" t="s">
        <v>118</v>
      </c>
    </row>
    <row r="1078" spans="2:13" x14ac:dyDescent="0.2">
      <c r="B1078">
        <v>3044</v>
      </c>
      <c r="C1078">
        <v>5</v>
      </c>
      <c r="D1078">
        <v>12.1</v>
      </c>
      <c r="E1078">
        <v>0.2</v>
      </c>
      <c r="F1078">
        <v>0.6</v>
      </c>
      <c r="G1078">
        <v>0.6</v>
      </c>
      <c r="H1078">
        <v>130</v>
      </c>
      <c r="I1078">
        <v>8</v>
      </c>
      <c r="J1078">
        <v>1</v>
      </c>
      <c r="K1078">
        <v>78.8</v>
      </c>
      <c r="L1078" t="s">
        <v>124</v>
      </c>
      <c r="M1078" t="s">
        <v>116</v>
      </c>
    </row>
    <row r="1079" spans="2:13" x14ac:dyDescent="0.2">
      <c r="B1079">
        <v>3044</v>
      </c>
      <c r="C1079">
        <v>5</v>
      </c>
      <c r="D1079">
        <v>18.100000000000001</v>
      </c>
      <c r="E1079">
        <v>0.3</v>
      </c>
      <c r="F1079">
        <v>0.6</v>
      </c>
      <c r="G1079">
        <v>0.7</v>
      </c>
      <c r="H1079">
        <v>195</v>
      </c>
      <c r="I1079">
        <v>11</v>
      </c>
      <c r="J1079">
        <v>1</v>
      </c>
      <c r="K1079">
        <v>87.7</v>
      </c>
      <c r="L1079" t="s">
        <v>128</v>
      </c>
      <c r="M1079" t="s">
        <v>116</v>
      </c>
    </row>
    <row r="1080" spans="2:13" x14ac:dyDescent="0.2">
      <c r="B1080">
        <v>3045</v>
      </c>
      <c r="C1080">
        <v>1</v>
      </c>
      <c r="D1080">
        <v>0</v>
      </c>
      <c r="E1080">
        <v>0</v>
      </c>
      <c r="F1080">
        <v>0.6</v>
      </c>
      <c r="G1080">
        <v>0.6</v>
      </c>
      <c r="H1080">
        <v>0</v>
      </c>
      <c r="I1080">
        <v>0</v>
      </c>
      <c r="J1080">
        <v>0</v>
      </c>
      <c r="K1080">
        <v>50</v>
      </c>
      <c r="L1080" t="s">
        <v>113</v>
      </c>
      <c r="M1080" t="s">
        <v>114</v>
      </c>
    </row>
    <row r="1081" spans="2:13" x14ac:dyDescent="0.2">
      <c r="B1081">
        <v>3045</v>
      </c>
      <c r="C1081">
        <v>1</v>
      </c>
      <c r="D1081">
        <v>5.5</v>
      </c>
      <c r="E1081">
        <v>0.09</v>
      </c>
      <c r="F1081">
        <v>0.6</v>
      </c>
      <c r="G1081">
        <v>0.6</v>
      </c>
      <c r="H1081">
        <v>60</v>
      </c>
      <c r="I1081">
        <v>0</v>
      </c>
      <c r="J1081">
        <v>1</v>
      </c>
      <c r="K1081">
        <v>37.4</v>
      </c>
      <c r="L1081" t="s">
        <v>122</v>
      </c>
      <c r="M1081" t="s">
        <v>118</v>
      </c>
    </row>
    <row r="1082" spans="2:13" x14ac:dyDescent="0.2">
      <c r="B1082">
        <v>3045</v>
      </c>
      <c r="C1082">
        <v>1</v>
      </c>
      <c r="D1082">
        <v>5.9</v>
      </c>
      <c r="E1082">
        <v>0.1</v>
      </c>
      <c r="F1082">
        <v>0.6</v>
      </c>
      <c r="G1082">
        <v>0.6</v>
      </c>
      <c r="H1082">
        <v>64</v>
      </c>
      <c r="I1082">
        <v>0</v>
      </c>
      <c r="J1082">
        <v>2</v>
      </c>
      <c r="K1082">
        <v>37.700000000000003</v>
      </c>
      <c r="L1082" t="s">
        <v>127</v>
      </c>
      <c r="M1082" t="s">
        <v>118</v>
      </c>
    </row>
    <row r="1083" spans="2:13" x14ac:dyDescent="0.2">
      <c r="B1083">
        <v>3045</v>
      </c>
      <c r="C1083">
        <v>1</v>
      </c>
      <c r="D1083">
        <v>6</v>
      </c>
      <c r="E1083">
        <v>0.1</v>
      </c>
      <c r="F1083">
        <v>0.6</v>
      </c>
      <c r="G1083">
        <v>0.45</v>
      </c>
      <c r="H1083">
        <v>65</v>
      </c>
      <c r="I1083">
        <v>0</v>
      </c>
      <c r="J1083">
        <v>2</v>
      </c>
      <c r="K1083">
        <v>37.6</v>
      </c>
      <c r="L1083" t="s">
        <v>126</v>
      </c>
      <c r="M1083" t="s">
        <v>116</v>
      </c>
    </row>
    <row r="1084" spans="2:13" x14ac:dyDescent="0.2">
      <c r="B1084">
        <v>3045</v>
      </c>
      <c r="C1084">
        <v>1</v>
      </c>
      <c r="D1084">
        <v>11.6</v>
      </c>
      <c r="E1084">
        <v>0.19</v>
      </c>
      <c r="F1084">
        <v>0.45</v>
      </c>
      <c r="G1084">
        <v>0.45</v>
      </c>
      <c r="H1084">
        <v>110</v>
      </c>
      <c r="I1084">
        <v>1</v>
      </c>
      <c r="J1084">
        <v>3</v>
      </c>
      <c r="K1084">
        <v>48.1</v>
      </c>
      <c r="L1084" t="s">
        <v>135</v>
      </c>
      <c r="M1084" t="s">
        <v>118</v>
      </c>
    </row>
    <row r="1085" spans="2:13" x14ac:dyDescent="0.2">
      <c r="B1085">
        <v>3045</v>
      </c>
      <c r="C1085">
        <v>1</v>
      </c>
      <c r="D1085">
        <v>12.1</v>
      </c>
      <c r="E1085">
        <v>0.2</v>
      </c>
      <c r="F1085">
        <v>0.45</v>
      </c>
      <c r="G1085">
        <v>0.45</v>
      </c>
      <c r="H1085">
        <v>114</v>
      </c>
      <c r="I1085">
        <v>1</v>
      </c>
      <c r="J1085">
        <v>3</v>
      </c>
      <c r="K1085">
        <v>48.2</v>
      </c>
      <c r="L1085" t="s">
        <v>121</v>
      </c>
      <c r="M1085" t="s">
        <v>116</v>
      </c>
    </row>
    <row r="1086" spans="2:13" x14ac:dyDescent="0.2">
      <c r="B1086">
        <v>3045</v>
      </c>
      <c r="C1086">
        <v>1</v>
      </c>
      <c r="D1086">
        <v>13.1</v>
      </c>
      <c r="E1086">
        <v>0.22</v>
      </c>
      <c r="F1086">
        <v>0.45</v>
      </c>
      <c r="G1086">
        <v>0.45</v>
      </c>
      <c r="H1086">
        <v>122</v>
      </c>
      <c r="I1086">
        <v>1</v>
      </c>
      <c r="J1086">
        <v>4</v>
      </c>
      <c r="K1086">
        <v>45.1</v>
      </c>
      <c r="L1086" t="s">
        <v>130</v>
      </c>
      <c r="M1086" t="s">
        <v>118</v>
      </c>
    </row>
    <row r="1087" spans="2:13" x14ac:dyDescent="0.2">
      <c r="B1087">
        <v>3045</v>
      </c>
      <c r="C1087">
        <v>1</v>
      </c>
      <c r="D1087">
        <v>18.100000000000001</v>
      </c>
      <c r="E1087">
        <v>0.3</v>
      </c>
      <c r="F1087">
        <v>0.45</v>
      </c>
      <c r="G1087">
        <v>0.45</v>
      </c>
      <c r="H1087">
        <v>163</v>
      </c>
      <c r="I1087">
        <v>2</v>
      </c>
      <c r="J1087">
        <v>4</v>
      </c>
      <c r="K1087">
        <v>44.2</v>
      </c>
      <c r="L1087" t="s">
        <v>132</v>
      </c>
      <c r="M1087" t="s">
        <v>116</v>
      </c>
    </row>
    <row r="1088" spans="2:13" x14ac:dyDescent="0.2">
      <c r="B1088">
        <v>3045</v>
      </c>
      <c r="C1088">
        <v>2</v>
      </c>
      <c r="D1088">
        <v>0</v>
      </c>
      <c r="E1088">
        <v>0</v>
      </c>
      <c r="F1088">
        <v>0.6</v>
      </c>
      <c r="G1088">
        <v>0.6</v>
      </c>
      <c r="H1088">
        <v>0</v>
      </c>
      <c r="I1088">
        <v>0</v>
      </c>
      <c r="J1088">
        <v>0</v>
      </c>
      <c r="K1088">
        <v>50</v>
      </c>
      <c r="L1088" t="s">
        <v>113</v>
      </c>
      <c r="M1088" t="s">
        <v>114</v>
      </c>
    </row>
    <row r="1089" spans="2:13" x14ac:dyDescent="0.2">
      <c r="B1089">
        <v>3045</v>
      </c>
      <c r="C1089">
        <v>2</v>
      </c>
      <c r="D1089">
        <v>6</v>
      </c>
      <c r="E1089">
        <v>0.1</v>
      </c>
      <c r="F1089">
        <v>0.6</v>
      </c>
      <c r="G1089">
        <v>0.6</v>
      </c>
      <c r="H1089">
        <v>65</v>
      </c>
      <c r="I1089">
        <v>0</v>
      </c>
      <c r="J1089">
        <v>0</v>
      </c>
      <c r="K1089">
        <v>34.299999999999997</v>
      </c>
      <c r="L1089" t="s">
        <v>115</v>
      </c>
      <c r="M1089" t="s">
        <v>116</v>
      </c>
    </row>
    <row r="1090" spans="2:13" x14ac:dyDescent="0.2">
      <c r="B1090">
        <v>3045</v>
      </c>
      <c r="C1090">
        <v>2</v>
      </c>
      <c r="D1090">
        <v>8.6999999999999993</v>
      </c>
      <c r="E1090">
        <v>0.15</v>
      </c>
      <c r="F1090">
        <v>0.6</v>
      </c>
      <c r="G1090">
        <v>0.6</v>
      </c>
      <c r="H1090">
        <v>95</v>
      </c>
      <c r="I1090">
        <v>0</v>
      </c>
      <c r="J1090">
        <v>1</v>
      </c>
      <c r="K1090">
        <v>67.3</v>
      </c>
      <c r="L1090" t="s">
        <v>117</v>
      </c>
      <c r="M1090" t="s">
        <v>118</v>
      </c>
    </row>
    <row r="1091" spans="2:13" x14ac:dyDescent="0.2">
      <c r="B1091">
        <v>3045</v>
      </c>
      <c r="C1091">
        <v>2</v>
      </c>
      <c r="D1091">
        <v>12.1</v>
      </c>
      <c r="E1091">
        <v>0.2</v>
      </c>
      <c r="F1091">
        <v>0.6</v>
      </c>
      <c r="G1091">
        <v>0.6</v>
      </c>
      <c r="H1091">
        <v>130</v>
      </c>
      <c r="I1091">
        <v>1</v>
      </c>
      <c r="J1091">
        <v>1</v>
      </c>
      <c r="K1091">
        <v>67.599999999999994</v>
      </c>
      <c r="L1091" t="s">
        <v>124</v>
      </c>
      <c r="M1091" t="s">
        <v>116</v>
      </c>
    </row>
    <row r="1092" spans="2:13" x14ac:dyDescent="0.2">
      <c r="B1092">
        <v>3045</v>
      </c>
      <c r="C1092">
        <v>2</v>
      </c>
      <c r="D1092">
        <v>18.100000000000001</v>
      </c>
      <c r="E1092">
        <v>0.3</v>
      </c>
      <c r="F1092">
        <v>0.6</v>
      </c>
      <c r="G1092">
        <v>0.6</v>
      </c>
      <c r="H1092">
        <v>195</v>
      </c>
      <c r="I1092">
        <v>1</v>
      </c>
      <c r="J1092">
        <v>1</v>
      </c>
      <c r="K1092">
        <v>66.599999999999994</v>
      </c>
      <c r="L1092" t="s">
        <v>115</v>
      </c>
      <c r="M1092" t="s">
        <v>116</v>
      </c>
    </row>
    <row r="1093" spans="2:13" x14ac:dyDescent="0.2">
      <c r="B1093">
        <v>3045</v>
      </c>
      <c r="C1093">
        <v>3</v>
      </c>
      <c r="D1093">
        <v>0</v>
      </c>
      <c r="E1093">
        <v>0</v>
      </c>
      <c r="F1093">
        <v>0.6</v>
      </c>
      <c r="G1093">
        <v>0.6</v>
      </c>
      <c r="H1093">
        <v>0</v>
      </c>
      <c r="I1093">
        <v>0</v>
      </c>
      <c r="J1093">
        <v>0</v>
      </c>
      <c r="K1093">
        <v>50</v>
      </c>
      <c r="L1093" t="s">
        <v>113</v>
      </c>
      <c r="M1093" t="s">
        <v>114</v>
      </c>
    </row>
    <row r="1094" spans="2:13" x14ac:dyDescent="0.2">
      <c r="B1094">
        <v>3045</v>
      </c>
      <c r="C1094">
        <v>3</v>
      </c>
      <c r="D1094">
        <v>6</v>
      </c>
      <c r="E1094">
        <v>0.1</v>
      </c>
      <c r="F1094">
        <v>0.6</v>
      </c>
      <c r="G1094">
        <v>0.6</v>
      </c>
      <c r="H1094">
        <v>65</v>
      </c>
      <c r="I1094">
        <v>0</v>
      </c>
      <c r="J1094">
        <v>0</v>
      </c>
      <c r="K1094">
        <v>36.799999999999997</v>
      </c>
      <c r="L1094" t="s">
        <v>115</v>
      </c>
      <c r="M1094" t="s">
        <v>116</v>
      </c>
    </row>
    <row r="1095" spans="2:13" x14ac:dyDescent="0.2">
      <c r="B1095">
        <v>3045</v>
      </c>
      <c r="C1095">
        <v>3</v>
      </c>
      <c r="D1095">
        <v>12.1</v>
      </c>
      <c r="E1095">
        <v>0.2</v>
      </c>
      <c r="F1095">
        <v>0.6</v>
      </c>
      <c r="G1095">
        <v>0.6</v>
      </c>
      <c r="H1095">
        <v>130</v>
      </c>
      <c r="I1095">
        <v>4</v>
      </c>
      <c r="J1095">
        <v>0</v>
      </c>
      <c r="K1095">
        <v>36.9</v>
      </c>
      <c r="L1095" t="s">
        <v>115</v>
      </c>
      <c r="M1095" t="s">
        <v>116</v>
      </c>
    </row>
    <row r="1096" spans="2:13" x14ac:dyDescent="0.2">
      <c r="B1096">
        <v>3045</v>
      </c>
      <c r="C1096">
        <v>3</v>
      </c>
      <c r="D1096">
        <v>13</v>
      </c>
      <c r="E1096">
        <v>0.22</v>
      </c>
      <c r="F1096">
        <v>0.6</v>
      </c>
      <c r="G1096">
        <v>0.6</v>
      </c>
      <c r="H1096">
        <v>140</v>
      </c>
      <c r="I1096">
        <v>4</v>
      </c>
      <c r="J1096">
        <v>1</v>
      </c>
      <c r="K1096">
        <v>61.5</v>
      </c>
      <c r="L1096" t="s">
        <v>117</v>
      </c>
      <c r="M1096" t="s">
        <v>118</v>
      </c>
    </row>
    <row r="1097" spans="2:13" x14ac:dyDescent="0.2">
      <c r="B1097">
        <v>3045</v>
      </c>
      <c r="C1097">
        <v>3</v>
      </c>
      <c r="D1097">
        <v>14.1</v>
      </c>
      <c r="E1097">
        <v>0.23</v>
      </c>
      <c r="F1097">
        <v>0.6</v>
      </c>
      <c r="G1097">
        <v>0.6</v>
      </c>
      <c r="H1097">
        <v>152</v>
      </c>
      <c r="I1097">
        <v>7</v>
      </c>
      <c r="J1097">
        <v>2</v>
      </c>
      <c r="K1097">
        <v>61.7</v>
      </c>
      <c r="L1097" t="s">
        <v>123</v>
      </c>
      <c r="M1097" t="s">
        <v>118</v>
      </c>
    </row>
    <row r="1098" spans="2:13" x14ac:dyDescent="0.2">
      <c r="B1098">
        <v>3045</v>
      </c>
      <c r="C1098">
        <v>3</v>
      </c>
      <c r="D1098">
        <v>16.5</v>
      </c>
      <c r="E1098">
        <v>0.27</v>
      </c>
      <c r="F1098">
        <v>0.6</v>
      </c>
      <c r="G1098">
        <v>0.6</v>
      </c>
      <c r="H1098">
        <v>178</v>
      </c>
      <c r="I1098">
        <v>7</v>
      </c>
      <c r="J1098">
        <v>3</v>
      </c>
      <c r="K1098">
        <v>56.2</v>
      </c>
      <c r="L1098" t="s">
        <v>125</v>
      </c>
      <c r="M1098" t="s">
        <v>118</v>
      </c>
    </row>
    <row r="1099" spans="2:13" x14ac:dyDescent="0.2">
      <c r="B1099">
        <v>3045</v>
      </c>
      <c r="C1099">
        <v>3</v>
      </c>
      <c r="D1099">
        <v>18.100000000000001</v>
      </c>
      <c r="E1099">
        <v>0.3</v>
      </c>
      <c r="F1099">
        <v>0.6</v>
      </c>
      <c r="G1099">
        <v>0.6</v>
      </c>
      <c r="H1099">
        <v>195</v>
      </c>
      <c r="I1099">
        <v>8</v>
      </c>
      <c r="J1099">
        <v>3</v>
      </c>
      <c r="K1099">
        <v>60.9</v>
      </c>
      <c r="L1099" t="s">
        <v>121</v>
      </c>
      <c r="M1099" t="s">
        <v>116</v>
      </c>
    </row>
    <row r="1100" spans="2:13" x14ac:dyDescent="0.2">
      <c r="B1100">
        <v>3045</v>
      </c>
      <c r="C1100">
        <v>4</v>
      </c>
      <c r="D1100">
        <v>0</v>
      </c>
      <c r="E1100">
        <v>0</v>
      </c>
      <c r="F1100">
        <v>0.6</v>
      </c>
      <c r="G1100">
        <v>0.6</v>
      </c>
      <c r="H1100">
        <v>0</v>
      </c>
      <c r="I1100">
        <v>0</v>
      </c>
      <c r="J1100">
        <v>0</v>
      </c>
      <c r="K1100">
        <v>50</v>
      </c>
      <c r="L1100" t="s">
        <v>113</v>
      </c>
      <c r="M1100" t="s">
        <v>114</v>
      </c>
    </row>
    <row r="1101" spans="2:13" x14ac:dyDescent="0.2">
      <c r="B1101">
        <v>3045</v>
      </c>
      <c r="C1101">
        <v>4</v>
      </c>
      <c r="D1101">
        <v>6</v>
      </c>
      <c r="E1101">
        <v>0.1</v>
      </c>
      <c r="F1101">
        <v>0.6</v>
      </c>
      <c r="G1101">
        <v>0.6</v>
      </c>
      <c r="H1101">
        <v>65</v>
      </c>
      <c r="I1101">
        <v>0</v>
      </c>
      <c r="J1101">
        <v>0</v>
      </c>
      <c r="K1101">
        <v>36.799999999999997</v>
      </c>
      <c r="L1101" t="s">
        <v>115</v>
      </c>
      <c r="M1101" t="s">
        <v>116</v>
      </c>
    </row>
    <row r="1102" spans="2:13" x14ac:dyDescent="0.2">
      <c r="B1102">
        <v>3045</v>
      </c>
      <c r="C1102">
        <v>4</v>
      </c>
      <c r="D1102">
        <v>9</v>
      </c>
      <c r="E1102">
        <v>0.15</v>
      </c>
      <c r="F1102">
        <v>0.6</v>
      </c>
      <c r="G1102">
        <v>0.6</v>
      </c>
      <c r="H1102">
        <v>97</v>
      </c>
      <c r="I1102">
        <v>1</v>
      </c>
      <c r="J1102">
        <v>1</v>
      </c>
      <c r="K1102">
        <v>61.9</v>
      </c>
      <c r="L1102" t="s">
        <v>117</v>
      </c>
      <c r="M1102" t="s">
        <v>118</v>
      </c>
    </row>
    <row r="1103" spans="2:13" x14ac:dyDescent="0.2">
      <c r="B1103">
        <v>3045</v>
      </c>
      <c r="C1103">
        <v>4</v>
      </c>
      <c r="D1103">
        <v>10.1</v>
      </c>
      <c r="E1103">
        <v>0.17</v>
      </c>
      <c r="F1103">
        <v>0.6</v>
      </c>
      <c r="G1103">
        <v>0.6</v>
      </c>
      <c r="H1103">
        <v>109</v>
      </c>
      <c r="I1103">
        <v>1</v>
      </c>
      <c r="J1103">
        <v>2</v>
      </c>
      <c r="K1103">
        <v>54.2</v>
      </c>
      <c r="L1103" t="s">
        <v>127</v>
      </c>
      <c r="M1103" t="s">
        <v>118</v>
      </c>
    </row>
    <row r="1104" spans="2:13" x14ac:dyDescent="0.2">
      <c r="B1104">
        <v>3045</v>
      </c>
      <c r="C1104">
        <v>4</v>
      </c>
      <c r="D1104">
        <v>12.1</v>
      </c>
      <c r="E1104">
        <v>0.2</v>
      </c>
      <c r="F1104">
        <v>0.6</v>
      </c>
      <c r="G1104">
        <v>0.45</v>
      </c>
      <c r="H1104">
        <v>130</v>
      </c>
      <c r="I1104">
        <v>2</v>
      </c>
      <c r="J1104">
        <v>2</v>
      </c>
      <c r="K1104">
        <v>54.8</v>
      </c>
      <c r="L1104" t="s">
        <v>120</v>
      </c>
      <c r="M1104" t="s">
        <v>116</v>
      </c>
    </row>
    <row r="1105" spans="2:13" x14ac:dyDescent="0.2">
      <c r="B1105">
        <v>3045</v>
      </c>
      <c r="C1105">
        <v>4</v>
      </c>
      <c r="D1105">
        <v>18.100000000000001</v>
      </c>
      <c r="E1105">
        <v>0.3</v>
      </c>
      <c r="F1105">
        <v>0.45</v>
      </c>
      <c r="G1105">
        <v>0.45</v>
      </c>
      <c r="H1105">
        <v>179</v>
      </c>
      <c r="I1105">
        <v>5</v>
      </c>
      <c r="J1105">
        <v>2</v>
      </c>
      <c r="K1105">
        <v>62.8</v>
      </c>
      <c r="L1105" t="s">
        <v>115</v>
      </c>
      <c r="M1105" t="s">
        <v>116</v>
      </c>
    </row>
    <row r="1106" spans="2:13" x14ac:dyDescent="0.2">
      <c r="B1106">
        <v>3045</v>
      </c>
      <c r="C1106">
        <v>5</v>
      </c>
      <c r="D1106">
        <v>0</v>
      </c>
      <c r="E1106">
        <v>0</v>
      </c>
      <c r="F1106">
        <v>0.6</v>
      </c>
      <c r="G1106">
        <v>0.6</v>
      </c>
      <c r="H1106">
        <v>0</v>
      </c>
      <c r="I1106">
        <v>0</v>
      </c>
      <c r="J1106">
        <v>0</v>
      </c>
      <c r="K1106">
        <v>50</v>
      </c>
      <c r="L1106" t="s">
        <v>113</v>
      </c>
      <c r="M1106" t="s">
        <v>114</v>
      </c>
    </row>
    <row r="1107" spans="2:13" x14ac:dyDescent="0.2">
      <c r="B1107">
        <v>3045</v>
      </c>
      <c r="C1107">
        <v>5</v>
      </c>
      <c r="D1107">
        <v>6</v>
      </c>
      <c r="E1107">
        <v>0.1</v>
      </c>
      <c r="F1107">
        <v>0.6</v>
      </c>
      <c r="G1107">
        <v>0.6</v>
      </c>
      <c r="H1107">
        <v>65</v>
      </c>
      <c r="I1107">
        <v>1</v>
      </c>
      <c r="J1107">
        <v>0</v>
      </c>
      <c r="K1107">
        <v>86</v>
      </c>
      <c r="L1107" t="s">
        <v>115</v>
      </c>
      <c r="M1107" t="s">
        <v>116</v>
      </c>
    </row>
    <row r="1108" spans="2:13" x14ac:dyDescent="0.2">
      <c r="B1108">
        <v>3045</v>
      </c>
      <c r="C1108">
        <v>5</v>
      </c>
      <c r="D1108">
        <v>10.3</v>
      </c>
      <c r="E1108">
        <v>0.17</v>
      </c>
      <c r="F1108">
        <v>0.6</v>
      </c>
      <c r="G1108">
        <v>0.6</v>
      </c>
      <c r="H1108">
        <v>111</v>
      </c>
      <c r="I1108">
        <v>3</v>
      </c>
      <c r="J1108">
        <v>1</v>
      </c>
      <c r="K1108">
        <v>60</v>
      </c>
      <c r="L1108" t="s">
        <v>122</v>
      </c>
      <c r="M1108" t="s">
        <v>118</v>
      </c>
    </row>
    <row r="1109" spans="2:13" x14ac:dyDescent="0.2">
      <c r="B1109">
        <v>3045</v>
      </c>
      <c r="C1109">
        <v>5</v>
      </c>
      <c r="D1109">
        <v>11.9</v>
      </c>
      <c r="E1109">
        <v>0.2</v>
      </c>
      <c r="F1109">
        <v>0.6</v>
      </c>
      <c r="G1109">
        <v>0.6</v>
      </c>
      <c r="H1109">
        <v>128</v>
      </c>
      <c r="I1109">
        <v>3</v>
      </c>
      <c r="J1109">
        <v>2</v>
      </c>
      <c r="K1109">
        <v>51.9</v>
      </c>
      <c r="L1109" t="s">
        <v>119</v>
      </c>
      <c r="M1109" t="s">
        <v>118</v>
      </c>
    </row>
    <row r="1110" spans="2:13" x14ac:dyDescent="0.2">
      <c r="B1110">
        <v>3045</v>
      </c>
      <c r="C1110">
        <v>5</v>
      </c>
      <c r="D1110">
        <v>12.1</v>
      </c>
      <c r="E1110">
        <v>0.2</v>
      </c>
      <c r="F1110">
        <v>0.6</v>
      </c>
      <c r="G1110">
        <v>0.45</v>
      </c>
      <c r="H1110">
        <v>130</v>
      </c>
      <c r="I1110">
        <v>3</v>
      </c>
      <c r="J1110">
        <v>2</v>
      </c>
      <c r="K1110">
        <v>52.1</v>
      </c>
      <c r="L1110" t="s">
        <v>126</v>
      </c>
      <c r="M1110" t="s">
        <v>116</v>
      </c>
    </row>
    <row r="1111" spans="2:13" x14ac:dyDescent="0.2">
      <c r="B1111">
        <v>3045</v>
      </c>
      <c r="C1111">
        <v>5</v>
      </c>
      <c r="D1111">
        <v>12.3</v>
      </c>
      <c r="E1111">
        <v>0.21</v>
      </c>
      <c r="F1111">
        <v>0.45</v>
      </c>
      <c r="G1111">
        <v>0.45</v>
      </c>
      <c r="H1111">
        <v>132</v>
      </c>
      <c r="I1111">
        <v>3</v>
      </c>
      <c r="J1111">
        <v>3</v>
      </c>
      <c r="K1111">
        <v>48.1</v>
      </c>
      <c r="L1111" t="s">
        <v>135</v>
      </c>
      <c r="M1111" t="s">
        <v>118</v>
      </c>
    </row>
    <row r="1112" spans="2:13" x14ac:dyDescent="0.2">
      <c r="B1112">
        <v>3045</v>
      </c>
      <c r="C1112">
        <v>5</v>
      </c>
      <c r="D1112">
        <v>15.4</v>
      </c>
      <c r="E1112">
        <v>0.26</v>
      </c>
      <c r="F1112">
        <v>0.45</v>
      </c>
      <c r="G1112">
        <v>0.45</v>
      </c>
      <c r="H1112">
        <v>157</v>
      </c>
      <c r="I1112">
        <v>3</v>
      </c>
      <c r="J1112">
        <v>4</v>
      </c>
      <c r="K1112">
        <v>46.5</v>
      </c>
      <c r="L1112" t="s">
        <v>130</v>
      </c>
      <c r="M1112" t="s">
        <v>118</v>
      </c>
    </row>
    <row r="1113" spans="2:13" x14ac:dyDescent="0.2">
      <c r="B1113">
        <v>3045</v>
      </c>
      <c r="C1113">
        <v>5</v>
      </c>
      <c r="D1113">
        <v>18.100000000000001</v>
      </c>
      <c r="E1113">
        <v>0.3</v>
      </c>
      <c r="F1113">
        <v>0.45</v>
      </c>
      <c r="G1113">
        <v>0.3</v>
      </c>
      <c r="H1113">
        <v>179</v>
      </c>
      <c r="I1113">
        <v>6</v>
      </c>
      <c r="J1113">
        <v>4</v>
      </c>
      <c r="K1113">
        <v>46.1</v>
      </c>
      <c r="L1113" t="s">
        <v>126</v>
      </c>
      <c r="M1113" t="s">
        <v>116</v>
      </c>
    </row>
    <row r="1114" spans="2:13" x14ac:dyDescent="0.2">
      <c r="B1114">
        <v>3046</v>
      </c>
      <c r="C1114">
        <v>1</v>
      </c>
      <c r="D1114">
        <v>0</v>
      </c>
      <c r="E1114">
        <v>0</v>
      </c>
      <c r="F1114">
        <v>0.6</v>
      </c>
      <c r="G1114">
        <v>0.6</v>
      </c>
      <c r="H1114">
        <v>0</v>
      </c>
      <c r="I1114">
        <v>0</v>
      </c>
      <c r="J1114">
        <v>0</v>
      </c>
      <c r="K1114">
        <v>50</v>
      </c>
      <c r="L1114" t="s">
        <v>113</v>
      </c>
      <c r="M1114" t="s">
        <v>114</v>
      </c>
    </row>
    <row r="1115" spans="2:13" x14ac:dyDescent="0.2">
      <c r="B1115">
        <v>3046</v>
      </c>
      <c r="C1115">
        <v>1</v>
      </c>
      <c r="D1115">
        <v>5.4</v>
      </c>
      <c r="E1115">
        <v>0.09</v>
      </c>
      <c r="F1115">
        <v>0.6</v>
      </c>
      <c r="G1115">
        <v>0.6</v>
      </c>
      <c r="H1115">
        <v>59</v>
      </c>
      <c r="I1115">
        <v>0</v>
      </c>
      <c r="J1115">
        <v>1</v>
      </c>
      <c r="K1115">
        <v>41.3</v>
      </c>
      <c r="L1115" t="s">
        <v>117</v>
      </c>
      <c r="M1115" t="s">
        <v>118</v>
      </c>
    </row>
    <row r="1116" spans="2:13" x14ac:dyDescent="0.2">
      <c r="B1116">
        <v>3046</v>
      </c>
      <c r="C1116">
        <v>1</v>
      </c>
      <c r="D1116">
        <v>6</v>
      </c>
      <c r="E1116">
        <v>0.1</v>
      </c>
      <c r="F1116">
        <v>0.6</v>
      </c>
      <c r="G1116">
        <v>0.6</v>
      </c>
      <c r="H1116">
        <v>65</v>
      </c>
      <c r="I1116">
        <v>1</v>
      </c>
      <c r="J1116">
        <v>1</v>
      </c>
      <c r="K1116">
        <v>41.7</v>
      </c>
      <c r="L1116" t="s">
        <v>132</v>
      </c>
      <c r="M1116" t="s">
        <v>116</v>
      </c>
    </row>
    <row r="1117" spans="2:13" x14ac:dyDescent="0.2">
      <c r="B1117">
        <v>3046</v>
      </c>
      <c r="C1117">
        <v>1</v>
      </c>
      <c r="D1117">
        <v>8.5</v>
      </c>
      <c r="E1117">
        <v>0.14000000000000001</v>
      </c>
      <c r="F1117">
        <v>0.6</v>
      </c>
      <c r="G1117">
        <v>0.6</v>
      </c>
      <c r="H1117">
        <v>92</v>
      </c>
      <c r="I1117">
        <v>3</v>
      </c>
      <c r="J1117">
        <v>2</v>
      </c>
      <c r="K1117">
        <v>57.3</v>
      </c>
      <c r="L1117" t="s">
        <v>123</v>
      </c>
      <c r="M1117" t="s">
        <v>118</v>
      </c>
    </row>
    <row r="1118" spans="2:13" x14ac:dyDescent="0.2">
      <c r="B1118">
        <v>3046</v>
      </c>
      <c r="C1118">
        <v>1</v>
      </c>
      <c r="D1118">
        <v>12.1</v>
      </c>
      <c r="E1118">
        <v>0.2</v>
      </c>
      <c r="F1118">
        <v>0.6</v>
      </c>
      <c r="G1118">
        <v>0.6</v>
      </c>
      <c r="H1118">
        <v>130</v>
      </c>
      <c r="I1118">
        <v>6</v>
      </c>
      <c r="J1118">
        <v>2</v>
      </c>
      <c r="K1118">
        <v>55.9</v>
      </c>
      <c r="L1118" t="s">
        <v>121</v>
      </c>
      <c r="M1118" t="s">
        <v>116</v>
      </c>
    </row>
    <row r="1119" spans="2:13" x14ac:dyDescent="0.2">
      <c r="B1119">
        <v>3046</v>
      </c>
      <c r="C1119">
        <v>1</v>
      </c>
      <c r="D1119">
        <v>18.100000000000001</v>
      </c>
      <c r="E1119">
        <v>0.3</v>
      </c>
      <c r="F1119">
        <v>0.6</v>
      </c>
      <c r="G1119">
        <v>0.6</v>
      </c>
      <c r="H1119">
        <v>195</v>
      </c>
      <c r="I1119">
        <v>8</v>
      </c>
      <c r="J1119">
        <v>2</v>
      </c>
      <c r="K1119">
        <v>62.8</v>
      </c>
      <c r="L1119" t="s">
        <v>115</v>
      </c>
      <c r="M1119" t="s">
        <v>116</v>
      </c>
    </row>
    <row r="1120" spans="2:13" x14ac:dyDescent="0.2">
      <c r="B1120">
        <v>3046</v>
      </c>
      <c r="C1120">
        <v>2</v>
      </c>
      <c r="D1120">
        <v>0</v>
      </c>
      <c r="E1120">
        <v>0</v>
      </c>
      <c r="F1120">
        <v>0.6</v>
      </c>
      <c r="G1120">
        <v>0.6</v>
      </c>
      <c r="H1120">
        <v>0</v>
      </c>
      <c r="I1120">
        <v>0</v>
      </c>
      <c r="J1120">
        <v>0</v>
      </c>
      <c r="K1120">
        <v>50</v>
      </c>
      <c r="L1120" t="s">
        <v>113</v>
      </c>
      <c r="M1120" t="s">
        <v>114</v>
      </c>
    </row>
    <row r="1121" spans="2:13" x14ac:dyDescent="0.2">
      <c r="B1121">
        <v>3046</v>
      </c>
      <c r="C1121">
        <v>2</v>
      </c>
      <c r="D1121">
        <v>6</v>
      </c>
      <c r="E1121">
        <v>0.1</v>
      </c>
      <c r="F1121">
        <v>0.6</v>
      </c>
      <c r="G1121">
        <v>0.6</v>
      </c>
      <c r="H1121">
        <v>65</v>
      </c>
      <c r="I1121">
        <v>1</v>
      </c>
      <c r="J1121">
        <v>0</v>
      </c>
      <c r="K1121">
        <v>41.3</v>
      </c>
      <c r="L1121" t="s">
        <v>115</v>
      </c>
      <c r="M1121" t="s">
        <v>116</v>
      </c>
    </row>
    <row r="1122" spans="2:13" x14ac:dyDescent="0.2">
      <c r="B1122">
        <v>3046</v>
      </c>
      <c r="C1122">
        <v>2</v>
      </c>
      <c r="D1122">
        <v>10.6</v>
      </c>
      <c r="E1122">
        <v>0.18</v>
      </c>
      <c r="F1122">
        <v>0.6</v>
      </c>
      <c r="G1122">
        <v>0.6</v>
      </c>
      <c r="H1122">
        <v>114</v>
      </c>
      <c r="I1122">
        <v>5</v>
      </c>
      <c r="J1122">
        <v>1</v>
      </c>
      <c r="K1122">
        <v>64.8</v>
      </c>
      <c r="L1122" t="s">
        <v>117</v>
      </c>
      <c r="M1122" t="s">
        <v>118</v>
      </c>
    </row>
    <row r="1123" spans="2:13" x14ac:dyDescent="0.2">
      <c r="B1123">
        <v>3046</v>
      </c>
      <c r="C1123">
        <v>2</v>
      </c>
      <c r="D1123">
        <v>12.1</v>
      </c>
      <c r="E1123">
        <v>0.2</v>
      </c>
      <c r="F1123">
        <v>0.6</v>
      </c>
      <c r="G1123">
        <v>0.6</v>
      </c>
      <c r="H1123">
        <v>130</v>
      </c>
      <c r="I1123">
        <v>7</v>
      </c>
      <c r="J1123">
        <v>1</v>
      </c>
      <c r="K1123">
        <v>64.2</v>
      </c>
      <c r="L1123" t="s">
        <v>121</v>
      </c>
      <c r="M1123" t="s">
        <v>116</v>
      </c>
    </row>
    <row r="1124" spans="2:13" x14ac:dyDescent="0.2">
      <c r="B1124">
        <v>3046</v>
      </c>
      <c r="C1124">
        <v>2</v>
      </c>
      <c r="D1124">
        <v>17.2</v>
      </c>
      <c r="E1124">
        <v>0.28999999999999998</v>
      </c>
      <c r="F1124">
        <v>0.6</v>
      </c>
      <c r="G1124">
        <v>0.6</v>
      </c>
      <c r="H1124">
        <v>186</v>
      </c>
      <c r="I1124">
        <v>8</v>
      </c>
      <c r="J1124">
        <v>2</v>
      </c>
      <c r="K1124">
        <v>54.6</v>
      </c>
      <c r="L1124" t="s">
        <v>127</v>
      </c>
      <c r="M1124" t="s">
        <v>118</v>
      </c>
    </row>
    <row r="1125" spans="2:13" x14ac:dyDescent="0.2">
      <c r="B1125">
        <v>3046</v>
      </c>
      <c r="C1125">
        <v>2</v>
      </c>
      <c r="D1125">
        <v>18.100000000000001</v>
      </c>
      <c r="E1125">
        <v>0.3</v>
      </c>
      <c r="F1125">
        <v>0.6</v>
      </c>
      <c r="G1125">
        <v>0.6</v>
      </c>
      <c r="H1125">
        <v>195</v>
      </c>
      <c r="I1125">
        <v>8</v>
      </c>
      <c r="J1125">
        <v>2</v>
      </c>
      <c r="K1125">
        <v>54.6</v>
      </c>
      <c r="L1125" t="s">
        <v>132</v>
      </c>
      <c r="M1125" t="s">
        <v>116</v>
      </c>
    </row>
    <row r="1126" spans="2:13" x14ac:dyDescent="0.2">
      <c r="B1126">
        <v>3046</v>
      </c>
      <c r="C1126">
        <v>3</v>
      </c>
      <c r="D1126">
        <v>0</v>
      </c>
      <c r="E1126">
        <v>0</v>
      </c>
      <c r="F1126">
        <v>0.6</v>
      </c>
      <c r="G1126">
        <v>0.6</v>
      </c>
      <c r="H1126">
        <v>0</v>
      </c>
      <c r="I1126">
        <v>0</v>
      </c>
      <c r="J1126">
        <v>0</v>
      </c>
      <c r="K1126">
        <v>50</v>
      </c>
      <c r="L1126" t="s">
        <v>113</v>
      </c>
      <c r="M1126" t="s">
        <v>114</v>
      </c>
    </row>
    <row r="1127" spans="2:13" x14ac:dyDescent="0.2">
      <c r="B1127">
        <v>3046</v>
      </c>
      <c r="C1127">
        <v>3</v>
      </c>
      <c r="D1127">
        <v>6</v>
      </c>
      <c r="E1127">
        <v>0.1</v>
      </c>
      <c r="F1127">
        <v>0.6</v>
      </c>
      <c r="G1127">
        <v>0.6</v>
      </c>
      <c r="H1127">
        <v>65</v>
      </c>
      <c r="I1127">
        <v>0</v>
      </c>
      <c r="J1127">
        <v>0</v>
      </c>
      <c r="K1127">
        <v>39.700000000000003</v>
      </c>
      <c r="L1127" t="s">
        <v>115</v>
      </c>
      <c r="M1127" t="s">
        <v>116</v>
      </c>
    </row>
    <row r="1128" spans="2:13" x14ac:dyDescent="0.2">
      <c r="B1128">
        <v>3046</v>
      </c>
      <c r="C1128">
        <v>3</v>
      </c>
      <c r="D1128">
        <v>12.1</v>
      </c>
      <c r="E1128">
        <v>0.2</v>
      </c>
      <c r="F1128">
        <v>0.6</v>
      </c>
      <c r="G1128">
        <v>0.7</v>
      </c>
      <c r="H1128">
        <v>130</v>
      </c>
      <c r="I1128">
        <v>3</v>
      </c>
      <c r="J1128">
        <v>0</v>
      </c>
      <c r="K1128">
        <v>88.8</v>
      </c>
      <c r="L1128" t="s">
        <v>128</v>
      </c>
      <c r="M1128" t="s">
        <v>116</v>
      </c>
    </row>
    <row r="1129" spans="2:13" x14ac:dyDescent="0.2">
      <c r="B1129">
        <v>3046</v>
      </c>
      <c r="C1129">
        <v>3</v>
      </c>
      <c r="D1129">
        <v>13.7</v>
      </c>
      <c r="E1129">
        <v>0.23</v>
      </c>
      <c r="F1129">
        <v>0.7</v>
      </c>
      <c r="G1129">
        <v>0.7</v>
      </c>
      <c r="H1129">
        <v>150</v>
      </c>
      <c r="I1129">
        <v>4</v>
      </c>
      <c r="J1129">
        <v>1</v>
      </c>
      <c r="K1129">
        <v>79.2</v>
      </c>
      <c r="L1129" t="s">
        <v>117</v>
      </c>
      <c r="M1129" t="s">
        <v>118</v>
      </c>
    </row>
    <row r="1130" spans="2:13" x14ac:dyDescent="0.2">
      <c r="B1130">
        <v>3046</v>
      </c>
      <c r="C1130">
        <v>3</v>
      </c>
      <c r="D1130">
        <v>16.2</v>
      </c>
      <c r="E1130">
        <v>0.27</v>
      </c>
      <c r="F1130">
        <v>0.7</v>
      </c>
      <c r="G1130">
        <v>0.7</v>
      </c>
      <c r="H1130">
        <v>182</v>
      </c>
      <c r="I1130">
        <v>7</v>
      </c>
      <c r="J1130">
        <v>2</v>
      </c>
      <c r="K1130">
        <v>73.5</v>
      </c>
      <c r="L1130" t="s">
        <v>119</v>
      </c>
      <c r="M1130" t="s">
        <v>118</v>
      </c>
    </row>
    <row r="1131" spans="2:13" x14ac:dyDescent="0.2">
      <c r="B1131">
        <v>3046</v>
      </c>
      <c r="C1131">
        <v>4</v>
      </c>
      <c r="D1131">
        <v>0</v>
      </c>
      <c r="E1131">
        <v>0</v>
      </c>
      <c r="F1131">
        <v>0.6</v>
      </c>
      <c r="G1131">
        <v>0.6</v>
      </c>
      <c r="H1131">
        <v>0</v>
      </c>
      <c r="I1131">
        <v>0</v>
      </c>
      <c r="J1131">
        <v>0</v>
      </c>
      <c r="K1131">
        <v>50</v>
      </c>
      <c r="L1131" t="s">
        <v>113</v>
      </c>
      <c r="M1131" t="s">
        <v>114</v>
      </c>
    </row>
    <row r="1132" spans="2:13" x14ac:dyDescent="0.2">
      <c r="B1132">
        <v>3046</v>
      </c>
      <c r="C1132">
        <v>4</v>
      </c>
      <c r="D1132">
        <v>6</v>
      </c>
      <c r="E1132">
        <v>0.1</v>
      </c>
      <c r="F1132">
        <v>0.6</v>
      </c>
      <c r="G1132">
        <v>0.6</v>
      </c>
      <c r="H1132">
        <v>65</v>
      </c>
      <c r="I1132">
        <v>0</v>
      </c>
      <c r="J1132">
        <v>0</v>
      </c>
      <c r="K1132">
        <v>38.799999999999997</v>
      </c>
      <c r="L1132" t="s">
        <v>115</v>
      </c>
      <c r="M1132" t="s">
        <v>116</v>
      </c>
    </row>
    <row r="1133" spans="2:13" x14ac:dyDescent="0.2">
      <c r="B1133">
        <v>3046</v>
      </c>
      <c r="C1133">
        <v>4</v>
      </c>
      <c r="D1133">
        <v>12.1</v>
      </c>
      <c r="E1133">
        <v>0.2</v>
      </c>
      <c r="F1133">
        <v>0.6</v>
      </c>
      <c r="G1133">
        <v>0.6</v>
      </c>
      <c r="H1133">
        <v>130</v>
      </c>
      <c r="I1133">
        <v>5</v>
      </c>
      <c r="J1133">
        <v>0</v>
      </c>
      <c r="K1133">
        <v>90.2</v>
      </c>
      <c r="L1133" t="s">
        <v>115</v>
      </c>
      <c r="M1133" t="s">
        <v>116</v>
      </c>
    </row>
    <row r="1134" spans="2:13" x14ac:dyDescent="0.2">
      <c r="B1134">
        <v>3046</v>
      </c>
      <c r="C1134">
        <v>4</v>
      </c>
      <c r="D1134">
        <v>18.100000000000001</v>
      </c>
      <c r="E1134">
        <v>0.3</v>
      </c>
      <c r="F1134">
        <v>0.6</v>
      </c>
      <c r="G1134">
        <v>0.6</v>
      </c>
      <c r="H1134">
        <v>195</v>
      </c>
      <c r="I1134">
        <v>8</v>
      </c>
      <c r="J1134">
        <v>0</v>
      </c>
      <c r="K1134">
        <v>88.6</v>
      </c>
      <c r="L1134" t="s">
        <v>115</v>
      </c>
      <c r="M1134" t="s">
        <v>116</v>
      </c>
    </row>
    <row r="1135" spans="2:13" x14ac:dyDescent="0.2">
      <c r="B1135">
        <v>3046</v>
      </c>
      <c r="C1135">
        <v>5</v>
      </c>
      <c r="D1135">
        <v>0</v>
      </c>
      <c r="E1135">
        <v>0</v>
      </c>
      <c r="F1135">
        <v>0.6</v>
      </c>
      <c r="G1135">
        <v>0.6</v>
      </c>
      <c r="H1135">
        <v>0</v>
      </c>
      <c r="I1135">
        <v>0</v>
      </c>
      <c r="J1135">
        <v>0</v>
      </c>
      <c r="K1135">
        <v>50</v>
      </c>
      <c r="L1135" t="s">
        <v>113</v>
      </c>
      <c r="M1135" t="s">
        <v>114</v>
      </c>
    </row>
    <row r="1136" spans="2:13" x14ac:dyDescent="0.2">
      <c r="B1136">
        <v>3046</v>
      </c>
      <c r="C1136">
        <v>5</v>
      </c>
      <c r="D1136">
        <v>6</v>
      </c>
      <c r="E1136">
        <v>0.1</v>
      </c>
      <c r="F1136">
        <v>0.6</v>
      </c>
      <c r="G1136">
        <v>0.6</v>
      </c>
      <c r="H1136">
        <v>65</v>
      </c>
      <c r="I1136">
        <v>1</v>
      </c>
      <c r="J1136">
        <v>0</v>
      </c>
      <c r="K1136">
        <v>35.5</v>
      </c>
      <c r="L1136" t="s">
        <v>115</v>
      </c>
      <c r="M1136" t="s">
        <v>116</v>
      </c>
    </row>
    <row r="1137" spans="2:13" x14ac:dyDescent="0.2">
      <c r="B1137">
        <v>3046</v>
      </c>
      <c r="C1137">
        <v>5</v>
      </c>
      <c r="D1137">
        <v>8.8000000000000007</v>
      </c>
      <c r="E1137">
        <v>0.15</v>
      </c>
      <c r="F1137">
        <v>0.6</v>
      </c>
      <c r="G1137">
        <v>0.6</v>
      </c>
      <c r="H1137">
        <v>96</v>
      </c>
      <c r="I1137">
        <v>1</v>
      </c>
      <c r="J1137">
        <v>1</v>
      </c>
      <c r="K1137">
        <v>62.9</v>
      </c>
      <c r="L1137" t="s">
        <v>142</v>
      </c>
      <c r="M1137" t="s">
        <v>118</v>
      </c>
    </row>
    <row r="1138" spans="2:13" x14ac:dyDescent="0.2">
      <c r="B1138">
        <v>3046</v>
      </c>
      <c r="C1138">
        <v>5</v>
      </c>
      <c r="D1138">
        <v>12.1</v>
      </c>
      <c r="E1138">
        <v>0.2</v>
      </c>
      <c r="F1138">
        <v>0.6</v>
      </c>
      <c r="G1138">
        <v>0.6</v>
      </c>
      <c r="H1138">
        <v>130</v>
      </c>
      <c r="I1138">
        <v>2</v>
      </c>
      <c r="J1138">
        <v>1</v>
      </c>
      <c r="K1138">
        <v>63.4</v>
      </c>
      <c r="L1138" t="s">
        <v>121</v>
      </c>
      <c r="M1138" t="s">
        <v>116</v>
      </c>
    </row>
    <row r="1139" spans="2:13" x14ac:dyDescent="0.2">
      <c r="B1139">
        <v>3046</v>
      </c>
      <c r="C1139">
        <v>5</v>
      </c>
      <c r="D1139">
        <v>16.100000000000001</v>
      </c>
      <c r="E1139">
        <v>0.27</v>
      </c>
      <c r="F1139">
        <v>0.6</v>
      </c>
      <c r="G1139">
        <v>0.6</v>
      </c>
      <c r="H1139">
        <v>174</v>
      </c>
      <c r="I1139">
        <v>4</v>
      </c>
      <c r="J1139">
        <v>2</v>
      </c>
      <c r="K1139">
        <v>64.400000000000006</v>
      </c>
      <c r="L1139" t="s">
        <v>119</v>
      </c>
      <c r="M1139" t="s">
        <v>118</v>
      </c>
    </row>
    <row r="1140" spans="2:13" x14ac:dyDescent="0.2">
      <c r="B1140">
        <v>3046</v>
      </c>
      <c r="C1140">
        <v>5</v>
      </c>
      <c r="D1140">
        <v>17.8</v>
      </c>
      <c r="E1140">
        <v>0.3</v>
      </c>
      <c r="F1140">
        <v>0.6</v>
      </c>
      <c r="G1140">
        <v>0.6</v>
      </c>
      <c r="H1140">
        <v>192</v>
      </c>
      <c r="I1140">
        <v>5</v>
      </c>
      <c r="J1140">
        <v>3</v>
      </c>
      <c r="K1140">
        <v>59.5</v>
      </c>
      <c r="L1140" t="s">
        <v>135</v>
      </c>
      <c r="M1140" t="s">
        <v>118</v>
      </c>
    </row>
    <row r="1141" spans="2:13" x14ac:dyDescent="0.2">
      <c r="B1141">
        <v>3046</v>
      </c>
      <c r="C1141">
        <v>5</v>
      </c>
      <c r="D1141">
        <v>18.100000000000001</v>
      </c>
      <c r="E1141">
        <v>0.3</v>
      </c>
      <c r="F1141">
        <v>0.6</v>
      </c>
      <c r="G1141">
        <v>0.45</v>
      </c>
      <c r="H1141">
        <v>195</v>
      </c>
      <c r="I1141">
        <v>5</v>
      </c>
      <c r="J1141">
        <v>3</v>
      </c>
      <c r="K1141">
        <v>59.5</v>
      </c>
      <c r="L1141" t="s">
        <v>120</v>
      </c>
      <c r="M1141" t="s">
        <v>116</v>
      </c>
    </row>
    <row r="1142" spans="2:13" x14ac:dyDescent="0.2">
      <c r="B1142">
        <v>3047</v>
      </c>
      <c r="C1142">
        <v>1</v>
      </c>
      <c r="D1142">
        <v>0</v>
      </c>
      <c r="E1142">
        <v>0</v>
      </c>
      <c r="F1142">
        <v>0.6</v>
      </c>
      <c r="G1142">
        <v>0.6</v>
      </c>
      <c r="H1142">
        <v>0</v>
      </c>
      <c r="I1142">
        <v>0</v>
      </c>
      <c r="J1142">
        <v>0</v>
      </c>
      <c r="K1142">
        <v>50</v>
      </c>
      <c r="L1142" t="s">
        <v>113</v>
      </c>
      <c r="M1142" t="s">
        <v>114</v>
      </c>
    </row>
    <row r="1143" spans="2:13" x14ac:dyDescent="0.2">
      <c r="B1143">
        <v>3047</v>
      </c>
      <c r="C1143">
        <v>1</v>
      </c>
      <c r="D1143">
        <v>6</v>
      </c>
      <c r="E1143">
        <v>0.1</v>
      </c>
      <c r="F1143">
        <v>0.6</v>
      </c>
      <c r="G1143">
        <v>0.6</v>
      </c>
      <c r="H1143">
        <v>65</v>
      </c>
      <c r="I1143">
        <v>0</v>
      </c>
      <c r="J1143">
        <v>0</v>
      </c>
      <c r="K1143">
        <v>34.299999999999997</v>
      </c>
      <c r="L1143" t="s">
        <v>115</v>
      </c>
      <c r="M1143" t="s">
        <v>116</v>
      </c>
    </row>
    <row r="1144" spans="2:13" x14ac:dyDescent="0.2">
      <c r="B1144">
        <v>3047</v>
      </c>
      <c r="C1144">
        <v>1</v>
      </c>
      <c r="D1144">
        <v>6.9</v>
      </c>
      <c r="E1144">
        <v>0.11</v>
      </c>
      <c r="F1144">
        <v>0.6</v>
      </c>
      <c r="G1144">
        <v>0.6</v>
      </c>
      <c r="H1144">
        <v>75</v>
      </c>
      <c r="I1144">
        <v>0</v>
      </c>
      <c r="J1144">
        <v>1</v>
      </c>
      <c r="K1144">
        <v>33.700000000000003</v>
      </c>
      <c r="L1144" t="s">
        <v>117</v>
      </c>
      <c r="M1144" t="s">
        <v>118</v>
      </c>
    </row>
    <row r="1145" spans="2:13" x14ac:dyDescent="0.2">
      <c r="B1145">
        <v>3047</v>
      </c>
      <c r="C1145">
        <v>1</v>
      </c>
      <c r="D1145">
        <v>12.1</v>
      </c>
      <c r="E1145">
        <v>0.2</v>
      </c>
      <c r="F1145">
        <v>0.6</v>
      </c>
      <c r="G1145">
        <v>0.6</v>
      </c>
      <c r="H1145">
        <v>130</v>
      </c>
      <c r="I1145">
        <v>5</v>
      </c>
      <c r="J1145">
        <v>1</v>
      </c>
      <c r="K1145">
        <v>60.5</v>
      </c>
      <c r="L1145" t="s">
        <v>121</v>
      </c>
      <c r="M1145" t="s">
        <v>116</v>
      </c>
    </row>
    <row r="1146" spans="2:13" x14ac:dyDescent="0.2">
      <c r="B1146">
        <v>3047</v>
      </c>
      <c r="C1146">
        <v>1</v>
      </c>
      <c r="D1146">
        <v>12.6</v>
      </c>
      <c r="E1146">
        <v>0.21</v>
      </c>
      <c r="F1146">
        <v>0.6</v>
      </c>
      <c r="G1146">
        <v>0.6</v>
      </c>
      <c r="H1146">
        <v>136</v>
      </c>
      <c r="I1146">
        <v>5</v>
      </c>
      <c r="J1146">
        <v>2</v>
      </c>
      <c r="K1146">
        <v>51.9</v>
      </c>
      <c r="L1146" t="s">
        <v>119</v>
      </c>
      <c r="M1146" t="s">
        <v>118</v>
      </c>
    </row>
    <row r="1147" spans="2:13" x14ac:dyDescent="0.2">
      <c r="B1147">
        <v>3047</v>
      </c>
      <c r="C1147">
        <v>1</v>
      </c>
      <c r="D1147">
        <v>13.7</v>
      </c>
      <c r="E1147">
        <v>0.23</v>
      </c>
      <c r="F1147">
        <v>0.6</v>
      </c>
      <c r="G1147">
        <v>0.6</v>
      </c>
      <c r="H1147">
        <v>148</v>
      </c>
      <c r="I1147">
        <v>7</v>
      </c>
      <c r="J1147">
        <v>3</v>
      </c>
      <c r="K1147">
        <v>47.7</v>
      </c>
      <c r="L1147" t="s">
        <v>125</v>
      </c>
      <c r="M1147" t="s">
        <v>118</v>
      </c>
    </row>
    <row r="1148" spans="2:13" x14ac:dyDescent="0.2">
      <c r="B1148">
        <v>3047</v>
      </c>
      <c r="C1148">
        <v>1</v>
      </c>
      <c r="D1148">
        <v>18.100000000000001</v>
      </c>
      <c r="E1148">
        <v>0.3</v>
      </c>
      <c r="F1148">
        <v>0.6</v>
      </c>
      <c r="G1148">
        <v>0.45</v>
      </c>
      <c r="H1148">
        <v>195</v>
      </c>
      <c r="I1148">
        <v>9</v>
      </c>
      <c r="J1148">
        <v>3</v>
      </c>
      <c r="K1148">
        <v>48</v>
      </c>
      <c r="L1148" t="s">
        <v>126</v>
      </c>
      <c r="M1148" t="s">
        <v>116</v>
      </c>
    </row>
    <row r="1149" spans="2:13" x14ac:dyDescent="0.2">
      <c r="B1149">
        <v>3047</v>
      </c>
      <c r="C1149">
        <v>2</v>
      </c>
      <c r="D1149">
        <v>0</v>
      </c>
      <c r="E1149">
        <v>0</v>
      </c>
      <c r="F1149">
        <v>0.6</v>
      </c>
      <c r="G1149">
        <v>0.6</v>
      </c>
      <c r="H1149">
        <v>0</v>
      </c>
      <c r="I1149">
        <v>0</v>
      </c>
      <c r="J1149">
        <v>0</v>
      </c>
      <c r="K1149">
        <v>50</v>
      </c>
      <c r="L1149" t="s">
        <v>113</v>
      </c>
      <c r="M1149" t="s">
        <v>114</v>
      </c>
    </row>
    <row r="1150" spans="2:13" x14ac:dyDescent="0.2">
      <c r="B1150">
        <v>3047</v>
      </c>
      <c r="C1150">
        <v>2</v>
      </c>
      <c r="D1150">
        <v>6</v>
      </c>
      <c r="E1150">
        <v>0.1</v>
      </c>
      <c r="F1150">
        <v>0.6</v>
      </c>
      <c r="G1150">
        <v>0.6</v>
      </c>
      <c r="H1150">
        <v>65</v>
      </c>
      <c r="I1150">
        <v>0</v>
      </c>
      <c r="J1150">
        <v>0</v>
      </c>
      <c r="K1150">
        <v>86.8</v>
      </c>
      <c r="L1150" t="s">
        <v>115</v>
      </c>
      <c r="M1150" t="s">
        <v>116</v>
      </c>
    </row>
    <row r="1151" spans="2:13" x14ac:dyDescent="0.2">
      <c r="B1151">
        <v>3047</v>
      </c>
      <c r="C1151">
        <v>2</v>
      </c>
      <c r="D1151">
        <v>7.4</v>
      </c>
      <c r="E1151">
        <v>0.12</v>
      </c>
      <c r="F1151">
        <v>0.6</v>
      </c>
      <c r="G1151">
        <v>0.6</v>
      </c>
      <c r="H1151">
        <v>80</v>
      </c>
      <c r="I1151">
        <v>0</v>
      </c>
      <c r="J1151">
        <v>1</v>
      </c>
      <c r="K1151">
        <v>71.3</v>
      </c>
      <c r="L1151" t="s">
        <v>117</v>
      </c>
      <c r="M1151" t="s">
        <v>118</v>
      </c>
    </row>
    <row r="1152" spans="2:13" x14ac:dyDescent="0.2">
      <c r="B1152">
        <v>3047</v>
      </c>
      <c r="C1152">
        <v>2</v>
      </c>
      <c r="D1152">
        <v>8.8000000000000007</v>
      </c>
      <c r="E1152">
        <v>0.15</v>
      </c>
      <c r="F1152">
        <v>0.6</v>
      </c>
      <c r="G1152">
        <v>0.6</v>
      </c>
      <c r="H1152">
        <v>95</v>
      </c>
      <c r="I1152">
        <v>0</v>
      </c>
      <c r="J1152">
        <v>2</v>
      </c>
      <c r="K1152">
        <v>70.8</v>
      </c>
      <c r="L1152" t="s">
        <v>119</v>
      </c>
      <c r="M1152" t="s">
        <v>118</v>
      </c>
    </row>
    <row r="1153" spans="2:13" x14ac:dyDescent="0.2">
      <c r="B1153">
        <v>3047</v>
      </c>
      <c r="C1153">
        <v>2</v>
      </c>
      <c r="D1153">
        <v>12.1</v>
      </c>
      <c r="E1153">
        <v>0.2</v>
      </c>
      <c r="F1153">
        <v>0.6</v>
      </c>
      <c r="G1153">
        <v>0.6</v>
      </c>
      <c r="H1153">
        <v>130</v>
      </c>
      <c r="I1153">
        <v>3</v>
      </c>
      <c r="J1153">
        <v>2</v>
      </c>
      <c r="K1153">
        <v>70.3</v>
      </c>
      <c r="L1153" t="s">
        <v>146</v>
      </c>
      <c r="M1153" t="s">
        <v>116</v>
      </c>
    </row>
    <row r="1154" spans="2:13" x14ac:dyDescent="0.2">
      <c r="B1154">
        <v>3047</v>
      </c>
      <c r="C1154">
        <v>2</v>
      </c>
      <c r="D1154">
        <v>14.7</v>
      </c>
      <c r="E1154">
        <v>0.25</v>
      </c>
      <c r="F1154">
        <v>0.6</v>
      </c>
      <c r="G1154">
        <v>0.6</v>
      </c>
      <c r="H1154">
        <v>159</v>
      </c>
      <c r="I1154">
        <v>5</v>
      </c>
      <c r="J1154">
        <v>3</v>
      </c>
      <c r="K1154">
        <v>66.5</v>
      </c>
      <c r="L1154" t="s">
        <v>125</v>
      </c>
      <c r="M1154" t="s">
        <v>118</v>
      </c>
    </row>
    <row r="1155" spans="2:13" x14ac:dyDescent="0.2">
      <c r="B1155">
        <v>3047</v>
      </c>
      <c r="C1155">
        <v>2</v>
      </c>
      <c r="D1155">
        <v>18.100000000000001</v>
      </c>
      <c r="E1155">
        <v>0.3</v>
      </c>
      <c r="F1155">
        <v>0.6</v>
      </c>
      <c r="G1155">
        <v>0.6</v>
      </c>
      <c r="H1155">
        <v>195</v>
      </c>
      <c r="I1155">
        <v>6</v>
      </c>
      <c r="J1155">
        <v>3</v>
      </c>
      <c r="K1155">
        <v>66.400000000000006</v>
      </c>
      <c r="L1155" t="s">
        <v>132</v>
      </c>
      <c r="M1155" t="s">
        <v>116</v>
      </c>
    </row>
    <row r="1156" spans="2:13" x14ac:dyDescent="0.2">
      <c r="B1156">
        <v>3047</v>
      </c>
      <c r="C1156">
        <v>3</v>
      </c>
      <c r="D1156">
        <v>0</v>
      </c>
      <c r="E1156">
        <v>0</v>
      </c>
      <c r="F1156">
        <v>0.6</v>
      </c>
      <c r="G1156">
        <v>0.6</v>
      </c>
      <c r="H1156">
        <v>0</v>
      </c>
      <c r="I1156">
        <v>0</v>
      </c>
      <c r="J1156">
        <v>0</v>
      </c>
      <c r="K1156">
        <v>50</v>
      </c>
      <c r="L1156" t="s">
        <v>113</v>
      </c>
      <c r="M1156" t="s">
        <v>114</v>
      </c>
    </row>
    <row r="1157" spans="2:13" x14ac:dyDescent="0.2">
      <c r="B1157">
        <v>3047</v>
      </c>
      <c r="C1157">
        <v>3</v>
      </c>
      <c r="D1157">
        <v>6</v>
      </c>
      <c r="E1157">
        <v>0.1</v>
      </c>
      <c r="F1157">
        <v>0.6</v>
      </c>
      <c r="G1157">
        <v>0.6</v>
      </c>
      <c r="H1157">
        <v>65</v>
      </c>
      <c r="I1157">
        <v>0</v>
      </c>
      <c r="J1157">
        <v>0</v>
      </c>
      <c r="K1157">
        <v>40.1</v>
      </c>
      <c r="L1157" t="s">
        <v>115</v>
      </c>
      <c r="M1157" t="s">
        <v>116</v>
      </c>
    </row>
    <row r="1158" spans="2:13" x14ac:dyDescent="0.2">
      <c r="B1158">
        <v>3047</v>
      </c>
      <c r="C1158">
        <v>3</v>
      </c>
      <c r="D1158">
        <v>12.1</v>
      </c>
      <c r="E1158">
        <v>0.2</v>
      </c>
      <c r="F1158">
        <v>0.6</v>
      </c>
      <c r="G1158">
        <v>0.7</v>
      </c>
      <c r="H1158">
        <v>130</v>
      </c>
      <c r="I1158">
        <v>2</v>
      </c>
      <c r="J1158">
        <v>0</v>
      </c>
      <c r="K1158">
        <v>88.4</v>
      </c>
      <c r="L1158" t="s">
        <v>128</v>
      </c>
      <c r="M1158" t="s">
        <v>116</v>
      </c>
    </row>
    <row r="1159" spans="2:13" x14ac:dyDescent="0.2">
      <c r="B1159">
        <v>3047</v>
      </c>
      <c r="C1159">
        <v>3</v>
      </c>
      <c r="D1159">
        <v>14.7</v>
      </c>
      <c r="E1159">
        <v>0.25</v>
      </c>
      <c r="F1159">
        <v>0.7</v>
      </c>
      <c r="G1159">
        <v>0.7</v>
      </c>
      <c r="H1159">
        <v>164</v>
      </c>
      <c r="I1159">
        <v>3</v>
      </c>
      <c r="J1159">
        <v>1</v>
      </c>
      <c r="K1159">
        <v>78.900000000000006</v>
      </c>
      <c r="L1159" t="s">
        <v>122</v>
      </c>
      <c r="M1159" t="s">
        <v>118</v>
      </c>
    </row>
    <row r="1160" spans="2:13" x14ac:dyDescent="0.2">
      <c r="B1160">
        <v>3047</v>
      </c>
      <c r="C1160">
        <v>4</v>
      </c>
      <c r="D1160">
        <v>0</v>
      </c>
      <c r="E1160">
        <v>0</v>
      </c>
      <c r="F1160">
        <v>0.6</v>
      </c>
      <c r="G1160">
        <v>0.6</v>
      </c>
      <c r="H1160">
        <v>0</v>
      </c>
      <c r="I1160">
        <v>0</v>
      </c>
      <c r="J1160">
        <v>0</v>
      </c>
      <c r="K1160">
        <v>50</v>
      </c>
      <c r="L1160" t="s">
        <v>113</v>
      </c>
      <c r="M1160" t="s">
        <v>114</v>
      </c>
    </row>
    <row r="1161" spans="2:13" x14ac:dyDescent="0.2">
      <c r="B1161">
        <v>3047</v>
      </c>
      <c r="C1161">
        <v>4</v>
      </c>
      <c r="D1161">
        <v>6</v>
      </c>
      <c r="E1161">
        <v>0.1</v>
      </c>
      <c r="F1161">
        <v>0.6</v>
      </c>
      <c r="G1161">
        <v>0.6</v>
      </c>
      <c r="H1161">
        <v>65</v>
      </c>
      <c r="I1161">
        <v>0</v>
      </c>
      <c r="J1161">
        <v>0</v>
      </c>
      <c r="K1161">
        <v>37.200000000000003</v>
      </c>
      <c r="L1161" t="s">
        <v>115</v>
      </c>
      <c r="M1161" t="s">
        <v>116</v>
      </c>
    </row>
    <row r="1162" spans="2:13" x14ac:dyDescent="0.2">
      <c r="B1162">
        <v>3047</v>
      </c>
      <c r="C1162">
        <v>4</v>
      </c>
      <c r="D1162">
        <v>12.1</v>
      </c>
      <c r="E1162">
        <v>0.2</v>
      </c>
      <c r="F1162">
        <v>0.6</v>
      </c>
      <c r="G1162">
        <v>0.7</v>
      </c>
      <c r="H1162">
        <v>130</v>
      </c>
      <c r="I1162">
        <v>2</v>
      </c>
      <c r="J1162">
        <v>0</v>
      </c>
      <c r="K1162">
        <v>88</v>
      </c>
      <c r="L1162" t="s">
        <v>128</v>
      </c>
      <c r="M1162" t="s">
        <v>116</v>
      </c>
    </row>
    <row r="1163" spans="2:13" x14ac:dyDescent="0.2">
      <c r="B1163">
        <v>3047</v>
      </c>
      <c r="C1163">
        <v>4</v>
      </c>
      <c r="D1163">
        <v>12.8</v>
      </c>
      <c r="E1163">
        <v>0.21</v>
      </c>
      <c r="F1163">
        <v>0.7</v>
      </c>
      <c r="G1163">
        <v>0.7</v>
      </c>
      <c r="H1163">
        <v>139</v>
      </c>
      <c r="I1163">
        <v>2</v>
      </c>
      <c r="J1163">
        <v>1</v>
      </c>
      <c r="K1163">
        <v>71.8</v>
      </c>
      <c r="L1163" t="s">
        <v>122</v>
      </c>
      <c r="M1163" t="s">
        <v>118</v>
      </c>
    </row>
    <row r="1164" spans="2:13" x14ac:dyDescent="0.2">
      <c r="B1164">
        <v>3047</v>
      </c>
      <c r="C1164">
        <v>4</v>
      </c>
      <c r="D1164">
        <v>16.5</v>
      </c>
      <c r="E1164">
        <v>0.28000000000000003</v>
      </c>
      <c r="F1164">
        <v>0.7</v>
      </c>
      <c r="G1164">
        <v>0.7</v>
      </c>
      <c r="H1164">
        <v>186</v>
      </c>
      <c r="I1164">
        <v>9</v>
      </c>
      <c r="J1164">
        <v>2</v>
      </c>
      <c r="K1164">
        <v>72</v>
      </c>
      <c r="L1164" t="s">
        <v>119</v>
      </c>
      <c r="M1164" t="s">
        <v>118</v>
      </c>
    </row>
    <row r="1165" spans="2:13" x14ac:dyDescent="0.2">
      <c r="B1165">
        <v>3047</v>
      </c>
      <c r="C1165">
        <v>5</v>
      </c>
      <c r="D1165">
        <v>0</v>
      </c>
      <c r="E1165">
        <v>0</v>
      </c>
      <c r="F1165">
        <v>0.6</v>
      </c>
      <c r="G1165">
        <v>0.6</v>
      </c>
      <c r="H1165">
        <v>0</v>
      </c>
      <c r="I1165">
        <v>0</v>
      </c>
      <c r="J1165">
        <v>0</v>
      </c>
      <c r="K1165">
        <v>50</v>
      </c>
      <c r="L1165" t="s">
        <v>113</v>
      </c>
      <c r="M1165" t="s">
        <v>114</v>
      </c>
    </row>
    <row r="1166" spans="2:13" x14ac:dyDescent="0.2">
      <c r="B1166">
        <v>3047</v>
      </c>
      <c r="C1166">
        <v>5</v>
      </c>
      <c r="D1166">
        <v>6</v>
      </c>
      <c r="E1166">
        <v>0.1</v>
      </c>
      <c r="F1166">
        <v>0.6</v>
      </c>
      <c r="G1166">
        <v>0.6</v>
      </c>
      <c r="H1166">
        <v>65</v>
      </c>
      <c r="I1166">
        <v>0</v>
      </c>
      <c r="J1166">
        <v>0</v>
      </c>
      <c r="K1166">
        <v>40.1</v>
      </c>
      <c r="L1166" t="s">
        <v>115</v>
      </c>
      <c r="M1166" t="s">
        <v>116</v>
      </c>
    </row>
    <row r="1167" spans="2:13" x14ac:dyDescent="0.2">
      <c r="B1167">
        <v>3047</v>
      </c>
      <c r="C1167">
        <v>5</v>
      </c>
      <c r="D1167">
        <v>10.1</v>
      </c>
      <c r="E1167">
        <v>0.17</v>
      </c>
      <c r="F1167">
        <v>0.6</v>
      </c>
      <c r="G1167">
        <v>0.6</v>
      </c>
      <c r="H1167">
        <v>109</v>
      </c>
      <c r="I1167">
        <v>2</v>
      </c>
      <c r="J1167">
        <v>1</v>
      </c>
      <c r="K1167">
        <v>63.6</v>
      </c>
      <c r="L1167" t="s">
        <v>122</v>
      </c>
      <c r="M1167" t="s">
        <v>118</v>
      </c>
    </row>
    <row r="1168" spans="2:13" x14ac:dyDescent="0.2">
      <c r="B1168">
        <v>3047</v>
      </c>
      <c r="C1168">
        <v>5</v>
      </c>
      <c r="D1168">
        <v>12.1</v>
      </c>
      <c r="E1168">
        <v>0.2</v>
      </c>
      <c r="F1168">
        <v>0.6</v>
      </c>
      <c r="G1168">
        <v>0.6</v>
      </c>
      <c r="H1168">
        <v>130</v>
      </c>
      <c r="I1168">
        <v>2</v>
      </c>
      <c r="J1168">
        <v>1</v>
      </c>
      <c r="K1168">
        <v>64</v>
      </c>
      <c r="L1168" t="s">
        <v>121</v>
      </c>
      <c r="M1168" t="s">
        <v>116</v>
      </c>
    </row>
    <row r="1169" spans="2:13" x14ac:dyDescent="0.2">
      <c r="B1169">
        <v>3047</v>
      </c>
      <c r="C1169">
        <v>5</v>
      </c>
      <c r="D1169">
        <v>18.100000000000001</v>
      </c>
      <c r="E1169">
        <v>0.3</v>
      </c>
      <c r="F1169">
        <v>0.6</v>
      </c>
      <c r="G1169">
        <v>0.7</v>
      </c>
      <c r="H1169">
        <v>195</v>
      </c>
      <c r="I1169">
        <v>6</v>
      </c>
      <c r="J1169">
        <v>1</v>
      </c>
      <c r="K1169">
        <v>79.099999999999994</v>
      </c>
      <c r="L1169" t="s">
        <v>128</v>
      </c>
      <c r="M1169" t="s">
        <v>116</v>
      </c>
    </row>
    <row r="1170" spans="2:13" x14ac:dyDescent="0.2">
      <c r="B1170">
        <v>3048</v>
      </c>
      <c r="C1170">
        <v>1</v>
      </c>
      <c r="D1170">
        <v>0</v>
      </c>
      <c r="E1170">
        <v>0</v>
      </c>
      <c r="F1170">
        <v>0.6</v>
      </c>
      <c r="G1170">
        <v>0.6</v>
      </c>
      <c r="H1170">
        <v>0</v>
      </c>
      <c r="I1170">
        <v>0</v>
      </c>
      <c r="J1170">
        <v>0</v>
      </c>
      <c r="K1170">
        <v>50</v>
      </c>
      <c r="L1170" t="s">
        <v>113</v>
      </c>
      <c r="M1170" t="s">
        <v>114</v>
      </c>
    </row>
    <row r="1171" spans="2:13" x14ac:dyDescent="0.2">
      <c r="B1171">
        <v>3048</v>
      </c>
      <c r="C1171">
        <v>1</v>
      </c>
      <c r="D1171">
        <v>6</v>
      </c>
      <c r="E1171">
        <v>0.1</v>
      </c>
      <c r="F1171">
        <v>0.6</v>
      </c>
      <c r="G1171">
        <v>0.6</v>
      </c>
      <c r="H1171">
        <v>65</v>
      </c>
      <c r="I1171">
        <v>0</v>
      </c>
      <c r="J1171">
        <v>0</v>
      </c>
      <c r="K1171">
        <v>39.700000000000003</v>
      </c>
      <c r="L1171" t="s">
        <v>115</v>
      </c>
      <c r="M1171" t="s">
        <v>116</v>
      </c>
    </row>
    <row r="1172" spans="2:13" x14ac:dyDescent="0.2">
      <c r="B1172">
        <v>3048</v>
      </c>
      <c r="C1172">
        <v>1</v>
      </c>
      <c r="D1172">
        <v>12.1</v>
      </c>
      <c r="E1172">
        <v>0.2</v>
      </c>
      <c r="F1172">
        <v>0.6</v>
      </c>
      <c r="G1172">
        <v>0.7</v>
      </c>
      <c r="H1172">
        <v>130</v>
      </c>
      <c r="I1172">
        <v>2</v>
      </c>
      <c r="J1172">
        <v>0</v>
      </c>
      <c r="K1172">
        <v>89</v>
      </c>
      <c r="L1172" t="s">
        <v>128</v>
      </c>
      <c r="M1172" t="s">
        <v>116</v>
      </c>
    </row>
    <row r="1173" spans="2:13" x14ac:dyDescent="0.2">
      <c r="B1173">
        <v>3048</v>
      </c>
      <c r="C1173">
        <v>1</v>
      </c>
      <c r="D1173">
        <v>17.3</v>
      </c>
      <c r="E1173">
        <v>0.28999999999999998</v>
      </c>
      <c r="F1173">
        <v>0.7</v>
      </c>
      <c r="G1173">
        <v>0.7</v>
      </c>
      <c r="H1173">
        <v>196</v>
      </c>
      <c r="I1173">
        <v>7</v>
      </c>
      <c r="J1173">
        <v>1</v>
      </c>
      <c r="K1173">
        <v>81</v>
      </c>
      <c r="L1173" t="s">
        <v>117</v>
      </c>
      <c r="M1173" t="s">
        <v>118</v>
      </c>
    </row>
    <row r="1174" spans="2:13" x14ac:dyDescent="0.2">
      <c r="B1174">
        <v>3048</v>
      </c>
      <c r="C1174">
        <v>2</v>
      </c>
      <c r="D1174">
        <v>0</v>
      </c>
      <c r="E1174">
        <v>0</v>
      </c>
      <c r="F1174">
        <v>0.6</v>
      </c>
      <c r="G1174">
        <v>0.6</v>
      </c>
      <c r="H1174">
        <v>0</v>
      </c>
      <c r="I1174">
        <v>0</v>
      </c>
      <c r="J1174">
        <v>0</v>
      </c>
      <c r="K1174">
        <v>50</v>
      </c>
      <c r="L1174" t="s">
        <v>113</v>
      </c>
      <c r="M1174" t="s">
        <v>114</v>
      </c>
    </row>
    <row r="1175" spans="2:13" x14ac:dyDescent="0.2">
      <c r="B1175">
        <v>3048</v>
      </c>
      <c r="C1175">
        <v>2</v>
      </c>
      <c r="D1175">
        <v>6</v>
      </c>
      <c r="E1175">
        <v>0.1</v>
      </c>
      <c r="F1175">
        <v>0.6</v>
      </c>
      <c r="G1175">
        <v>0.6</v>
      </c>
      <c r="H1175">
        <v>65</v>
      </c>
      <c r="I1175">
        <v>0</v>
      </c>
      <c r="J1175">
        <v>0</v>
      </c>
      <c r="K1175">
        <v>37.200000000000003</v>
      </c>
      <c r="L1175" t="s">
        <v>115</v>
      </c>
      <c r="M1175" t="s">
        <v>116</v>
      </c>
    </row>
    <row r="1176" spans="2:13" x14ac:dyDescent="0.2">
      <c r="B1176">
        <v>3048</v>
      </c>
      <c r="C1176">
        <v>2</v>
      </c>
      <c r="D1176">
        <v>12.1</v>
      </c>
      <c r="E1176">
        <v>0.2</v>
      </c>
      <c r="F1176">
        <v>0.6</v>
      </c>
      <c r="G1176">
        <v>0.6</v>
      </c>
      <c r="H1176">
        <v>130</v>
      </c>
      <c r="I1176">
        <v>2</v>
      </c>
      <c r="J1176">
        <v>0</v>
      </c>
      <c r="K1176">
        <v>37.799999999999997</v>
      </c>
      <c r="L1176" t="s">
        <v>115</v>
      </c>
      <c r="M1176" t="s">
        <v>116</v>
      </c>
    </row>
    <row r="1177" spans="2:13" x14ac:dyDescent="0.2">
      <c r="B1177">
        <v>3048</v>
      </c>
      <c r="C1177">
        <v>2</v>
      </c>
      <c r="D1177">
        <v>12.4</v>
      </c>
      <c r="E1177">
        <v>0.21</v>
      </c>
      <c r="F1177">
        <v>0.6</v>
      </c>
      <c r="G1177">
        <v>0.6</v>
      </c>
      <c r="H1177">
        <v>134</v>
      </c>
      <c r="I1177">
        <v>2</v>
      </c>
      <c r="J1177">
        <v>1</v>
      </c>
      <c r="K1177">
        <v>37.5</v>
      </c>
      <c r="L1177" t="s">
        <v>122</v>
      </c>
      <c r="M1177" t="s">
        <v>118</v>
      </c>
    </row>
    <row r="1178" spans="2:13" x14ac:dyDescent="0.2">
      <c r="B1178">
        <v>3048</v>
      </c>
      <c r="C1178">
        <v>2</v>
      </c>
      <c r="D1178">
        <v>18.100000000000001</v>
      </c>
      <c r="E1178">
        <v>0.3</v>
      </c>
      <c r="F1178">
        <v>0.6</v>
      </c>
      <c r="G1178">
        <v>0.6</v>
      </c>
      <c r="H1178">
        <v>195</v>
      </c>
      <c r="I1178">
        <v>4</v>
      </c>
      <c r="J1178">
        <v>1</v>
      </c>
      <c r="K1178">
        <v>38.1</v>
      </c>
      <c r="L1178" t="s">
        <v>132</v>
      </c>
      <c r="M1178" t="s">
        <v>116</v>
      </c>
    </row>
    <row r="1179" spans="2:13" x14ac:dyDescent="0.2">
      <c r="B1179">
        <v>3048</v>
      </c>
      <c r="C1179">
        <v>3</v>
      </c>
      <c r="D1179">
        <v>0</v>
      </c>
      <c r="E1179">
        <v>0</v>
      </c>
      <c r="F1179">
        <v>0.6</v>
      </c>
      <c r="G1179">
        <v>0.6</v>
      </c>
      <c r="H1179">
        <v>0</v>
      </c>
      <c r="I1179">
        <v>0</v>
      </c>
      <c r="J1179">
        <v>0</v>
      </c>
      <c r="K1179">
        <v>50</v>
      </c>
      <c r="L1179" t="s">
        <v>113</v>
      </c>
      <c r="M1179" t="s">
        <v>114</v>
      </c>
    </row>
    <row r="1180" spans="2:13" x14ac:dyDescent="0.2">
      <c r="B1180">
        <v>3048</v>
      </c>
      <c r="C1180">
        <v>3</v>
      </c>
      <c r="D1180">
        <v>6</v>
      </c>
      <c r="E1180">
        <v>0.1</v>
      </c>
      <c r="F1180">
        <v>0.6</v>
      </c>
      <c r="G1180">
        <v>0.6</v>
      </c>
      <c r="H1180">
        <v>65</v>
      </c>
      <c r="I1180">
        <v>0</v>
      </c>
      <c r="J1180">
        <v>0</v>
      </c>
      <c r="K1180">
        <v>89.3</v>
      </c>
      <c r="L1180" t="s">
        <v>115</v>
      </c>
      <c r="M1180" t="s">
        <v>116</v>
      </c>
    </row>
    <row r="1181" spans="2:13" x14ac:dyDescent="0.2">
      <c r="B1181">
        <v>3048</v>
      </c>
      <c r="C1181">
        <v>3</v>
      </c>
      <c r="D1181">
        <v>12.1</v>
      </c>
      <c r="E1181">
        <v>0.2</v>
      </c>
      <c r="F1181">
        <v>0.6</v>
      </c>
      <c r="G1181">
        <v>0.6</v>
      </c>
      <c r="H1181">
        <v>130</v>
      </c>
      <c r="I1181">
        <v>5</v>
      </c>
      <c r="J1181">
        <v>0</v>
      </c>
      <c r="K1181">
        <v>88.2</v>
      </c>
      <c r="L1181" t="s">
        <v>115</v>
      </c>
      <c r="M1181" t="s">
        <v>116</v>
      </c>
    </row>
    <row r="1182" spans="2:13" x14ac:dyDescent="0.2">
      <c r="B1182">
        <v>3048</v>
      </c>
      <c r="C1182">
        <v>3</v>
      </c>
      <c r="D1182">
        <v>13.8</v>
      </c>
      <c r="E1182">
        <v>0.23</v>
      </c>
      <c r="F1182">
        <v>0.6</v>
      </c>
      <c r="G1182">
        <v>0.6</v>
      </c>
      <c r="H1182">
        <v>149</v>
      </c>
      <c r="I1182">
        <v>5</v>
      </c>
      <c r="J1182">
        <v>1</v>
      </c>
      <c r="K1182">
        <v>63.4</v>
      </c>
      <c r="L1182" t="s">
        <v>122</v>
      </c>
      <c r="M1182" t="s">
        <v>118</v>
      </c>
    </row>
    <row r="1183" spans="2:13" x14ac:dyDescent="0.2">
      <c r="B1183">
        <v>3048</v>
      </c>
      <c r="C1183">
        <v>3</v>
      </c>
      <c r="D1183">
        <v>18.100000000000001</v>
      </c>
      <c r="E1183">
        <v>0.3</v>
      </c>
      <c r="F1183">
        <v>0.6</v>
      </c>
      <c r="G1183">
        <v>0.6</v>
      </c>
      <c r="H1183">
        <v>195</v>
      </c>
      <c r="I1183">
        <v>6</v>
      </c>
      <c r="J1183">
        <v>1</v>
      </c>
      <c r="K1183">
        <v>63.2</v>
      </c>
      <c r="L1183" t="s">
        <v>132</v>
      </c>
      <c r="M1183" t="s">
        <v>116</v>
      </c>
    </row>
    <row r="1184" spans="2:13" x14ac:dyDescent="0.2">
      <c r="B1184">
        <v>3048</v>
      </c>
      <c r="C1184">
        <v>4</v>
      </c>
      <c r="D1184">
        <v>0</v>
      </c>
      <c r="E1184">
        <v>0</v>
      </c>
      <c r="F1184">
        <v>0.6</v>
      </c>
      <c r="G1184">
        <v>0.6</v>
      </c>
      <c r="H1184">
        <v>0</v>
      </c>
      <c r="I1184">
        <v>0</v>
      </c>
      <c r="J1184">
        <v>0</v>
      </c>
      <c r="K1184">
        <v>50</v>
      </c>
      <c r="L1184" t="s">
        <v>113</v>
      </c>
      <c r="M1184" t="s">
        <v>114</v>
      </c>
    </row>
    <row r="1185" spans="2:13" x14ac:dyDescent="0.2">
      <c r="B1185">
        <v>3048</v>
      </c>
      <c r="C1185">
        <v>4</v>
      </c>
      <c r="D1185">
        <v>6</v>
      </c>
      <c r="E1185">
        <v>0.1</v>
      </c>
      <c r="F1185">
        <v>0.6</v>
      </c>
      <c r="G1185">
        <v>0.6</v>
      </c>
      <c r="H1185">
        <v>65</v>
      </c>
      <c r="I1185">
        <v>0</v>
      </c>
      <c r="J1185">
        <v>0</v>
      </c>
      <c r="K1185">
        <v>40.1</v>
      </c>
      <c r="L1185" t="s">
        <v>115</v>
      </c>
      <c r="M1185" t="s">
        <v>116</v>
      </c>
    </row>
    <row r="1186" spans="2:13" x14ac:dyDescent="0.2">
      <c r="B1186">
        <v>3048</v>
      </c>
      <c r="C1186">
        <v>4</v>
      </c>
      <c r="D1186">
        <v>10.199999999999999</v>
      </c>
      <c r="E1186">
        <v>0.17</v>
      </c>
      <c r="F1186">
        <v>0.6</v>
      </c>
      <c r="G1186">
        <v>0.6</v>
      </c>
      <c r="H1186">
        <v>110</v>
      </c>
      <c r="I1186">
        <v>2</v>
      </c>
      <c r="J1186">
        <v>1</v>
      </c>
      <c r="K1186">
        <v>73.5</v>
      </c>
      <c r="L1186" t="s">
        <v>117</v>
      </c>
      <c r="M1186" t="s">
        <v>118</v>
      </c>
    </row>
    <row r="1187" spans="2:13" x14ac:dyDescent="0.2">
      <c r="B1187">
        <v>3048</v>
      </c>
      <c r="C1187">
        <v>4</v>
      </c>
      <c r="D1187">
        <v>12.1</v>
      </c>
      <c r="E1187">
        <v>0.2</v>
      </c>
      <c r="F1187">
        <v>0.6</v>
      </c>
      <c r="G1187">
        <v>0.6</v>
      </c>
      <c r="H1187">
        <v>130</v>
      </c>
      <c r="I1187">
        <v>2</v>
      </c>
      <c r="J1187">
        <v>1</v>
      </c>
      <c r="K1187">
        <v>73.2</v>
      </c>
      <c r="L1187" t="s">
        <v>124</v>
      </c>
      <c r="M1187" t="s">
        <v>116</v>
      </c>
    </row>
    <row r="1188" spans="2:13" x14ac:dyDescent="0.2">
      <c r="B1188">
        <v>3048</v>
      </c>
      <c r="C1188">
        <v>4</v>
      </c>
      <c r="D1188">
        <v>13.6</v>
      </c>
      <c r="E1188">
        <v>0.23</v>
      </c>
      <c r="F1188">
        <v>0.6</v>
      </c>
      <c r="G1188">
        <v>0.6</v>
      </c>
      <c r="H1188">
        <v>147</v>
      </c>
      <c r="I1188">
        <v>2</v>
      </c>
      <c r="J1188">
        <v>2</v>
      </c>
      <c r="K1188">
        <v>64.5</v>
      </c>
      <c r="L1188" t="s">
        <v>127</v>
      </c>
      <c r="M1188" t="s">
        <v>118</v>
      </c>
    </row>
    <row r="1189" spans="2:13" x14ac:dyDescent="0.2">
      <c r="B1189">
        <v>3048</v>
      </c>
      <c r="C1189">
        <v>4</v>
      </c>
      <c r="D1189">
        <v>18.100000000000001</v>
      </c>
      <c r="E1189">
        <v>0.3</v>
      </c>
      <c r="F1189">
        <v>0.6</v>
      </c>
      <c r="G1189">
        <v>0.6</v>
      </c>
      <c r="H1189">
        <v>195</v>
      </c>
      <c r="I1189">
        <v>6</v>
      </c>
      <c r="J1189">
        <v>2</v>
      </c>
      <c r="K1189">
        <v>72.400000000000006</v>
      </c>
      <c r="L1189" t="s">
        <v>124</v>
      </c>
      <c r="M1189" t="s">
        <v>116</v>
      </c>
    </row>
    <row r="1190" spans="2:13" x14ac:dyDescent="0.2">
      <c r="B1190">
        <v>3048</v>
      </c>
      <c r="C1190">
        <v>5</v>
      </c>
      <c r="D1190">
        <v>0</v>
      </c>
      <c r="E1190">
        <v>0</v>
      </c>
      <c r="F1190">
        <v>0.6</v>
      </c>
      <c r="G1190">
        <v>0.6</v>
      </c>
      <c r="H1190">
        <v>0</v>
      </c>
      <c r="I1190">
        <v>0</v>
      </c>
      <c r="J1190">
        <v>0</v>
      </c>
      <c r="K1190">
        <v>50</v>
      </c>
      <c r="L1190" t="s">
        <v>113</v>
      </c>
      <c r="M1190" t="s">
        <v>114</v>
      </c>
    </row>
    <row r="1191" spans="2:13" x14ac:dyDescent="0.2">
      <c r="B1191">
        <v>3048</v>
      </c>
      <c r="C1191">
        <v>5</v>
      </c>
      <c r="D1191">
        <v>6</v>
      </c>
      <c r="E1191">
        <v>0.1</v>
      </c>
      <c r="F1191">
        <v>0.6</v>
      </c>
      <c r="G1191">
        <v>0.6</v>
      </c>
      <c r="H1191">
        <v>65</v>
      </c>
      <c r="I1191">
        <v>0</v>
      </c>
      <c r="J1191">
        <v>0</v>
      </c>
      <c r="K1191">
        <v>39.299999999999997</v>
      </c>
      <c r="L1191" t="s">
        <v>115</v>
      </c>
      <c r="M1191" t="s">
        <v>116</v>
      </c>
    </row>
    <row r="1192" spans="2:13" x14ac:dyDescent="0.2">
      <c r="B1192">
        <v>3048</v>
      </c>
      <c r="C1192">
        <v>5</v>
      </c>
      <c r="D1192">
        <v>8.8000000000000007</v>
      </c>
      <c r="E1192">
        <v>0.15</v>
      </c>
      <c r="F1192">
        <v>0.6</v>
      </c>
      <c r="G1192">
        <v>0.6</v>
      </c>
      <c r="H1192">
        <v>95</v>
      </c>
      <c r="I1192">
        <v>1</v>
      </c>
      <c r="J1192">
        <v>1</v>
      </c>
      <c r="K1192">
        <v>38.9</v>
      </c>
      <c r="L1192" t="s">
        <v>117</v>
      </c>
      <c r="M1192" t="s">
        <v>118</v>
      </c>
    </row>
    <row r="1193" spans="2:13" x14ac:dyDescent="0.2">
      <c r="B1193">
        <v>3048</v>
      </c>
      <c r="C1193">
        <v>5</v>
      </c>
      <c r="D1193">
        <v>11.1</v>
      </c>
      <c r="E1193">
        <v>0.18</v>
      </c>
      <c r="F1193">
        <v>0.6</v>
      </c>
      <c r="G1193">
        <v>0.6</v>
      </c>
      <c r="H1193">
        <v>119</v>
      </c>
      <c r="I1193">
        <v>2</v>
      </c>
      <c r="J1193">
        <v>2</v>
      </c>
      <c r="K1193">
        <v>56.3</v>
      </c>
      <c r="L1193" t="s">
        <v>119</v>
      </c>
      <c r="M1193" t="s">
        <v>118</v>
      </c>
    </row>
    <row r="1194" spans="2:13" x14ac:dyDescent="0.2">
      <c r="B1194">
        <v>3048</v>
      </c>
      <c r="C1194">
        <v>5</v>
      </c>
      <c r="D1194">
        <v>12.1</v>
      </c>
      <c r="E1194">
        <v>0.2</v>
      </c>
      <c r="F1194">
        <v>0.6</v>
      </c>
      <c r="G1194">
        <v>0.45</v>
      </c>
      <c r="H1194">
        <v>130</v>
      </c>
      <c r="I1194">
        <v>2</v>
      </c>
      <c r="J1194">
        <v>2</v>
      </c>
      <c r="K1194">
        <v>55.9</v>
      </c>
      <c r="L1194" t="s">
        <v>120</v>
      </c>
      <c r="M1194" t="s">
        <v>116</v>
      </c>
    </row>
    <row r="1195" spans="2:13" x14ac:dyDescent="0.2">
      <c r="B1195">
        <v>3048</v>
      </c>
      <c r="C1195">
        <v>5</v>
      </c>
      <c r="D1195">
        <v>18.100000000000001</v>
      </c>
      <c r="E1195">
        <v>0.3</v>
      </c>
      <c r="F1195">
        <v>0.45</v>
      </c>
      <c r="G1195">
        <v>0.45</v>
      </c>
      <c r="H1195">
        <v>179</v>
      </c>
      <c r="I1195">
        <v>2</v>
      </c>
      <c r="J1195">
        <v>2</v>
      </c>
      <c r="K1195">
        <v>56</v>
      </c>
      <c r="L1195" t="s">
        <v>115</v>
      </c>
      <c r="M1195" t="s">
        <v>116</v>
      </c>
    </row>
    <row r="1196" spans="2:13" x14ac:dyDescent="0.2">
      <c r="B1196">
        <v>3048</v>
      </c>
      <c r="C1196">
        <v>5</v>
      </c>
      <c r="D1196">
        <v>18.5</v>
      </c>
      <c r="E1196">
        <v>0.31</v>
      </c>
      <c r="F1196">
        <v>0.45</v>
      </c>
      <c r="G1196">
        <v>0.45</v>
      </c>
      <c r="H1196">
        <v>182</v>
      </c>
      <c r="I1196">
        <v>2</v>
      </c>
      <c r="J1196">
        <v>3</v>
      </c>
      <c r="K1196">
        <v>52.1</v>
      </c>
      <c r="L1196" t="s">
        <v>148</v>
      </c>
      <c r="M1196" t="s">
        <v>118</v>
      </c>
    </row>
    <row r="1197" spans="2:13" x14ac:dyDescent="0.2">
      <c r="B1197">
        <v>3049</v>
      </c>
      <c r="C1197">
        <v>1</v>
      </c>
      <c r="D1197">
        <v>0</v>
      </c>
      <c r="E1197">
        <v>0</v>
      </c>
      <c r="F1197">
        <v>0.6</v>
      </c>
      <c r="G1197">
        <v>0.6</v>
      </c>
      <c r="H1197">
        <v>0</v>
      </c>
      <c r="I1197">
        <v>0</v>
      </c>
      <c r="J1197">
        <v>0</v>
      </c>
      <c r="K1197">
        <v>50</v>
      </c>
      <c r="L1197" t="s">
        <v>113</v>
      </c>
      <c r="M1197" t="s">
        <v>114</v>
      </c>
    </row>
    <row r="1198" spans="2:13" x14ac:dyDescent="0.2">
      <c r="B1198">
        <v>3049</v>
      </c>
      <c r="C1198">
        <v>1</v>
      </c>
      <c r="D1198">
        <v>6</v>
      </c>
      <c r="E1198">
        <v>0.1</v>
      </c>
      <c r="F1198">
        <v>0.6</v>
      </c>
      <c r="G1198">
        <v>0.6</v>
      </c>
      <c r="H1198">
        <v>65</v>
      </c>
      <c r="I1198">
        <v>0</v>
      </c>
      <c r="J1198">
        <v>0</v>
      </c>
      <c r="K1198">
        <v>40.5</v>
      </c>
      <c r="L1198" t="s">
        <v>115</v>
      </c>
      <c r="M1198" t="s">
        <v>116</v>
      </c>
    </row>
    <row r="1199" spans="2:13" x14ac:dyDescent="0.2">
      <c r="B1199">
        <v>3049</v>
      </c>
      <c r="C1199">
        <v>1</v>
      </c>
      <c r="D1199">
        <v>12.1</v>
      </c>
      <c r="E1199">
        <v>0.2</v>
      </c>
      <c r="F1199">
        <v>0.6</v>
      </c>
      <c r="G1199">
        <v>0.6</v>
      </c>
      <c r="H1199">
        <v>130</v>
      </c>
      <c r="I1199">
        <v>4</v>
      </c>
      <c r="J1199">
        <v>0</v>
      </c>
      <c r="K1199">
        <v>41.7</v>
      </c>
      <c r="L1199" t="s">
        <v>115</v>
      </c>
      <c r="M1199" t="s">
        <v>116</v>
      </c>
    </row>
    <row r="1200" spans="2:13" x14ac:dyDescent="0.2">
      <c r="B1200">
        <v>3049</v>
      </c>
      <c r="C1200">
        <v>1</v>
      </c>
      <c r="D1200">
        <v>18.100000000000001</v>
      </c>
      <c r="E1200">
        <v>0.3</v>
      </c>
      <c r="F1200">
        <v>0.6</v>
      </c>
      <c r="G1200">
        <v>0.7</v>
      </c>
      <c r="H1200">
        <v>195</v>
      </c>
      <c r="I1200">
        <v>8</v>
      </c>
      <c r="J1200">
        <v>0</v>
      </c>
      <c r="K1200">
        <v>92.1</v>
      </c>
      <c r="L1200" t="s">
        <v>128</v>
      </c>
      <c r="M1200" t="s">
        <v>116</v>
      </c>
    </row>
    <row r="1201" spans="2:13" x14ac:dyDescent="0.2">
      <c r="B1201">
        <v>3049</v>
      </c>
      <c r="C1201">
        <v>2</v>
      </c>
      <c r="D1201">
        <v>0</v>
      </c>
      <c r="E1201">
        <v>0</v>
      </c>
      <c r="F1201">
        <v>0.6</v>
      </c>
      <c r="G1201">
        <v>0.6</v>
      </c>
      <c r="H1201">
        <v>0</v>
      </c>
      <c r="I1201">
        <v>0</v>
      </c>
      <c r="J1201">
        <v>0</v>
      </c>
      <c r="K1201">
        <v>50</v>
      </c>
      <c r="L1201" t="s">
        <v>113</v>
      </c>
      <c r="M1201" t="s">
        <v>114</v>
      </c>
    </row>
    <row r="1202" spans="2:13" x14ac:dyDescent="0.2">
      <c r="B1202">
        <v>3049</v>
      </c>
      <c r="C1202">
        <v>2</v>
      </c>
      <c r="D1202">
        <v>6</v>
      </c>
      <c r="E1202">
        <v>0.1</v>
      </c>
      <c r="F1202">
        <v>0.6</v>
      </c>
      <c r="G1202">
        <v>0.6</v>
      </c>
      <c r="H1202">
        <v>65</v>
      </c>
      <c r="I1202">
        <v>1</v>
      </c>
      <c r="J1202">
        <v>0</v>
      </c>
      <c r="K1202">
        <v>42.6</v>
      </c>
      <c r="L1202" t="s">
        <v>115</v>
      </c>
      <c r="M1202" t="s">
        <v>116</v>
      </c>
    </row>
    <row r="1203" spans="2:13" x14ac:dyDescent="0.2">
      <c r="B1203">
        <v>3049</v>
      </c>
      <c r="C1203">
        <v>2</v>
      </c>
      <c r="D1203">
        <v>12.1</v>
      </c>
      <c r="E1203">
        <v>0.2</v>
      </c>
      <c r="F1203">
        <v>0.6</v>
      </c>
      <c r="G1203">
        <v>0.6</v>
      </c>
      <c r="H1203">
        <v>130</v>
      </c>
      <c r="I1203">
        <v>5</v>
      </c>
      <c r="J1203">
        <v>0</v>
      </c>
      <c r="K1203">
        <v>94</v>
      </c>
      <c r="L1203" t="s">
        <v>115</v>
      </c>
      <c r="M1203" t="s">
        <v>116</v>
      </c>
    </row>
    <row r="1204" spans="2:13" x14ac:dyDescent="0.2">
      <c r="B1204">
        <v>3049</v>
      </c>
      <c r="C1204">
        <v>2</v>
      </c>
      <c r="D1204">
        <v>18.100000000000001</v>
      </c>
      <c r="E1204">
        <v>0.3</v>
      </c>
      <c r="F1204">
        <v>0.6</v>
      </c>
      <c r="G1204">
        <v>0.7</v>
      </c>
      <c r="H1204">
        <v>195</v>
      </c>
      <c r="I1204">
        <v>7</v>
      </c>
      <c r="J1204">
        <v>0</v>
      </c>
      <c r="K1204">
        <v>94.3</v>
      </c>
      <c r="L1204" t="s">
        <v>128</v>
      </c>
      <c r="M1204" t="s">
        <v>116</v>
      </c>
    </row>
    <row r="1205" spans="2:13" x14ac:dyDescent="0.2">
      <c r="B1205">
        <v>3049</v>
      </c>
      <c r="C1205">
        <v>3</v>
      </c>
      <c r="D1205">
        <v>0</v>
      </c>
      <c r="E1205">
        <v>0</v>
      </c>
      <c r="F1205">
        <v>0.6</v>
      </c>
      <c r="G1205">
        <v>0.6</v>
      </c>
      <c r="H1205">
        <v>0</v>
      </c>
      <c r="I1205">
        <v>0</v>
      </c>
      <c r="J1205">
        <v>0</v>
      </c>
      <c r="K1205">
        <v>50</v>
      </c>
      <c r="L1205" t="s">
        <v>113</v>
      </c>
      <c r="M1205" t="s">
        <v>114</v>
      </c>
    </row>
    <row r="1206" spans="2:13" x14ac:dyDescent="0.2">
      <c r="B1206">
        <v>3049</v>
      </c>
      <c r="C1206">
        <v>3</v>
      </c>
      <c r="D1206">
        <v>6</v>
      </c>
      <c r="E1206">
        <v>0.1</v>
      </c>
      <c r="F1206">
        <v>0.6</v>
      </c>
      <c r="G1206">
        <v>0.6</v>
      </c>
      <c r="H1206">
        <v>65</v>
      </c>
      <c r="I1206">
        <v>0</v>
      </c>
      <c r="J1206">
        <v>0</v>
      </c>
      <c r="K1206">
        <v>42.1</v>
      </c>
      <c r="L1206" t="s">
        <v>115</v>
      </c>
      <c r="M1206" t="s">
        <v>116</v>
      </c>
    </row>
    <row r="1207" spans="2:13" x14ac:dyDescent="0.2">
      <c r="B1207">
        <v>3049</v>
      </c>
      <c r="C1207">
        <v>3</v>
      </c>
      <c r="D1207">
        <v>8.1</v>
      </c>
      <c r="E1207">
        <v>0.13</v>
      </c>
      <c r="F1207">
        <v>0.6</v>
      </c>
      <c r="G1207">
        <v>0.6</v>
      </c>
      <c r="H1207">
        <v>87</v>
      </c>
      <c r="I1207">
        <v>1</v>
      </c>
      <c r="J1207">
        <v>1</v>
      </c>
      <c r="K1207">
        <v>67</v>
      </c>
      <c r="L1207" t="s">
        <v>122</v>
      </c>
      <c r="M1207" t="s">
        <v>118</v>
      </c>
    </row>
    <row r="1208" spans="2:13" x14ac:dyDescent="0.2">
      <c r="B1208">
        <v>3049</v>
      </c>
      <c r="C1208">
        <v>3</v>
      </c>
      <c r="D1208">
        <v>8.3000000000000007</v>
      </c>
      <c r="E1208">
        <v>0.14000000000000001</v>
      </c>
      <c r="F1208">
        <v>0.6</v>
      </c>
      <c r="G1208">
        <v>0.6</v>
      </c>
      <c r="H1208">
        <v>90</v>
      </c>
      <c r="I1208">
        <v>1</v>
      </c>
      <c r="J1208">
        <v>2</v>
      </c>
      <c r="K1208">
        <v>58.5</v>
      </c>
      <c r="L1208" t="s">
        <v>119</v>
      </c>
      <c r="M1208" t="s">
        <v>118</v>
      </c>
    </row>
    <row r="1209" spans="2:13" x14ac:dyDescent="0.2">
      <c r="B1209">
        <v>3049</v>
      </c>
      <c r="C1209">
        <v>3</v>
      </c>
      <c r="D1209">
        <v>12.1</v>
      </c>
      <c r="E1209">
        <v>0.2</v>
      </c>
      <c r="F1209">
        <v>0.6</v>
      </c>
      <c r="G1209">
        <v>0.6</v>
      </c>
      <c r="H1209">
        <v>130</v>
      </c>
      <c r="I1209">
        <v>3</v>
      </c>
      <c r="J1209">
        <v>2</v>
      </c>
      <c r="K1209">
        <v>67.5</v>
      </c>
      <c r="L1209" t="s">
        <v>121</v>
      </c>
      <c r="M1209" t="s">
        <v>116</v>
      </c>
    </row>
    <row r="1210" spans="2:13" x14ac:dyDescent="0.2">
      <c r="B1210">
        <v>3049</v>
      </c>
      <c r="C1210">
        <v>3</v>
      </c>
      <c r="D1210">
        <v>14.1</v>
      </c>
      <c r="E1210">
        <v>0.23</v>
      </c>
      <c r="F1210">
        <v>0.6</v>
      </c>
      <c r="G1210">
        <v>0.6</v>
      </c>
      <c r="H1210">
        <v>152</v>
      </c>
      <c r="I1210">
        <v>5</v>
      </c>
      <c r="J1210">
        <v>3</v>
      </c>
      <c r="K1210">
        <v>62</v>
      </c>
      <c r="L1210" t="s">
        <v>125</v>
      </c>
      <c r="M1210" t="s">
        <v>118</v>
      </c>
    </row>
    <row r="1211" spans="2:13" x14ac:dyDescent="0.2">
      <c r="B1211">
        <v>3049</v>
      </c>
      <c r="C1211">
        <v>3</v>
      </c>
      <c r="D1211">
        <v>18.100000000000001</v>
      </c>
      <c r="E1211">
        <v>0.3</v>
      </c>
      <c r="F1211">
        <v>0.6</v>
      </c>
      <c r="G1211">
        <v>0.6</v>
      </c>
      <c r="H1211">
        <v>195</v>
      </c>
      <c r="I1211">
        <v>7</v>
      </c>
      <c r="J1211">
        <v>3</v>
      </c>
      <c r="K1211">
        <v>67.400000000000006</v>
      </c>
      <c r="L1211" t="s">
        <v>121</v>
      </c>
      <c r="M1211" t="s">
        <v>116</v>
      </c>
    </row>
    <row r="1212" spans="2:13" x14ac:dyDescent="0.2">
      <c r="B1212">
        <v>3049</v>
      </c>
      <c r="C1212">
        <v>4</v>
      </c>
      <c r="D1212">
        <v>0</v>
      </c>
      <c r="E1212">
        <v>0</v>
      </c>
      <c r="F1212">
        <v>0.6</v>
      </c>
      <c r="G1212">
        <v>0.6</v>
      </c>
      <c r="H1212">
        <v>0</v>
      </c>
      <c r="I1212">
        <v>0</v>
      </c>
      <c r="J1212">
        <v>0</v>
      </c>
      <c r="K1212">
        <v>50</v>
      </c>
      <c r="L1212" t="s">
        <v>113</v>
      </c>
      <c r="M1212" t="s">
        <v>114</v>
      </c>
    </row>
    <row r="1213" spans="2:13" x14ac:dyDescent="0.2">
      <c r="B1213">
        <v>3049</v>
      </c>
      <c r="C1213">
        <v>4</v>
      </c>
      <c r="D1213">
        <v>6</v>
      </c>
      <c r="E1213">
        <v>0.1</v>
      </c>
      <c r="F1213">
        <v>0.6</v>
      </c>
      <c r="G1213">
        <v>0.6</v>
      </c>
      <c r="H1213">
        <v>65</v>
      </c>
      <c r="I1213">
        <v>1</v>
      </c>
      <c r="J1213">
        <v>0</v>
      </c>
      <c r="K1213">
        <v>42.6</v>
      </c>
      <c r="L1213" t="s">
        <v>115</v>
      </c>
      <c r="M1213" t="s">
        <v>116</v>
      </c>
    </row>
    <row r="1214" spans="2:13" x14ac:dyDescent="0.2">
      <c r="B1214">
        <v>3049</v>
      </c>
      <c r="C1214">
        <v>4</v>
      </c>
      <c r="D1214">
        <v>6.3</v>
      </c>
      <c r="E1214">
        <v>0.1</v>
      </c>
      <c r="F1214">
        <v>0.6</v>
      </c>
      <c r="G1214">
        <v>0.6</v>
      </c>
      <c r="H1214">
        <v>68</v>
      </c>
      <c r="I1214">
        <v>1</v>
      </c>
      <c r="J1214">
        <v>1</v>
      </c>
      <c r="K1214">
        <v>42.9</v>
      </c>
      <c r="L1214" t="s">
        <v>117</v>
      </c>
      <c r="M1214" t="s">
        <v>118</v>
      </c>
    </row>
    <row r="1215" spans="2:13" x14ac:dyDescent="0.2">
      <c r="B1215">
        <v>3049</v>
      </c>
      <c r="C1215">
        <v>4</v>
      </c>
      <c r="D1215">
        <v>11.1</v>
      </c>
      <c r="E1215">
        <v>0.18</v>
      </c>
      <c r="F1215">
        <v>0.6</v>
      </c>
      <c r="G1215">
        <v>0.6</v>
      </c>
      <c r="H1215">
        <v>119</v>
      </c>
      <c r="I1215">
        <v>4</v>
      </c>
      <c r="J1215">
        <v>2</v>
      </c>
      <c r="K1215">
        <v>42.3</v>
      </c>
      <c r="L1215" t="s">
        <v>119</v>
      </c>
      <c r="M1215" t="s">
        <v>118</v>
      </c>
    </row>
    <row r="1216" spans="2:13" x14ac:dyDescent="0.2">
      <c r="B1216">
        <v>3049</v>
      </c>
      <c r="C1216">
        <v>4</v>
      </c>
      <c r="D1216">
        <v>12.1</v>
      </c>
      <c r="E1216">
        <v>0.2</v>
      </c>
      <c r="F1216">
        <v>0.6</v>
      </c>
      <c r="G1216">
        <v>0.45</v>
      </c>
      <c r="H1216">
        <v>130</v>
      </c>
      <c r="I1216">
        <v>7</v>
      </c>
      <c r="J1216">
        <v>2</v>
      </c>
      <c r="K1216">
        <v>42.3</v>
      </c>
      <c r="L1216" t="s">
        <v>126</v>
      </c>
      <c r="M1216" t="s">
        <v>116</v>
      </c>
    </row>
    <row r="1217" spans="2:13" x14ac:dyDescent="0.2">
      <c r="B1217">
        <v>3049</v>
      </c>
      <c r="C1217">
        <v>4</v>
      </c>
      <c r="D1217">
        <v>18.100000000000001</v>
      </c>
      <c r="E1217">
        <v>0.3</v>
      </c>
      <c r="F1217">
        <v>0.45</v>
      </c>
      <c r="G1217">
        <v>0.45</v>
      </c>
      <c r="H1217">
        <v>179</v>
      </c>
      <c r="I1217">
        <v>10</v>
      </c>
      <c r="J1217">
        <v>2</v>
      </c>
      <c r="K1217">
        <v>59.2</v>
      </c>
      <c r="L1217" t="s">
        <v>115</v>
      </c>
      <c r="M1217" t="s">
        <v>116</v>
      </c>
    </row>
    <row r="1218" spans="2:13" x14ac:dyDescent="0.2">
      <c r="B1218">
        <v>3049</v>
      </c>
      <c r="C1218">
        <v>5</v>
      </c>
      <c r="D1218">
        <v>0</v>
      </c>
      <c r="E1218">
        <v>0</v>
      </c>
      <c r="F1218">
        <v>0.6</v>
      </c>
      <c r="G1218">
        <v>0.6</v>
      </c>
      <c r="H1218">
        <v>0</v>
      </c>
      <c r="I1218">
        <v>0</v>
      </c>
      <c r="J1218">
        <v>0</v>
      </c>
      <c r="K1218">
        <v>50</v>
      </c>
      <c r="L1218" t="s">
        <v>113</v>
      </c>
      <c r="M1218" t="s">
        <v>114</v>
      </c>
    </row>
    <row r="1219" spans="2:13" x14ac:dyDescent="0.2">
      <c r="B1219">
        <v>3049</v>
      </c>
      <c r="C1219">
        <v>5</v>
      </c>
      <c r="D1219">
        <v>6</v>
      </c>
      <c r="E1219">
        <v>0.1</v>
      </c>
      <c r="F1219">
        <v>0.6</v>
      </c>
      <c r="G1219">
        <v>0.6</v>
      </c>
      <c r="H1219">
        <v>65</v>
      </c>
      <c r="I1219">
        <v>0</v>
      </c>
      <c r="J1219">
        <v>0</v>
      </c>
      <c r="K1219">
        <v>40.1</v>
      </c>
      <c r="L1219" t="s">
        <v>115</v>
      </c>
      <c r="M1219" t="s">
        <v>116</v>
      </c>
    </row>
    <row r="1220" spans="2:13" x14ac:dyDescent="0.2">
      <c r="B1220">
        <v>3049</v>
      </c>
      <c r="C1220">
        <v>5</v>
      </c>
      <c r="D1220">
        <v>10.5</v>
      </c>
      <c r="E1220">
        <v>0.17</v>
      </c>
      <c r="F1220">
        <v>0.6</v>
      </c>
      <c r="G1220">
        <v>0.6</v>
      </c>
      <c r="H1220">
        <v>113</v>
      </c>
      <c r="I1220">
        <v>4</v>
      </c>
      <c r="J1220">
        <v>1</v>
      </c>
      <c r="K1220">
        <v>78.400000000000006</v>
      </c>
      <c r="L1220" t="s">
        <v>129</v>
      </c>
      <c r="M1220" t="s">
        <v>118</v>
      </c>
    </row>
    <row r="1221" spans="2:13" x14ac:dyDescent="0.2">
      <c r="B1221">
        <v>3049</v>
      </c>
      <c r="C1221">
        <v>5</v>
      </c>
      <c r="D1221">
        <v>12.1</v>
      </c>
      <c r="E1221">
        <v>0.2</v>
      </c>
      <c r="F1221">
        <v>0.6</v>
      </c>
      <c r="G1221">
        <v>0.6</v>
      </c>
      <c r="H1221">
        <v>130</v>
      </c>
      <c r="I1221">
        <v>8</v>
      </c>
      <c r="J1221">
        <v>1</v>
      </c>
      <c r="K1221">
        <v>79.2</v>
      </c>
      <c r="L1221" t="s">
        <v>136</v>
      </c>
      <c r="M1221" t="s">
        <v>116</v>
      </c>
    </row>
    <row r="1222" spans="2:13" x14ac:dyDescent="0.2">
      <c r="B1222">
        <v>3049</v>
      </c>
      <c r="C1222">
        <v>5</v>
      </c>
      <c r="D1222">
        <v>13.7</v>
      </c>
      <c r="E1222">
        <v>0.23</v>
      </c>
      <c r="F1222">
        <v>0.6</v>
      </c>
      <c r="G1222">
        <v>0.6</v>
      </c>
      <c r="H1222">
        <v>147</v>
      </c>
      <c r="I1222">
        <v>10</v>
      </c>
      <c r="J1222">
        <v>2</v>
      </c>
      <c r="K1222">
        <v>71.599999999999994</v>
      </c>
      <c r="L1222" t="s">
        <v>119</v>
      </c>
      <c r="M1222" t="s">
        <v>118</v>
      </c>
    </row>
    <row r="1223" spans="2:13" x14ac:dyDescent="0.2">
      <c r="B1223">
        <v>3049</v>
      </c>
      <c r="C1223">
        <v>5</v>
      </c>
      <c r="D1223">
        <v>18.100000000000001</v>
      </c>
      <c r="E1223">
        <v>0.3</v>
      </c>
      <c r="F1223">
        <v>0.6</v>
      </c>
      <c r="G1223">
        <v>0.6</v>
      </c>
      <c r="H1223">
        <v>195</v>
      </c>
      <c r="I1223">
        <v>15</v>
      </c>
      <c r="J1223">
        <v>2</v>
      </c>
      <c r="K1223">
        <v>77.5</v>
      </c>
      <c r="L1223" t="s">
        <v>124</v>
      </c>
      <c r="M1223" t="s">
        <v>116</v>
      </c>
    </row>
    <row r="1224" spans="2:13" x14ac:dyDescent="0.2">
      <c r="B1224">
        <v>3050</v>
      </c>
      <c r="C1224">
        <v>1</v>
      </c>
      <c r="D1224">
        <v>0</v>
      </c>
      <c r="E1224">
        <v>0</v>
      </c>
      <c r="F1224">
        <v>0.6</v>
      </c>
      <c r="G1224">
        <v>0.6</v>
      </c>
      <c r="H1224">
        <v>0</v>
      </c>
      <c r="I1224">
        <v>0</v>
      </c>
      <c r="J1224">
        <v>0</v>
      </c>
      <c r="K1224">
        <v>50</v>
      </c>
      <c r="L1224" t="s">
        <v>113</v>
      </c>
      <c r="M1224" t="s">
        <v>114</v>
      </c>
    </row>
    <row r="1225" spans="2:13" x14ac:dyDescent="0.2">
      <c r="B1225">
        <v>3050</v>
      </c>
      <c r="C1225">
        <v>1</v>
      </c>
      <c r="D1225">
        <v>6</v>
      </c>
      <c r="E1225">
        <v>0.1</v>
      </c>
      <c r="F1225">
        <v>0.6</v>
      </c>
      <c r="G1225">
        <v>0.6</v>
      </c>
      <c r="H1225">
        <v>65</v>
      </c>
      <c r="I1225">
        <v>0</v>
      </c>
      <c r="J1225">
        <v>1</v>
      </c>
      <c r="K1225">
        <v>35.799999999999997</v>
      </c>
      <c r="L1225" t="s">
        <v>117</v>
      </c>
      <c r="M1225" t="s">
        <v>118</v>
      </c>
    </row>
    <row r="1226" spans="2:13" x14ac:dyDescent="0.2">
      <c r="B1226">
        <v>3050</v>
      </c>
      <c r="C1226">
        <v>1</v>
      </c>
      <c r="D1226">
        <v>6</v>
      </c>
      <c r="E1226">
        <v>0.1</v>
      </c>
      <c r="F1226">
        <v>0.6</v>
      </c>
      <c r="G1226">
        <v>0.6</v>
      </c>
      <c r="H1226">
        <v>65</v>
      </c>
      <c r="I1226">
        <v>0</v>
      </c>
      <c r="J1226">
        <v>1</v>
      </c>
      <c r="K1226">
        <v>36</v>
      </c>
      <c r="L1226" t="s">
        <v>132</v>
      </c>
      <c r="M1226" t="s">
        <v>116</v>
      </c>
    </row>
    <row r="1227" spans="2:13" x14ac:dyDescent="0.2">
      <c r="B1227">
        <v>3050</v>
      </c>
      <c r="C1227">
        <v>1</v>
      </c>
      <c r="D1227">
        <v>12.1</v>
      </c>
      <c r="E1227">
        <v>0.2</v>
      </c>
      <c r="F1227">
        <v>0.6</v>
      </c>
      <c r="G1227">
        <v>0.7</v>
      </c>
      <c r="H1227">
        <v>130</v>
      </c>
      <c r="I1227">
        <v>2</v>
      </c>
      <c r="J1227">
        <v>1</v>
      </c>
      <c r="K1227">
        <v>69.8</v>
      </c>
      <c r="L1227" t="s">
        <v>128</v>
      </c>
      <c r="M1227" t="s">
        <v>116</v>
      </c>
    </row>
    <row r="1228" spans="2:13" x14ac:dyDescent="0.2">
      <c r="B1228">
        <v>3050</v>
      </c>
      <c r="C1228">
        <v>2</v>
      </c>
      <c r="D1228">
        <v>0</v>
      </c>
      <c r="E1228">
        <v>0</v>
      </c>
      <c r="F1228">
        <v>0.6</v>
      </c>
      <c r="G1228">
        <v>0.6</v>
      </c>
      <c r="H1228">
        <v>0</v>
      </c>
      <c r="I1228">
        <v>0</v>
      </c>
      <c r="J1228">
        <v>0</v>
      </c>
      <c r="K1228">
        <v>50</v>
      </c>
      <c r="L1228" t="s">
        <v>113</v>
      </c>
      <c r="M1228" t="s">
        <v>114</v>
      </c>
    </row>
    <row r="1229" spans="2:13" x14ac:dyDescent="0.2">
      <c r="B1229">
        <v>3050</v>
      </c>
      <c r="C1229">
        <v>2</v>
      </c>
      <c r="D1229">
        <v>5.5</v>
      </c>
      <c r="E1229">
        <v>0.09</v>
      </c>
      <c r="F1229">
        <v>0.6</v>
      </c>
      <c r="G1229">
        <v>0.6</v>
      </c>
      <c r="H1229">
        <v>60</v>
      </c>
      <c r="I1229">
        <v>0</v>
      </c>
      <c r="J1229">
        <v>1</v>
      </c>
      <c r="K1229">
        <v>33.799999999999997</v>
      </c>
      <c r="L1229" t="s">
        <v>117</v>
      </c>
      <c r="M1229" t="s">
        <v>118</v>
      </c>
    </row>
    <row r="1230" spans="2:13" x14ac:dyDescent="0.2">
      <c r="B1230">
        <v>3050</v>
      </c>
      <c r="C1230">
        <v>2</v>
      </c>
      <c r="D1230">
        <v>6</v>
      </c>
      <c r="E1230">
        <v>0.1</v>
      </c>
      <c r="F1230">
        <v>0.6</v>
      </c>
      <c r="G1230">
        <v>0.6</v>
      </c>
      <c r="H1230">
        <v>65</v>
      </c>
      <c r="I1230">
        <v>2</v>
      </c>
      <c r="J1230">
        <v>1</v>
      </c>
      <c r="K1230">
        <v>33.9</v>
      </c>
      <c r="L1230" t="s">
        <v>132</v>
      </c>
      <c r="M1230" t="s">
        <v>116</v>
      </c>
    </row>
    <row r="1231" spans="2:13" x14ac:dyDescent="0.2">
      <c r="B1231">
        <v>3050</v>
      </c>
      <c r="C1231">
        <v>2</v>
      </c>
      <c r="D1231">
        <v>7</v>
      </c>
      <c r="E1231">
        <v>0.12</v>
      </c>
      <c r="F1231">
        <v>0.6</v>
      </c>
      <c r="G1231">
        <v>0.6</v>
      </c>
      <c r="H1231">
        <v>76</v>
      </c>
      <c r="I1231">
        <v>2</v>
      </c>
      <c r="J1231">
        <v>2</v>
      </c>
      <c r="K1231">
        <v>34.4</v>
      </c>
      <c r="L1231" t="s">
        <v>127</v>
      </c>
      <c r="M1231" t="s">
        <v>118</v>
      </c>
    </row>
    <row r="1232" spans="2:13" x14ac:dyDescent="0.2">
      <c r="B1232">
        <v>3050</v>
      </c>
      <c r="C1232">
        <v>2</v>
      </c>
      <c r="D1232">
        <v>11.4</v>
      </c>
      <c r="E1232">
        <v>0.19</v>
      </c>
      <c r="F1232">
        <v>0.6</v>
      </c>
      <c r="G1232">
        <v>0.6</v>
      </c>
      <c r="H1232">
        <v>123</v>
      </c>
      <c r="I1232">
        <v>4</v>
      </c>
      <c r="J1232">
        <v>3</v>
      </c>
      <c r="K1232">
        <v>56.1</v>
      </c>
      <c r="L1232" t="s">
        <v>135</v>
      </c>
      <c r="M1232" t="s">
        <v>118</v>
      </c>
    </row>
    <row r="1233" spans="2:13" x14ac:dyDescent="0.2">
      <c r="B1233">
        <v>3050</v>
      </c>
      <c r="C1233">
        <v>2</v>
      </c>
      <c r="D1233">
        <v>12.1</v>
      </c>
      <c r="E1233">
        <v>0.2</v>
      </c>
      <c r="F1233">
        <v>0.6</v>
      </c>
      <c r="G1233">
        <v>0.6</v>
      </c>
      <c r="H1233">
        <v>130</v>
      </c>
      <c r="I1233">
        <v>4</v>
      </c>
      <c r="J1233">
        <v>3</v>
      </c>
      <c r="K1233">
        <v>56.3</v>
      </c>
      <c r="L1233" t="s">
        <v>121</v>
      </c>
      <c r="M1233" t="s">
        <v>116</v>
      </c>
    </row>
    <row r="1234" spans="2:13" x14ac:dyDescent="0.2">
      <c r="B1234">
        <v>3050</v>
      </c>
      <c r="C1234">
        <v>2</v>
      </c>
      <c r="D1234">
        <v>18.100000000000001</v>
      </c>
      <c r="E1234">
        <v>0.3</v>
      </c>
      <c r="F1234">
        <v>0.6</v>
      </c>
      <c r="G1234">
        <v>0.6</v>
      </c>
      <c r="H1234">
        <v>195</v>
      </c>
      <c r="I1234">
        <v>8</v>
      </c>
      <c r="J1234">
        <v>3</v>
      </c>
      <c r="K1234">
        <v>61</v>
      </c>
      <c r="L1234" t="s">
        <v>115</v>
      </c>
      <c r="M1234" t="s">
        <v>116</v>
      </c>
    </row>
    <row r="1235" spans="2:13" x14ac:dyDescent="0.2">
      <c r="B1235">
        <v>3050</v>
      </c>
      <c r="C1235">
        <v>3</v>
      </c>
      <c r="D1235">
        <v>0</v>
      </c>
      <c r="E1235">
        <v>0</v>
      </c>
      <c r="F1235">
        <v>0.6</v>
      </c>
      <c r="G1235">
        <v>0.6</v>
      </c>
      <c r="H1235">
        <v>0</v>
      </c>
      <c r="I1235">
        <v>0</v>
      </c>
      <c r="J1235">
        <v>0</v>
      </c>
      <c r="K1235">
        <v>50</v>
      </c>
      <c r="L1235" t="s">
        <v>113</v>
      </c>
      <c r="M1235" t="s">
        <v>114</v>
      </c>
    </row>
    <row r="1236" spans="2:13" x14ac:dyDescent="0.2">
      <c r="B1236">
        <v>3050</v>
      </c>
      <c r="C1236">
        <v>3</v>
      </c>
      <c r="D1236">
        <v>6</v>
      </c>
      <c r="E1236">
        <v>0.1</v>
      </c>
      <c r="F1236">
        <v>0.6</v>
      </c>
      <c r="G1236">
        <v>0.6</v>
      </c>
      <c r="H1236">
        <v>65</v>
      </c>
      <c r="I1236">
        <v>1</v>
      </c>
      <c r="J1236">
        <v>0</v>
      </c>
      <c r="K1236">
        <v>33.9</v>
      </c>
      <c r="L1236" t="s">
        <v>115</v>
      </c>
      <c r="M1236" t="s">
        <v>116</v>
      </c>
    </row>
    <row r="1237" spans="2:13" x14ac:dyDescent="0.2">
      <c r="B1237">
        <v>3050</v>
      </c>
      <c r="C1237">
        <v>3</v>
      </c>
      <c r="D1237">
        <v>6.5</v>
      </c>
      <c r="E1237">
        <v>0.11</v>
      </c>
      <c r="F1237">
        <v>0.6</v>
      </c>
      <c r="G1237">
        <v>0.6</v>
      </c>
      <c r="H1237">
        <v>70</v>
      </c>
      <c r="I1237">
        <v>1</v>
      </c>
      <c r="J1237">
        <v>1</v>
      </c>
      <c r="K1237">
        <v>34.200000000000003</v>
      </c>
      <c r="L1237" t="s">
        <v>129</v>
      </c>
      <c r="M1237" t="s">
        <v>118</v>
      </c>
    </row>
    <row r="1238" spans="2:13" x14ac:dyDescent="0.2">
      <c r="B1238">
        <v>3050</v>
      </c>
      <c r="C1238">
        <v>3</v>
      </c>
      <c r="D1238">
        <v>12.1</v>
      </c>
      <c r="E1238">
        <v>0.2</v>
      </c>
      <c r="F1238">
        <v>0.6</v>
      </c>
      <c r="G1238">
        <v>0.6</v>
      </c>
      <c r="H1238">
        <v>130</v>
      </c>
      <c r="I1238">
        <v>2</v>
      </c>
      <c r="J1238">
        <v>1</v>
      </c>
      <c r="K1238">
        <v>34.6</v>
      </c>
      <c r="L1238" t="s">
        <v>132</v>
      </c>
      <c r="M1238" t="s">
        <v>116</v>
      </c>
    </row>
    <row r="1239" spans="2:13" x14ac:dyDescent="0.2">
      <c r="B1239">
        <v>3050</v>
      </c>
      <c r="C1239">
        <v>3</v>
      </c>
      <c r="D1239">
        <v>12.4</v>
      </c>
      <c r="E1239">
        <v>0.21</v>
      </c>
      <c r="F1239">
        <v>0.6</v>
      </c>
      <c r="G1239">
        <v>0.6</v>
      </c>
      <c r="H1239">
        <v>134</v>
      </c>
      <c r="I1239">
        <v>2</v>
      </c>
      <c r="J1239">
        <v>2</v>
      </c>
      <c r="K1239">
        <v>34.5</v>
      </c>
      <c r="L1239" t="s">
        <v>123</v>
      </c>
      <c r="M1239" t="s">
        <v>118</v>
      </c>
    </row>
    <row r="1240" spans="2:13" x14ac:dyDescent="0.2">
      <c r="B1240">
        <v>3050</v>
      </c>
      <c r="C1240">
        <v>3</v>
      </c>
      <c r="D1240">
        <v>18.100000000000001</v>
      </c>
      <c r="E1240">
        <v>0.3</v>
      </c>
      <c r="F1240">
        <v>0.6</v>
      </c>
      <c r="G1240">
        <v>0.6</v>
      </c>
      <c r="H1240">
        <v>195</v>
      </c>
      <c r="I1240">
        <v>5</v>
      </c>
      <c r="J1240">
        <v>2</v>
      </c>
      <c r="K1240">
        <v>33</v>
      </c>
      <c r="L1240" t="s">
        <v>132</v>
      </c>
      <c r="M1240" t="s">
        <v>116</v>
      </c>
    </row>
    <row r="1241" spans="2:13" x14ac:dyDescent="0.2">
      <c r="B1241">
        <v>3050</v>
      </c>
      <c r="C1241">
        <v>4</v>
      </c>
      <c r="D1241">
        <v>0</v>
      </c>
      <c r="E1241">
        <v>0</v>
      </c>
      <c r="F1241">
        <v>0.6</v>
      </c>
      <c r="G1241">
        <v>0.6</v>
      </c>
      <c r="H1241">
        <v>0</v>
      </c>
      <c r="I1241">
        <v>0</v>
      </c>
      <c r="J1241">
        <v>0</v>
      </c>
      <c r="K1241">
        <v>50</v>
      </c>
      <c r="L1241" t="s">
        <v>113</v>
      </c>
      <c r="M1241" t="s">
        <v>114</v>
      </c>
    </row>
    <row r="1242" spans="2:13" x14ac:dyDescent="0.2">
      <c r="B1242">
        <v>3050</v>
      </c>
      <c r="C1242">
        <v>4</v>
      </c>
      <c r="D1242">
        <v>6</v>
      </c>
      <c r="E1242">
        <v>0.1</v>
      </c>
      <c r="F1242">
        <v>0.6</v>
      </c>
      <c r="G1242">
        <v>0.6</v>
      </c>
      <c r="H1242">
        <v>65</v>
      </c>
      <c r="I1242">
        <v>0</v>
      </c>
      <c r="J1242">
        <v>0</v>
      </c>
      <c r="K1242">
        <v>37.200000000000003</v>
      </c>
      <c r="L1242" t="s">
        <v>115</v>
      </c>
      <c r="M1242" t="s">
        <v>116</v>
      </c>
    </row>
    <row r="1243" spans="2:13" x14ac:dyDescent="0.2">
      <c r="B1243">
        <v>3050</v>
      </c>
      <c r="C1243">
        <v>4</v>
      </c>
      <c r="D1243">
        <v>9.3000000000000007</v>
      </c>
      <c r="E1243">
        <v>0.16</v>
      </c>
      <c r="F1243">
        <v>0.6</v>
      </c>
      <c r="G1243">
        <v>0.6</v>
      </c>
      <c r="H1243">
        <v>101</v>
      </c>
      <c r="I1243">
        <v>1</v>
      </c>
      <c r="J1243">
        <v>1</v>
      </c>
      <c r="K1243">
        <v>38</v>
      </c>
      <c r="L1243" t="s">
        <v>122</v>
      </c>
      <c r="M1243" t="s">
        <v>118</v>
      </c>
    </row>
    <row r="1244" spans="2:13" x14ac:dyDescent="0.2">
      <c r="B1244">
        <v>3050</v>
      </c>
      <c r="C1244">
        <v>4</v>
      </c>
      <c r="D1244">
        <v>11.1</v>
      </c>
      <c r="E1244">
        <v>0.18</v>
      </c>
      <c r="F1244">
        <v>0.6</v>
      </c>
      <c r="G1244">
        <v>0.6</v>
      </c>
      <c r="H1244">
        <v>119</v>
      </c>
      <c r="I1244">
        <v>1</v>
      </c>
      <c r="J1244">
        <v>2</v>
      </c>
      <c r="K1244">
        <v>38</v>
      </c>
      <c r="L1244" t="s">
        <v>127</v>
      </c>
      <c r="M1244" t="s">
        <v>118</v>
      </c>
    </row>
    <row r="1245" spans="2:13" x14ac:dyDescent="0.2">
      <c r="B1245">
        <v>3050</v>
      </c>
      <c r="C1245">
        <v>4</v>
      </c>
      <c r="D1245">
        <v>12.1</v>
      </c>
      <c r="E1245">
        <v>0.2</v>
      </c>
      <c r="F1245">
        <v>0.6</v>
      </c>
      <c r="G1245">
        <v>0.45</v>
      </c>
      <c r="H1245">
        <v>130</v>
      </c>
      <c r="I1245">
        <v>1</v>
      </c>
      <c r="J1245">
        <v>2</v>
      </c>
      <c r="K1245">
        <v>37.6</v>
      </c>
      <c r="L1245" t="s">
        <v>126</v>
      </c>
      <c r="M1245" t="s">
        <v>116</v>
      </c>
    </row>
    <row r="1246" spans="2:13" x14ac:dyDescent="0.2">
      <c r="B1246">
        <v>3050</v>
      </c>
      <c r="C1246">
        <v>4</v>
      </c>
      <c r="D1246">
        <v>14.1</v>
      </c>
      <c r="E1246">
        <v>0.24</v>
      </c>
      <c r="F1246">
        <v>0.45</v>
      </c>
      <c r="G1246">
        <v>0.45</v>
      </c>
      <c r="H1246">
        <v>147</v>
      </c>
      <c r="I1246">
        <v>2</v>
      </c>
      <c r="J1246">
        <v>3</v>
      </c>
      <c r="K1246">
        <v>37.9</v>
      </c>
      <c r="L1246" t="s">
        <v>135</v>
      </c>
      <c r="M1246" t="s">
        <v>118</v>
      </c>
    </row>
    <row r="1247" spans="2:13" x14ac:dyDescent="0.2">
      <c r="B1247">
        <v>3050</v>
      </c>
      <c r="C1247">
        <v>4</v>
      </c>
      <c r="D1247">
        <v>18.100000000000001</v>
      </c>
      <c r="E1247">
        <v>0.3</v>
      </c>
      <c r="F1247">
        <v>0.45</v>
      </c>
      <c r="G1247">
        <v>0.45</v>
      </c>
      <c r="H1247">
        <v>179</v>
      </c>
      <c r="I1247">
        <v>3</v>
      </c>
      <c r="J1247">
        <v>3</v>
      </c>
      <c r="K1247">
        <v>49.9</v>
      </c>
      <c r="L1247" t="s">
        <v>121</v>
      </c>
      <c r="M1247" t="s">
        <v>116</v>
      </c>
    </row>
    <row r="1248" spans="2:13" x14ac:dyDescent="0.2">
      <c r="B1248">
        <v>3050</v>
      </c>
      <c r="C1248">
        <v>6</v>
      </c>
      <c r="D1248">
        <v>0</v>
      </c>
      <c r="E1248">
        <v>0</v>
      </c>
      <c r="F1248">
        <v>0.6</v>
      </c>
      <c r="G1248">
        <v>0.6</v>
      </c>
      <c r="H1248">
        <v>0</v>
      </c>
      <c r="I1248">
        <v>0</v>
      </c>
      <c r="J1248">
        <v>0</v>
      </c>
      <c r="K1248">
        <v>50</v>
      </c>
      <c r="L1248" t="s">
        <v>113</v>
      </c>
      <c r="M1248" t="s">
        <v>114</v>
      </c>
    </row>
    <row r="1249" spans="2:13" x14ac:dyDescent="0.2">
      <c r="B1249">
        <v>3050</v>
      </c>
      <c r="C1249">
        <v>6</v>
      </c>
      <c r="D1249">
        <v>6</v>
      </c>
      <c r="E1249">
        <v>0.1</v>
      </c>
      <c r="F1249">
        <v>0.6</v>
      </c>
      <c r="G1249">
        <v>0.7</v>
      </c>
      <c r="H1249">
        <v>65</v>
      </c>
      <c r="I1249">
        <v>0</v>
      </c>
      <c r="J1249">
        <v>0</v>
      </c>
      <c r="K1249">
        <v>87.6</v>
      </c>
      <c r="L1249" t="s">
        <v>128</v>
      </c>
      <c r="M1249" t="s">
        <v>116</v>
      </c>
    </row>
    <row r="1250" spans="2:13" x14ac:dyDescent="0.2">
      <c r="B1250">
        <v>3050</v>
      </c>
      <c r="C1250">
        <v>6</v>
      </c>
      <c r="D1250">
        <v>7.3</v>
      </c>
      <c r="E1250">
        <v>0.12</v>
      </c>
      <c r="F1250">
        <v>0.7</v>
      </c>
      <c r="G1250">
        <v>0.7</v>
      </c>
      <c r="H1250">
        <v>82</v>
      </c>
      <c r="I1250">
        <v>0</v>
      </c>
      <c r="J1250">
        <v>1</v>
      </c>
      <c r="K1250">
        <v>71.400000000000006</v>
      </c>
      <c r="L1250" t="s">
        <v>117</v>
      </c>
      <c r="M1250" t="s">
        <v>118</v>
      </c>
    </row>
    <row r="1251" spans="2:13" x14ac:dyDescent="0.2">
      <c r="B1251">
        <v>3050</v>
      </c>
      <c r="C1251">
        <v>6</v>
      </c>
      <c r="D1251">
        <v>12.1</v>
      </c>
      <c r="E1251">
        <v>0.2</v>
      </c>
      <c r="F1251">
        <v>0.7</v>
      </c>
      <c r="G1251">
        <v>0.7</v>
      </c>
      <c r="H1251">
        <v>141</v>
      </c>
      <c r="I1251">
        <v>1</v>
      </c>
      <c r="J1251">
        <v>1</v>
      </c>
      <c r="K1251">
        <v>75.900000000000006</v>
      </c>
      <c r="L1251" t="s">
        <v>121</v>
      </c>
      <c r="M1251" t="s">
        <v>116</v>
      </c>
    </row>
    <row r="1252" spans="2:13" x14ac:dyDescent="0.2">
      <c r="B1252">
        <v>3050</v>
      </c>
      <c r="C1252">
        <v>7</v>
      </c>
      <c r="D1252">
        <v>0</v>
      </c>
      <c r="E1252">
        <v>0</v>
      </c>
      <c r="F1252">
        <v>0.6</v>
      </c>
      <c r="G1252">
        <v>0.6</v>
      </c>
      <c r="H1252">
        <v>0</v>
      </c>
      <c r="I1252">
        <v>0</v>
      </c>
      <c r="J1252">
        <v>0</v>
      </c>
      <c r="K1252">
        <v>50</v>
      </c>
      <c r="L1252" t="s">
        <v>113</v>
      </c>
      <c r="M1252" t="s">
        <v>114</v>
      </c>
    </row>
    <row r="1253" spans="2:13" x14ac:dyDescent="0.2">
      <c r="B1253">
        <v>3050</v>
      </c>
      <c r="C1253">
        <v>7</v>
      </c>
      <c r="D1253">
        <v>6</v>
      </c>
      <c r="E1253">
        <v>0.1</v>
      </c>
      <c r="F1253">
        <v>0.6</v>
      </c>
      <c r="G1253">
        <v>0.6</v>
      </c>
      <c r="H1253">
        <v>65</v>
      </c>
      <c r="I1253">
        <v>1</v>
      </c>
      <c r="J1253">
        <v>0</v>
      </c>
      <c r="K1253">
        <v>38</v>
      </c>
      <c r="L1253" t="s">
        <v>115</v>
      </c>
      <c r="M1253" t="s">
        <v>116</v>
      </c>
    </row>
    <row r="1254" spans="2:13" x14ac:dyDescent="0.2">
      <c r="B1254">
        <v>3050</v>
      </c>
      <c r="C1254">
        <v>7</v>
      </c>
      <c r="D1254">
        <v>6.5</v>
      </c>
      <c r="E1254">
        <v>0.11</v>
      </c>
      <c r="F1254">
        <v>0.6</v>
      </c>
      <c r="G1254">
        <v>0.6</v>
      </c>
      <c r="H1254">
        <v>70</v>
      </c>
      <c r="I1254">
        <v>1</v>
      </c>
      <c r="J1254">
        <v>1</v>
      </c>
      <c r="K1254">
        <v>38.1</v>
      </c>
      <c r="L1254" t="s">
        <v>122</v>
      </c>
      <c r="M1254" t="s">
        <v>118</v>
      </c>
    </row>
    <row r="1255" spans="2:13" x14ac:dyDescent="0.2">
      <c r="B1255">
        <v>3050</v>
      </c>
      <c r="C1255">
        <v>7</v>
      </c>
      <c r="D1255">
        <v>12.1</v>
      </c>
      <c r="E1255">
        <v>0.2</v>
      </c>
      <c r="F1255">
        <v>0.6</v>
      </c>
      <c r="G1255">
        <v>0.6</v>
      </c>
      <c r="H1255">
        <v>130</v>
      </c>
      <c r="I1255">
        <v>4</v>
      </c>
      <c r="J1255">
        <v>1</v>
      </c>
      <c r="K1255">
        <v>38</v>
      </c>
      <c r="L1255" t="s">
        <v>132</v>
      </c>
      <c r="M1255" t="s">
        <v>116</v>
      </c>
    </row>
    <row r="1256" spans="2:13" x14ac:dyDescent="0.2">
      <c r="B1256">
        <v>3050</v>
      </c>
      <c r="C1256">
        <v>7</v>
      </c>
      <c r="D1256">
        <v>13.4</v>
      </c>
      <c r="E1256">
        <v>0.22</v>
      </c>
      <c r="F1256">
        <v>0.6</v>
      </c>
      <c r="G1256">
        <v>0.6</v>
      </c>
      <c r="H1256">
        <v>145</v>
      </c>
      <c r="I1256">
        <v>4</v>
      </c>
      <c r="J1256">
        <v>2</v>
      </c>
      <c r="K1256">
        <v>38.1</v>
      </c>
      <c r="L1256" t="s">
        <v>119</v>
      </c>
      <c r="M1256" t="s">
        <v>118</v>
      </c>
    </row>
    <row r="1257" spans="2:13" x14ac:dyDescent="0.2">
      <c r="B1257">
        <v>3050</v>
      </c>
      <c r="C1257">
        <v>7</v>
      </c>
      <c r="D1257">
        <v>18.100000000000001</v>
      </c>
      <c r="E1257">
        <v>0.3</v>
      </c>
      <c r="F1257">
        <v>0.6</v>
      </c>
      <c r="G1257">
        <v>0.6</v>
      </c>
      <c r="H1257">
        <v>195</v>
      </c>
      <c r="I1257">
        <v>6</v>
      </c>
      <c r="J1257">
        <v>2</v>
      </c>
      <c r="K1257">
        <v>37.799999999999997</v>
      </c>
      <c r="L1257" t="s">
        <v>132</v>
      </c>
      <c r="M1257" t="s">
        <v>116</v>
      </c>
    </row>
    <row r="1258" spans="2:13" x14ac:dyDescent="0.2">
      <c r="B1258">
        <v>3051</v>
      </c>
      <c r="C1258">
        <v>1</v>
      </c>
      <c r="D1258">
        <v>0</v>
      </c>
      <c r="E1258">
        <v>0</v>
      </c>
      <c r="F1258">
        <v>0.6</v>
      </c>
      <c r="G1258">
        <v>0.6</v>
      </c>
      <c r="H1258">
        <v>0</v>
      </c>
      <c r="I1258">
        <v>0</v>
      </c>
      <c r="J1258">
        <v>0</v>
      </c>
      <c r="K1258">
        <v>50</v>
      </c>
      <c r="L1258" t="s">
        <v>113</v>
      </c>
      <c r="M1258" t="s">
        <v>114</v>
      </c>
    </row>
    <row r="1259" spans="2:13" x14ac:dyDescent="0.2">
      <c r="B1259">
        <v>3051</v>
      </c>
      <c r="C1259">
        <v>1</v>
      </c>
      <c r="D1259">
        <v>6</v>
      </c>
      <c r="E1259">
        <v>0.1</v>
      </c>
      <c r="F1259">
        <v>0.6</v>
      </c>
      <c r="G1259">
        <v>0.6</v>
      </c>
      <c r="H1259">
        <v>65</v>
      </c>
      <c r="I1259">
        <v>0</v>
      </c>
      <c r="J1259">
        <v>0</v>
      </c>
      <c r="K1259">
        <v>90.5</v>
      </c>
      <c r="L1259" t="s">
        <v>115</v>
      </c>
      <c r="M1259" t="s">
        <v>116</v>
      </c>
    </row>
    <row r="1260" spans="2:13" x14ac:dyDescent="0.2">
      <c r="B1260">
        <v>3051</v>
      </c>
      <c r="C1260">
        <v>1</v>
      </c>
      <c r="D1260">
        <v>12.1</v>
      </c>
      <c r="E1260">
        <v>0.2</v>
      </c>
      <c r="F1260">
        <v>0.6</v>
      </c>
      <c r="G1260">
        <v>0.7</v>
      </c>
      <c r="H1260">
        <v>130</v>
      </c>
      <c r="I1260">
        <v>2</v>
      </c>
      <c r="J1260">
        <v>0</v>
      </c>
      <c r="K1260">
        <v>90</v>
      </c>
      <c r="L1260" t="s">
        <v>128</v>
      </c>
      <c r="M1260" t="s">
        <v>116</v>
      </c>
    </row>
    <row r="1261" spans="2:13" x14ac:dyDescent="0.2">
      <c r="B1261">
        <v>3051</v>
      </c>
      <c r="C1261">
        <v>1</v>
      </c>
      <c r="D1261">
        <v>12.9</v>
      </c>
      <c r="E1261">
        <v>0.22</v>
      </c>
      <c r="F1261">
        <v>0.7</v>
      </c>
      <c r="G1261">
        <v>0.7</v>
      </c>
      <c r="H1261">
        <v>141</v>
      </c>
      <c r="I1261">
        <v>2</v>
      </c>
      <c r="J1261">
        <v>1</v>
      </c>
      <c r="K1261">
        <v>79.900000000000006</v>
      </c>
      <c r="L1261" t="s">
        <v>117</v>
      </c>
      <c r="M1261" t="s">
        <v>118</v>
      </c>
    </row>
    <row r="1262" spans="2:13" x14ac:dyDescent="0.2">
      <c r="B1262">
        <v>3051</v>
      </c>
      <c r="C1262">
        <v>2</v>
      </c>
      <c r="D1262">
        <v>0</v>
      </c>
      <c r="E1262">
        <v>0</v>
      </c>
      <c r="F1262">
        <v>0.6</v>
      </c>
      <c r="G1262">
        <v>0.6</v>
      </c>
      <c r="H1262">
        <v>0</v>
      </c>
      <c r="I1262">
        <v>0</v>
      </c>
      <c r="J1262">
        <v>0</v>
      </c>
      <c r="K1262">
        <v>50</v>
      </c>
      <c r="L1262" t="s">
        <v>113</v>
      </c>
      <c r="M1262" t="s">
        <v>114</v>
      </c>
    </row>
    <row r="1263" spans="2:13" x14ac:dyDescent="0.2">
      <c r="B1263">
        <v>3051</v>
      </c>
      <c r="C1263">
        <v>2</v>
      </c>
      <c r="D1263">
        <v>6</v>
      </c>
      <c r="E1263">
        <v>0.1</v>
      </c>
      <c r="F1263">
        <v>0.6</v>
      </c>
      <c r="G1263">
        <v>0.6</v>
      </c>
      <c r="H1263">
        <v>65</v>
      </c>
      <c r="I1263">
        <v>0</v>
      </c>
      <c r="J1263">
        <v>0</v>
      </c>
      <c r="K1263">
        <v>41.7</v>
      </c>
      <c r="L1263" t="s">
        <v>115</v>
      </c>
      <c r="M1263" t="s">
        <v>116</v>
      </c>
    </row>
    <row r="1264" spans="2:13" x14ac:dyDescent="0.2">
      <c r="B1264">
        <v>3051</v>
      </c>
      <c r="C1264">
        <v>2</v>
      </c>
      <c r="D1264">
        <v>6.1</v>
      </c>
      <c r="E1264">
        <v>0.1</v>
      </c>
      <c r="F1264">
        <v>0.6</v>
      </c>
      <c r="G1264">
        <v>0.6</v>
      </c>
      <c r="H1264">
        <v>66</v>
      </c>
      <c r="I1264">
        <v>0</v>
      </c>
      <c r="J1264">
        <v>1</v>
      </c>
      <c r="K1264">
        <v>41.8</v>
      </c>
      <c r="L1264" t="s">
        <v>117</v>
      </c>
      <c r="M1264" t="s">
        <v>118</v>
      </c>
    </row>
    <row r="1265" spans="2:13" x14ac:dyDescent="0.2">
      <c r="B1265">
        <v>3051</v>
      </c>
      <c r="C1265">
        <v>2</v>
      </c>
      <c r="D1265">
        <v>12.1</v>
      </c>
      <c r="E1265">
        <v>0.2</v>
      </c>
      <c r="F1265">
        <v>0.6</v>
      </c>
      <c r="G1265">
        <v>0.6</v>
      </c>
      <c r="H1265">
        <v>130</v>
      </c>
      <c r="I1265">
        <v>2</v>
      </c>
      <c r="J1265">
        <v>1</v>
      </c>
      <c r="K1265">
        <v>65</v>
      </c>
      <c r="L1265" t="s">
        <v>121</v>
      </c>
      <c r="M1265" t="s">
        <v>116</v>
      </c>
    </row>
    <row r="1266" spans="2:13" x14ac:dyDescent="0.2">
      <c r="B1266">
        <v>3051</v>
      </c>
      <c r="C1266">
        <v>2</v>
      </c>
      <c r="D1266">
        <v>13.8</v>
      </c>
      <c r="E1266">
        <v>0.23</v>
      </c>
      <c r="F1266">
        <v>0.6</v>
      </c>
      <c r="G1266">
        <v>0.6</v>
      </c>
      <c r="H1266">
        <v>149</v>
      </c>
      <c r="I1266">
        <v>3</v>
      </c>
      <c r="J1266">
        <v>2</v>
      </c>
      <c r="K1266">
        <v>56.5</v>
      </c>
      <c r="L1266" t="s">
        <v>123</v>
      </c>
      <c r="M1266" t="s">
        <v>118</v>
      </c>
    </row>
    <row r="1267" spans="2:13" x14ac:dyDescent="0.2">
      <c r="B1267">
        <v>3051</v>
      </c>
      <c r="C1267">
        <v>2</v>
      </c>
      <c r="D1267">
        <v>18.100000000000001</v>
      </c>
      <c r="E1267">
        <v>0.3</v>
      </c>
      <c r="F1267">
        <v>0.6</v>
      </c>
      <c r="G1267">
        <v>0.6</v>
      </c>
      <c r="H1267">
        <v>195</v>
      </c>
      <c r="I1267">
        <v>6</v>
      </c>
      <c r="J1267">
        <v>2</v>
      </c>
      <c r="K1267">
        <v>56.6</v>
      </c>
      <c r="L1267" t="s">
        <v>132</v>
      </c>
      <c r="M1267" t="s">
        <v>116</v>
      </c>
    </row>
    <row r="1268" spans="2:13" x14ac:dyDescent="0.2">
      <c r="B1268">
        <v>3051</v>
      </c>
      <c r="C1268">
        <v>3</v>
      </c>
      <c r="D1268">
        <v>0</v>
      </c>
      <c r="E1268">
        <v>0</v>
      </c>
      <c r="F1268">
        <v>0.6</v>
      </c>
      <c r="G1268">
        <v>0.6</v>
      </c>
      <c r="H1268">
        <v>0</v>
      </c>
      <c r="I1268">
        <v>0</v>
      </c>
      <c r="J1268">
        <v>0</v>
      </c>
      <c r="K1268">
        <v>50</v>
      </c>
      <c r="L1268" t="s">
        <v>113</v>
      </c>
      <c r="M1268" t="s">
        <v>114</v>
      </c>
    </row>
    <row r="1269" spans="2:13" x14ac:dyDescent="0.2">
      <c r="B1269">
        <v>3051</v>
      </c>
      <c r="C1269">
        <v>3</v>
      </c>
      <c r="D1269">
        <v>6</v>
      </c>
      <c r="E1269">
        <v>0.1</v>
      </c>
      <c r="F1269">
        <v>0.6</v>
      </c>
      <c r="G1269">
        <v>0.6</v>
      </c>
      <c r="H1269">
        <v>65</v>
      </c>
      <c r="I1269">
        <v>0</v>
      </c>
      <c r="J1269">
        <v>0</v>
      </c>
      <c r="K1269">
        <v>38.799999999999997</v>
      </c>
      <c r="L1269" t="s">
        <v>115</v>
      </c>
      <c r="M1269" t="s">
        <v>116</v>
      </c>
    </row>
    <row r="1270" spans="2:13" x14ac:dyDescent="0.2">
      <c r="B1270">
        <v>3051</v>
      </c>
      <c r="C1270">
        <v>3</v>
      </c>
      <c r="D1270">
        <v>8.6999999999999993</v>
      </c>
      <c r="E1270">
        <v>0.15</v>
      </c>
      <c r="F1270">
        <v>0.6</v>
      </c>
      <c r="G1270">
        <v>0.6</v>
      </c>
      <c r="H1270">
        <v>95</v>
      </c>
      <c r="I1270">
        <v>3</v>
      </c>
      <c r="J1270">
        <v>1</v>
      </c>
      <c r="K1270">
        <v>63.6</v>
      </c>
      <c r="L1270" t="s">
        <v>122</v>
      </c>
      <c r="M1270" t="s">
        <v>118</v>
      </c>
    </row>
    <row r="1271" spans="2:13" x14ac:dyDescent="0.2">
      <c r="B1271">
        <v>3051</v>
      </c>
      <c r="C1271">
        <v>3</v>
      </c>
      <c r="D1271">
        <v>11.4</v>
      </c>
      <c r="E1271">
        <v>0.19</v>
      </c>
      <c r="F1271">
        <v>0.6</v>
      </c>
      <c r="G1271">
        <v>0.6</v>
      </c>
      <c r="H1271">
        <v>123</v>
      </c>
      <c r="I1271">
        <v>3</v>
      </c>
      <c r="J1271">
        <v>2</v>
      </c>
      <c r="K1271">
        <v>56.1</v>
      </c>
      <c r="L1271" t="s">
        <v>119</v>
      </c>
      <c r="M1271" t="s">
        <v>118</v>
      </c>
    </row>
    <row r="1272" spans="2:13" x14ac:dyDescent="0.2">
      <c r="B1272">
        <v>3051</v>
      </c>
      <c r="C1272">
        <v>3</v>
      </c>
      <c r="D1272">
        <v>12.1</v>
      </c>
      <c r="E1272">
        <v>0.2</v>
      </c>
      <c r="F1272">
        <v>0.6</v>
      </c>
      <c r="G1272">
        <v>0.45</v>
      </c>
      <c r="H1272">
        <v>130</v>
      </c>
      <c r="I1272">
        <v>4</v>
      </c>
      <c r="J1272">
        <v>2</v>
      </c>
      <c r="K1272">
        <v>55.9</v>
      </c>
      <c r="L1272" t="s">
        <v>120</v>
      </c>
      <c r="M1272" t="s">
        <v>116</v>
      </c>
    </row>
    <row r="1273" spans="2:13" x14ac:dyDescent="0.2">
      <c r="B1273">
        <v>3051</v>
      </c>
      <c r="C1273">
        <v>3</v>
      </c>
      <c r="D1273">
        <v>18.100000000000001</v>
      </c>
      <c r="E1273">
        <v>0.3</v>
      </c>
      <c r="F1273">
        <v>0.45</v>
      </c>
      <c r="G1273">
        <v>0.45</v>
      </c>
      <c r="H1273">
        <v>179</v>
      </c>
      <c r="I1273">
        <v>4</v>
      </c>
      <c r="J1273">
        <v>2</v>
      </c>
      <c r="K1273">
        <v>64.5</v>
      </c>
      <c r="L1273" t="s">
        <v>115</v>
      </c>
      <c r="M1273" t="s">
        <v>116</v>
      </c>
    </row>
    <row r="1274" spans="2:13" x14ac:dyDescent="0.2">
      <c r="B1274">
        <v>3051</v>
      </c>
      <c r="C1274">
        <v>6</v>
      </c>
      <c r="D1274">
        <v>0</v>
      </c>
      <c r="E1274">
        <v>0</v>
      </c>
      <c r="F1274">
        <v>0.6</v>
      </c>
      <c r="G1274">
        <v>0.6</v>
      </c>
      <c r="H1274">
        <v>0</v>
      </c>
      <c r="I1274">
        <v>0</v>
      </c>
      <c r="J1274">
        <v>0</v>
      </c>
      <c r="K1274">
        <v>50</v>
      </c>
      <c r="L1274" t="s">
        <v>113</v>
      </c>
      <c r="M1274" t="s">
        <v>114</v>
      </c>
    </row>
    <row r="1275" spans="2:13" x14ac:dyDescent="0.2">
      <c r="B1275">
        <v>3051</v>
      </c>
      <c r="C1275">
        <v>6</v>
      </c>
      <c r="D1275">
        <v>5.9</v>
      </c>
      <c r="E1275">
        <v>0.1</v>
      </c>
      <c r="F1275">
        <v>0.6</v>
      </c>
      <c r="G1275">
        <v>0.6</v>
      </c>
      <c r="H1275">
        <v>64</v>
      </c>
      <c r="I1275">
        <v>0</v>
      </c>
      <c r="J1275">
        <v>1</v>
      </c>
      <c r="K1275">
        <v>40.700000000000003</v>
      </c>
      <c r="L1275" t="s">
        <v>122</v>
      </c>
      <c r="M1275" t="s">
        <v>118</v>
      </c>
    </row>
    <row r="1276" spans="2:13" x14ac:dyDescent="0.2">
      <c r="B1276">
        <v>3051</v>
      </c>
      <c r="C1276">
        <v>6</v>
      </c>
      <c r="D1276">
        <v>6</v>
      </c>
      <c r="E1276">
        <v>0.1</v>
      </c>
      <c r="F1276">
        <v>0.6</v>
      </c>
      <c r="G1276">
        <v>0.6</v>
      </c>
      <c r="H1276">
        <v>65</v>
      </c>
      <c r="I1276">
        <v>0</v>
      </c>
      <c r="J1276">
        <v>1</v>
      </c>
      <c r="K1276">
        <v>65.900000000000006</v>
      </c>
      <c r="L1276" t="s">
        <v>121</v>
      </c>
      <c r="M1276" t="s">
        <v>116</v>
      </c>
    </row>
    <row r="1277" spans="2:13" x14ac:dyDescent="0.2">
      <c r="B1277">
        <v>3051</v>
      </c>
      <c r="C1277">
        <v>6</v>
      </c>
      <c r="D1277">
        <v>7.3</v>
      </c>
      <c r="E1277">
        <v>0.12</v>
      </c>
      <c r="F1277">
        <v>0.6</v>
      </c>
      <c r="G1277">
        <v>0.6</v>
      </c>
      <c r="H1277">
        <v>79</v>
      </c>
      <c r="I1277">
        <v>2</v>
      </c>
      <c r="J1277">
        <v>2</v>
      </c>
      <c r="K1277">
        <v>57.1</v>
      </c>
      <c r="L1277" t="s">
        <v>119</v>
      </c>
      <c r="M1277" t="s">
        <v>118</v>
      </c>
    </row>
    <row r="1278" spans="2:13" x14ac:dyDescent="0.2">
      <c r="B1278">
        <v>3051</v>
      </c>
      <c r="C1278">
        <v>6</v>
      </c>
      <c r="D1278">
        <v>12.1</v>
      </c>
      <c r="E1278">
        <v>0.2</v>
      </c>
      <c r="F1278">
        <v>0.6</v>
      </c>
      <c r="G1278">
        <v>0.6</v>
      </c>
      <c r="H1278">
        <v>130</v>
      </c>
      <c r="I1278">
        <v>5</v>
      </c>
      <c r="J1278">
        <v>2</v>
      </c>
      <c r="K1278">
        <v>70.7</v>
      </c>
      <c r="L1278" t="s">
        <v>124</v>
      </c>
      <c r="M1278" t="s">
        <v>116</v>
      </c>
    </row>
    <row r="1279" spans="2:13" x14ac:dyDescent="0.2">
      <c r="B1279">
        <v>3051</v>
      </c>
      <c r="C1279">
        <v>6</v>
      </c>
      <c r="D1279">
        <v>17.399999999999999</v>
      </c>
      <c r="E1279">
        <v>0.28999999999999998</v>
      </c>
      <c r="F1279">
        <v>0.6</v>
      </c>
      <c r="G1279">
        <v>0.6</v>
      </c>
      <c r="H1279">
        <v>188</v>
      </c>
      <c r="I1279">
        <v>9</v>
      </c>
      <c r="J1279">
        <v>3</v>
      </c>
      <c r="K1279">
        <v>66.400000000000006</v>
      </c>
      <c r="L1279" t="s">
        <v>147</v>
      </c>
      <c r="M1279" t="s">
        <v>118</v>
      </c>
    </row>
    <row r="1280" spans="2:13" x14ac:dyDescent="0.2">
      <c r="B1280">
        <v>3051</v>
      </c>
      <c r="C1280">
        <v>6</v>
      </c>
      <c r="D1280">
        <v>18.100000000000001</v>
      </c>
      <c r="E1280">
        <v>0.3</v>
      </c>
      <c r="F1280">
        <v>0.6</v>
      </c>
      <c r="G1280">
        <v>0.6</v>
      </c>
      <c r="H1280">
        <v>195</v>
      </c>
      <c r="I1280">
        <v>9</v>
      </c>
      <c r="J1280">
        <v>3</v>
      </c>
      <c r="K1280">
        <v>66.099999999999994</v>
      </c>
      <c r="L1280" t="s">
        <v>132</v>
      </c>
      <c r="M1280" t="s">
        <v>116</v>
      </c>
    </row>
    <row r="1281" spans="2:13" x14ac:dyDescent="0.2">
      <c r="B1281">
        <v>3051</v>
      </c>
      <c r="C1281">
        <v>7</v>
      </c>
      <c r="D1281">
        <v>0</v>
      </c>
      <c r="E1281">
        <v>0</v>
      </c>
      <c r="F1281">
        <v>0.6</v>
      </c>
      <c r="G1281">
        <v>0.6</v>
      </c>
      <c r="H1281">
        <v>0</v>
      </c>
      <c r="I1281">
        <v>0</v>
      </c>
      <c r="J1281">
        <v>0</v>
      </c>
      <c r="K1281">
        <v>50</v>
      </c>
      <c r="L1281" t="s">
        <v>113</v>
      </c>
      <c r="M1281" t="s">
        <v>114</v>
      </c>
    </row>
    <row r="1282" spans="2:13" x14ac:dyDescent="0.2">
      <c r="B1282">
        <v>3051</v>
      </c>
      <c r="C1282">
        <v>7</v>
      </c>
      <c r="D1282">
        <v>6</v>
      </c>
      <c r="E1282">
        <v>0.1</v>
      </c>
      <c r="F1282">
        <v>0.6</v>
      </c>
      <c r="G1282">
        <v>0.6</v>
      </c>
      <c r="H1282">
        <v>65</v>
      </c>
      <c r="I1282">
        <v>1</v>
      </c>
      <c r="J1282">
        <v>0</v>
      </c>
      <c r="K1282">
        <v>40.9</v>
      </c>
      <c r="L1282" t="s">
        <v>115</v>
      </c>
      <c r="M1282" t="s">
        <v>116</v>
      </c>
    </row>
    <row r="1283" spans="2:13" x14ac:dyDescent="0.2">
      <c r="B1283">
        <v>3051</v>
      </c>
      <c r="C1283">
        <v>7</v>
      </c>
      <c r="D1283">
        <v>8.5</v>
      </c>
      <c r="E1283">
        <v>0.14000000000000001</v>
      </c>
      <c r="F1283">
        <v>0.6</v>
      </c>
      <c r="G1283">
        <v>0.6</v>
      </c>
      <c r="H1283">
        <v>92</v>
      </c>
      <c r="I1283">
        <v>3</v>
      </c>
      <c r="J1283">
        <v>1</v>
      </c>
      <c r="K1283">
        <v>64.5</v>
      </c>
      <c r="L1283" t="s">
        <v>117</v>
      </c>
      <c r="M1283" t="s">
        <v>118</v>
      </c>
    </row>
    <row r="1284" spans="2:13" x14ac:dyDescent="0.2">
      <c r="B1284">
        <v>3051</v>
      </c>
      <c r="C1284">
        <v>7</v>
      </c>
      <c r="D1284">
        <v>12.1</v>
      </c>
      <c r="E1284">
        <v>0.2</v>
      </c>
      <c r="F1284">
        <v>0.6</v>
      </c>
      <c r="G1284">
        <v>0.6</v>
      </c>
      <c r="H1284">
        <v>130</v>
      </c>
      <c r="I1284">
        <v>6</v>
      </c>
      <c r="J1284">
        <v>1</v>
      </c>
      <c r="K1284">
        <v>65.5</v>
      </c>
      <c r="L1284" t="s">
        <v>121</v>
      </c>
      <c r="M1284" t="s">
        <v>116</v>
      </c>
    </row>
    <row r="1285" spans="2:13" x14ac:dyDescent="0.2">
      <c r="B1285">
        <v>3051</v>
      </c>
      <c r="C1285">
        <v>7</v>
      </c>
      <c r="D1285">
        <v>18.100000000000001</v>
      </c>
      <c r="E1285">
        <v>0.3</v>
      </c>
      <c r="F1285">
        <v>0.6</v>
      </c>
      <c r="G1285">
        <v>0.6</v>
      </c>
      <c r="H1285">
        <v>195</v>
      </c>
      <c r="I1285">
        <v>9</v>
      </c>
      <c r="J1285">
        <v>1</v>
      </c>
      <c r="K1285">
        <v>66</v>
      </c>
      <c r="L1285" t="s">
        <v>115</v>
      </c>
      <c r="M1285" t="s">
        <v>116</v>
      </c>
    </row>
    <row r="1286" spans="2:13" x14ac:dyDescent="0.2">
      <c r="B1286">
        <v>3052</v>
      </c>
      <c r="C1286">
        <v>1</v>
      </c>
      <c r="D1286">
        <v>0</v>
      </c>
      <c r="E1286">
        <v>0</v>
      </c>
      <c r="F1286">
        <v>0.6</v>
      </c>
      <c r="G1286">
        <v>0.6</v>
      </c>
      <c r="H1286">
        <v>0</v>
      </c>
      <c r="I1286">
        <v>0</v>
      </c>
      <c r="J1286">
        <v>0</v>
      </c>
      <c r="K1286">
        <v>50</v>
      </c>
      <c r="L1286" t="s">
        <v>113</v>
      </c>
      <c r="M1286" t="s">
        <v>114</v>
      </c>
    </row>
    <row r="1287" spans="2:13" x14ac:dyDescent="0.2">
      <c r="B1287">
        <v>3052</v>
      </c>
      <c r="C1287">
        <v>1</v>
      </c>
      <c r="D1287">
        <v>6</v>
      </c>
      <c r="E1287">
        <v>0.1</v>
      </c>
      <c r="F1287">
        <v>0.6</v>
      </c>
      <c r="G1287">
        <v>0.6</v>
      </c>
      <c r="H1287">
        <v>65</v>
      </c>
      <c r="I1287">
        <v>1</v>
      </c>
      <c r="J1287">
        <v>0</v>
      </c>
      <c r="K1287">
        <v>42.6</v>
      </c>
      <c r="L1287" t="s">
        <v>115</v>
      </c>
      <c r="M1287" t="s">
        <v>116</v>
      </c>
    </row>
    <row r="1288" spans="2:13" x14ac:dyDescent="0.2">
      <c r="B1288">
        <v>3052</v>
      </c>
      <c r="C1288">
        <v>1</v>
      </c>
      <c r="D1288">
        <v>6.6</v>
      </c>
      <c r="E1288">
        <v>0.11</v>
      </c>
      <c r="F1288">
        <v>0.6</v>
      </c>
      <c r="G1288">
        <v>0.6</v>
      </c>
      <c r="H1288">
        <v>71</v>
      </c>
      <c r="I1288">
        <v>1</v>
      </c>
      <c r="J1288">
        <v>1</v>
      </c>
      <c r="K1288">
        <v>42.4</v>
      </c>
      <c r="L1288" t="s">
        <v>122</v>
      </c>
      <c r="M1288" t="s">
        <v>118</v>
      </c>
    </row>
    <row r="1289" spans="2:13" x14ac:dyDescent="0.2">
      <c r="B1289">
        <v>3052</v>
      </c>
      <c r="C1289">
        <v>1</v>
      </c>
      <c r="D1289">
        <v>12.1</v>
      </c>
      <c r="E1289">
        <v>0.2</v>
      </c>
      <c r="F1289">
        <v>0.6</v>
      </c>
      <c r="G1289">
        <v>0.6</v>
      </c>
      <c r="H1289">
        <v>130</v>
      </c>
      <c r="I1289">
        <v>3</v>
      </c>
      <c r="J1289">
        <v>1</v>
      </c>
      <c r="K1289">
        <v>80.7</v>
      </c>
      <c r="L1289" t="s">
        <v>136</v>
      </c>
      <c r="M1289" t="s">
        <v>116</v>
      </c>
    </row>
    <row r="1290" spans="2:13" x14ac:dyDescent="0.2">
      <c r="B1290">
        <v>3052</v>
      </c>
      <c r="C1290">
        <v>1</v>
      </c>
      <c r="D1290">
        <v>12.7</v>
      </c>
      <c r="E1290">
        <v>0.21</v>
      </c>
      <c r="F1290">
        <v>0.6</v>
      </c>
      <c r="G1290">
        <v>0.6</v>
      </c>
      <c r="H1290">
        <v>137</v>
      </c>
      <c r="I1290">
        <v>3</v>
      </c>
      <c r="J1290">
        <v>2</v>
      </c>
      <c r="K1290">
        <v>73.5</v>
      </c>
      <c r="L1290" t="s">
        <v>119</v>
      </c>
      <c r="M1290" t="s">
        <v>118</v>
      </c>
    </row>
    <row r="1291" spans="2:13" x14ac:dyDescent="0.2">
      <c r="B1291">
        <v>3052</v>
      </c>
      <c r="C1291">
        <v>1</v>
      </c>
      <c r="D1291">
        <v>18.100000000000001</v>
      </c>
      <c r="E1291">
        <v>0.3</v>
      </c>
      <c r="F1291">
        <v>0.6</v>
      </c>
      <c r="G1291">
        <v>0.6</v>
      </c>
      <c r="H1291">
        <v>195</v>
      </c>
      <c r="I1291">
        <v>6</v>
      </c>
      <c r="J1291">
        <v>2</v>
      </c>
      <c r="K1291">
        <v>73.5</v>
      </c>
      <c r="L1291" t="s">
        <v>132</v>
      </c>
      <c r="M1291" t="s">
        <v>116</v>
      </c>
    </row>
    <row r="1292" spans="2:13" x14ac:dyDescent="0.2">
      <c r="B1292">
        <v>3052</v>
      </c>
      <c r="C1292">
        <v>2</v>
      </c>
      <c r="D1292">
        <v>0</v>
      </c>
      <c r="E1292">
        <v>0</v>
      </c>
      <c r="F1292">
        <v>0.6</v>
      </c>
      <c r="G1292">
        <v>0.6</v>
      </c>
      <c r="H1292">
        <v>0</v>
      </c>
      <c r="I1292">
        <v>0</v>
      </c>
      <c r="J1292">
        <v>0</v>
      </c>
      <c r="K1292">
        <v>50</v>
      </c>
      <c r="L1292" t="s">
        <v>113</v>
      </c>
      <c r="M1292" t="s">
        <v>114</v>
      </c>
    </row>
    <row r="1293" spans="2:13" x14ac:dyDescent="0.2">
      <c r="B1293">
        <v>3052</v>
      </c>
      <c r="C1293">
        <v>2</v>
      </c>
      <c r="D1293">
        <v>6</v>
      </c>
      <c r="E1293">
        <v>0.1</v>
      </c>
      <c r="F1293">
        <v>0.6</v>
      </c>
      <c r="G1293">
        <v>0.6</v>
      </c>
      <c r="H1293">
        <v>65</v>
      </c>
      <c r="I1293">
        <v>0</v>
      </c>
      <c r="J1293">
        <v>0</v>
      </c>
      <c r="K1293">
        <v>43.8</v>
      </c>
      <c r="L1293" t="s">
        <v>115</v>
      </c>
      <c r="M1293" t="s">
        <v>116</v>
      </c>
    </row>
    <row r="1294" spans="2:13" x14ac:dyDescent="0.2">
      <c r="B1294">
        <v>3052</v>
      </c>
      <c r="C1294">
        <v>2</v>
      </c>
      <c r="D1294">
        <v>9.6999999999999993</v>
      </c>
      <c r="E1294">
        <v>0.16</v>
      </c>
      <c r="F1294">
        <v>0.6</v>
      </c>
      <c r="G1294">
        <v>0.6</v>
      </c>
      <c r="H1294">
        <v>104</v>
      </c>
      <c r="I1294">
        <v>2</v>
      </c>
      <c r="J1294">
        <v>1</v>
      </c>
      <c r="K1294">
        <v>78.400000000000006</v>
      </c>
      <c r="L1294" t="s">
        <v>122</v>
      </c>
      <c r="M1294" t="s">
        <v>118</v>
      </c>
    </row>
    <row r="1295" spans="2:13" x14ac:dyDescent="0.2">
      <c r="B1295">
        <v>3052</v>
      </c>
      <c r="C1295">
        <v>2</v>
      </c>
      <c r="D1295">
        <v>12.1</v>
      </c>
      <c r="E1295">
        <v>0.2</v>
      </c>
      <c r="F1295">
        <v>0.6</v>
      </c>
      <c r="G1295">
        <v>0.6</v>
      </c>
      <c r="H1295">
        <v>130</v>
      </c>
      <c r="I1295">
        <v>2</v>
      </c>
      <c r="J1295">
        <v>1</v>
      </c>
      <c r="K1295">
        <v>78.400000000000006</v>
      </c>
      <c r="L1295" t="s">
        <v>124</v>
      </c>
      <c r="M1295" t="s">
        <v>116</v>
      </c>
    </row>
    <row r="1296" spans="2:13" x14ac:dyDescent="0.2">
      <c r="B1296">
        <v>3052</v>
      </c>
      <c r="C1296">
        <v>2</v>
      </c>
      <c r="D1296">
        <v>15.1</v>
      </c>
      <c r="E1296">
        <v>0.25</v>
      </c>
      <c r="F1296">
        <v>0.6</v>
      </c>
      <c r="G1296">
        <v>0.6</v>
      </c>
      <c r="H1296">
        <v>163</v>
      </c>
      <c r="I1296">
        <v>3</v>
      </c>
      <c r="J1296">
        <v>2</v>
      </c>
      <c r="K1296">
        <v>75.400000000000006</v>
      </c>
      <c r="L1296" t="s">
        <v>123</v>
      </c>
      <c r="M1296" t="s">
        <v>118</v>
      </c>
    </row>
    <row r="1297" spans="2:13" x14ac:dyDescent="0.2">
      <c r="B1297">
        <v>3052</v>
      </c>
      <c r="C1297">
        <v>2</v>
      </c>
      <c r="D1297">
        <v>18.100000000000001</v>
      </c>
      <c r="E1297">
        <v>0.3</v>
      </c>
      <c r="F1297">
        <v>0.6</v>
      </c>
      <c r="G1297">
        <v>0.6</v>
      </c>
      <c r="H1297">
        <v>195</v>
      </c>
      <c r="I1297">
        <v>4</v>
      </c>
      <c r="J1297">
        <v>2</v>
      </c>
      <c r="K1297">
        <v>75.3</v>
      </c>
      <c r="L1297" t="s">
        <v>121</v>
      </c>
      <c r="M1297" t="s">
        <v>116</v>
      </c>
    </row>
    <row r="1298" spans="2:13" x14ac:dyDescent="0.2">
      <c r="B1298">
        <v>3052</v>
      </c>
      <c r="C1298">
        <v>3</v>
      </c>
      <c r="D1298">
        <v>0</v>
      </c>
      <c r="E1298">
        <v>0</v>
      </c>
      <c r="F1298">
        <v>0.6</v>
      </c>
      <c r="G1298">
        <v>0.6</v>
      </c>
      <c r="H1298">
        <v>0</v>
      </c>
      <c r="I1298">
        <v>0</v>
      </c>
      <c r="J1298">
        <v>0</v>
      </c>
      <c r="K1298">
        <v>50</v>
      </c>
      <c r="L1298" t="s">
        <v>113</v>
      </c>
      <c r="M1298" t="s">
        <v>114</v>
      </c>
    </row>
    <row r="1299" spans="2:13" x14ac:dyDescent="0.2">
      <c r="B1299">
        <v>3052</v>
      </c>
      <c r="C1299">
        <v>3</v>
      </c>
      <c r="D1299">
        <v>6</v>
      </c>
      <c r="E1299">
        <v>0.1</v>
      </c>
      <c r="F1299">
        <v>0.6</v>
      </c>
      <c r="G1299">
        <v>0.6</v>
      </c>
      <c r="H1299">
        <v>65</v>
      </c>
      <c r="I1299">
        <v>0</v>
      </c>
      <c r="J1299">
        <v>0</v>
      </c>
      <c r="K1299">
        <v>42.6</v>
      </c>
      <c r="L1299" t="s">
        <v>115</v>
      </c>
      <c r="M1299" t="s">
        <v>116</v>
      </c>
    </row>
    <row r="1300" spans="2:13" x14ac:dyDescent="0.2">
      <c r="B1300">
        <v>3052</v>
      </c>
      <c r="C1300">
        <v>3</v>
      </c>
      <c r="D1300">
        <v>12.1</v>
      </c>
      <c r="E1300">
        <v>0.2</v>
      </c>
      <c r="F1300">
        <v>0.6</v>
      </c>
      <c r="G1300">
        <v>0.7</v>
      </c>
      <c r="H1300">
        <v>130</v>
      </c>
      <c r="I1300">
        <v>3</v>
      </c>
      <c r="J1300">
        <v>0</v>
      </c>
      <c r="K1300">
        <v>94</v>
      </c>
      <c r="L1300" t="s">
        <v>128</v>
      </c>
      <c r="M1300" t="s">
        <v>116</v>
      </c>
    </row>
    <row r="1301" spans="2:13" x14ac:dyDescent="0.2">
      <c r="B1301">
        <v>3052</v>
      </c>
      <c r="C1301">
        <v>3</v>
      </c>
      <c r="D1301">
        <v>12.4</v>
      </c>
      <c r="E1301">
        <v>0.21</v>
      </c>
      <c r="F1301">
        <v>0.7</v>
      </c>
      <c r="G1301">
        <v>0.7</v>
      </c>
      <c r="H1301">
        <v>134</v>
      </c>
      <c r="I1301">
        <v>4</v>
      </c>
      <c r="J1301">
        <v>1</v>
      </c>
      <c r="K1301">
        <v>87</v>
      </c>
      <c r="L1301" t="s">
        <v>142</v>
      </c>
      <c r="M1301" t="s">
        <v>118</v>
      </c>
    </row>
    <row r="1302" spans="2:13" x14ac:dyDescent="0.2">
      <c r="B1302">
        <v>3052</v>
      </c>
      <c r="C1302">
        <v>3</v>
      </c>
      <c r="D1302">
        <v>16</v>
      </c>
      <c r="E1302">
        <v>0.27</v>
      </c>
      <c r="F1302">
        <v>0.7</v>
      </c>
      <c r="G1302">
        <v>0.7</v>
      </c>
      <c r="H1302">
        <v>179</v>
      </c>
      <c r="I1302">
        <v>9</v>
      </c>
      <c r="J1302">
        <v>2</v>
      </c>
      <c r="K1302">
        <v>84.7</v>
      </c>
      <c r="L1302" t="s">
        <v>127</v>
      </c>
      <c r="M1302" t="s">
        <v>118</v>
      </c>
    </row>
    <row r="1303" spans="2:13" x14ac:dyDescent="0.2">
      <c r="B1303">
        <v>3052</v>
      </c>
      <c r="C1303">
        <v>4</v>
      </c>
      <c r="D1303">
        <v>0</v>
      </c>
      <c r="E1303">
        <v>0</v>
      </c>
      <c r="F1303">
        <v>0.6</v>
      </c>
      <c r="G1303">
        <v>0.6</v>
      </c>
      <c r="H1303">
        <v>0</v>
      </c>
      <c r="I1303">
        <v>0</v>
      </c>
      <c r="J1303">
        <v>0</v>
      </c>
      <c r="K1303">
        <v>50</v>
      </c>
      <c r="L1303" t="s">
        <v>113</v>
      </c>
      <c r="M1303" t="s">
        <v>114</v>
      </c>
    </row>
    <row r="1304" spans="2:13" x14ac:dyDescent="0.2">
      <c r="B1304">
        <v>3052</v>
      </c>
      <c r="C1304">
        <v>4</v>
      </c>
      <c r="D1304">
        <v>6</v>
      </c>
      <c r="E1304">
        <v>0.1</v>
      </c>
      <c r="F1304">
        <v>0.6</v>
      </c>
      <c r="G1304">
        <v>0.6</v>
      </c>
      <c r="H1304">
        <v>65</v>
      </c>
      <c r="I1304">
        <v>0</v>
      </c>
      <c r="J1304">
        <v>0</v>
      </c>
      <c r="K1304">
        <v>45.5</v>
      </c>
      <c r="L1304" t="s">
        <v>115</v>
      </c>
      <c r="M1304" t="s">
        <v>116</v>
      </c>
    </row>
    <row r="1305" spans="2:13" x14ac:dyDescent="0.2">
      <c r="B1305">
        <v>3052</v>
      </c>
      <c r="C1305">
        <v>4</v>
      </c>
      <c r="D1305">
        <v>12.1</v>
      </c>
      <c r="E1305">
        <v>0.2</v>
      </c>
      <c r="F1305">
        <v>0.6</v>
      </c>
      <c r="G1305">
        <v>0.6</v>
      </c>
      <c r="H1305">
        <v>130</v>
      </c>
      <c r="I1305">
        <v>3</v>
      </c>
      <c r="J1305">
        <v>0</v>
      </c>
      <c r="K1305">
        <v>45.2</v>
      </c>
      <c r="L1305" t="s">
        <v>115</v>
      </c>
      <c r="M1305" t="s">
        <v>116</v>
      </c>
    </row>
    <row r="1306" spans="2:13" x14ac:dyDescent="0.2">
      <c r="B1306">
        <v>3052</v>
      </c>
      <c r="C1306">
        <v>4</v>
      </c>
      <c r="D1306">
        <v>18.100000000000001</v>
      </c>
      <c r="E1306">
        <v>0.3</v>
      </c>
      <c r="F1306">
        <v>0.6</v>
      </c>
      <c r="G1306">
        <v>0.6</v>
      </c>
      <c r="H1306">
        <v>195</v>
      </c>
      <c r="I1306">
        <v>4</v>
      </c>
      <c r="J1306">
        <v>0</v>
      </c>
      <c r="K1306">
        <v>93.8</v>
      </c>
      <c r="L1306" t="s">
        <v>115</v>
      </c>
      <c r="M1306" t="s">
        <v>116</v>
      </c>
    </row>
    <row r="1307" spans="2:13" x14ac:dyDescent="0.2">
      <c r="B1307">
        <v>3052</v>
      </c>
      <c r="C1307">
        <v>5</v>
      </c>
      <c r="D1307">
        <v>0</v>
      </c>
      <c r="E1307">
        <v>0</v>
      </c>
      <c r="F1307">
        <v>0.6</v>
      </c>
      <c r="G1307">
        <v>0.6</v>
      </c>
      <c r="H1307">
        <v>0</v>
      </c>
      <c r="I1307">
        <v>0</v>
      </c>
      <c r="J1307">
        <v>0</v>
      </c>
      <c r="K1307">
        <v>50</v>
      </c>
      <c r="L1307" t="s">
        <v>113</v>
      </c>
      <c r="M1307" t="s">
        <v>114</v>
      </c>
    </row>
    <row r="1308" spans="2:13" x14ac:dyDescent="0.2">
      <c r="B1308">
        <v>3052</v>
      </c>
      <c r="C1308">
        <v>5</v>
      </c>
      <c r="D1308">
        <v>6</v>
      </c>
      <c r="E1308">
        <v>0.1</v>
      </c>
      <c r="F1308">
        <v>0.6</v>
      </c>
      <c r="G1308">
        <v>0.6</v>
      </c>
      <c r="H1308">
        <v>65</v>
      </c>
      <c r="I1308">
        <v>0</v>
      </c>
      <c r="J1308">
        <v>0</v>
      </c>
      <c r="K1308">
        <v>95.9</v>
      </c>
      <c r="L1308" t="s">
        <v>115</v>
      </c>
      <c r="M1308" t="s">
        <v>116</v>
      </c>
    </row>
    <row r="1309" spans="2:13" x14ac:dyDescent="0.2">
      <c r="B1309">
        <v>3052</v>
      </c>
      <c r="C1309">
        <v>5</v>
      </c>
      <c r="D1309">
        <v>12.1</v>
      </c>
      <c r="E1309">
        <v>0.2</v>
      </c>
      <c r="F1309">
        <v>0.6</v>
      </c>
      <c r="G1309">
        <v>0.7</v>
      </c>
      <c r="H1309">
        <v>130</v>
      </c>
      <c r="I1309">
        <v>3</v>
      </c>
      <c r="J1309">
        <v>0</v>
      </c>
      <c r="K1309">
        <v>95.2</v>
      </c>
      <c r="L1309" t="s">
        <v>128</v>
      </c>
      <c r="M1309" t="s">
        <v>116</v>
      </c>
    </row>
    <row r="1310" spans="2:13" x14ac:dyDescent="0.2">
      <c r="B1310">
        <v>3052</v>
      </c>
      <c r="C1310">
        <v>5</v>
      </c>
      <c r="D1310">
        <v>13.7</v>
      </c>
      <c r="E1310">
        <v>0.23</v>
      </c>
      <c r="F1310">
        <v>0.7</v>
      </c>
      <c r="G1310">
        <v>0.7</v>
      </c>
      <c r="H1310">
        <v>151</v>
      </c>
      <c r="I1310">
        <v>5</v>
      </c>
      <c r="J1310">
        <v>1</v>
      </c>
      <c r="K1310">
        <v>82.8</v>
      </c>
      <c r="L1310" t="s">
        <v>117</v>
      </c>
      <c r="M1310" t="s">
        <v>118</v>
      </c>
    </row>
    <row r="1311" spans="2:13" x14ac:dyDescent="0.2">
      <c r="B1311">
        <v>3053</v>
      </c>
      <c r="C1311">
        <v>1</v>
      </c>
      <c r="D1311">
        <v>0</v>
      </c>
      <c r="E1311">
        <v>0</v>
      </c>
      <c r="F1311">
        <v>0.6</v>
      </c>
      <c r="G1311">
        <v>0.6</v>
      </c>
      <c r="H1311">
        <v>0</v>
      </c>
      <c r="I1311">
        <v>0</v>
      </c>
      <c r="J1311">
        <v>0</v>
      </c>
      <c r="K1311">
        <v>50</v>
      </c>
      <c r="L1311" t="s">
        <v>113</v>
      </c>
      <c r="M1311" t="s">
        <v>114</v>
      </c>
    </row>
    <row r="1312" spans="2:13" x14ac:dyDescent="0.2">
      <c r="B1312">
        <v>3053</v>
      </c>
      <c r="C1312">
        <v>1</v>
      </c>
      <c r="D1312">
        <v>6</v>
      </c>
      <c r="E1312">
        <v>0.1</v>
      </c>
      <c r="F1312">
        <v>0.6</v>
      </c>
      <c r="G1312">
        <v>0.6</v>
      </c>
      <c r="H1312">
        <v>65</v>
      </c>
      <c r="I1312">
        <v>0</v>
      </c>
      <c r="J1312">
        <v>0</v>
      </c>
      <c r="K1312">
        <v>88.4</v>
      </c>
      <c r="L1312" t="s">
        <v>115</v>
      </c>
      <c r="M1312" t="s">
        <v>116</v>
      </c>
    </row>
    <row r="1313" spans="2:13" x14ac:dyDescent="0.2">
      <c r="B1313">
        <v>3053</v>
      </c>
      <c r="C1313">
        <v>1</v>
      </c>
      <c r="D1313">
        <v>6.3</v>
      </c>
      <c r="E1313">
        <v>0.11</v>
      </c>
      <c r="F1313">
        <v>0.6</v>
      </c>
      <c r="G1313">
        <v>0.6</v>
      </c>
      <c r="H1313">
        <v>69</v>
      </c>
      <c r="I1313">
        <v>0</v>
      </c>
      <c r="J1313">
        <v>1</v>
      </c>
      <c r="K1313">
        <v>63.2</v>
      </c>
      <c r="L1313" t="s">
        <v>117</v>
      </c>
      <c r="M1313" t="s">
        <v>118</v>
      </c>
    </row>
    <row r="1314" spans="2:13" x14ac:dyDescent="0.2">
      <c r="B1314">
        <v>3053</v>
      </c>
      <c r="C1314">
        <v>1</v>
      </c>
      <c r="D1314">
        <v>12.1</v>
      </c>
      <c r="E1314">
        <v>0.2</v>
      </c>
      <c r="F1314">
        <v>0.6</v>
      </c>
      <c r="G1314">
        <v>0.6</v>
      </c>
      <c r="H1314">
        <v>130</v>
      </c>
      <c r="I1314">
        <v>3</v>
      </c>
      <c r="J1314">
        <v>1</v>
      </c>
      <c r="K1314">
        <v>79</v>
      </c>
      <c r="L1314" t="s">
        <v>136</v>
      </c>
      <c r="M1314" t="s">
        <v>116</v>
      </c>
    </row>
    <row r="1315" spans="2:13" x14ac:dyDescent="0.2">
      <c r="B1315">
        <v>3053</v>
      </c>
      <c r="C1315">
        <v>1</v>
      </c>
      <c r="D1315">
        <v>14.3</v>
      </c>
      <c r="E1315">
        <v>0.24</v>
      </c>
      <c r="F1315">
        <v>0.6</v>
      </c>
      <c r="G1315">
        <v>0.6</v>
      </c>
      <c r="H1315">
        <v>154</v>
      </c>
      <c r="I1315">
        <v>4</v>
      </c>
      <c r="J1315">
        <v>2</v>
      </c>
      <c r="K1315">
        <v>72.7</v>
      </c>
      <c r="L1315" t="s">
        <v>119</v>
      </c>
      <c r="M1315" t="s">
        <v>118</v>
      </c>
    </row>
    <row r="1316" spans="2:13" x14ac:dyDescent="0.2">
      <c r="B1316">
        <v>3053</v>
      </c>
      <c r="C1316">
        <v>1</v>
      </c>
      <c r="D1316">
        <v>18.100000000000001</v>
      </c>
      <c r="E1316">
        <v>0.3</v>
      </c>
      <c r="F1316">
        <v>0.6</v>
      </c>
      <c r="G1316">
        <v>0.6</v>
      </c>
      <c r="H1316">
        <v>195</v>
      </c>
      <c r="I1316">
        <v>4</v>
      </c>
      <c r="J1316">
        <v>2</v>
      </c>
      <c r="K1316">
        <v>72.8</v>
      </c>
      <c r="L1316" t="s">
        <v>132</v>
      </c>
      <c r="M1316" t="s">
        <v>116</v>
      </c>
    </row>
    <row r="1317" spans="2:13" x14ac:dyDescent="0.2">
      <c r="B1317">
        <v>3053</v>
      </c>
      <c r="C1317">
        <v>2</v>
      </c>
      <c r="D1317">
        <v>0</v>
      </c>
      <c r="E1317">
        <v>0</v>
      </c>
      <c r="F1317">
        <v>0.6</v>
      </c>
      <c r="G1317">
        <v>0.6</v>
      </c>
      <c r="H1317">
        <v>0</v>
      </c>
      <c r="I1317">
        <v>0</v>
      </c>
      <c r="J1317">
        <v>0</v>
      </c>
      <c r="K1317">
        <v>50</v>
      </c>
      <c r="L1317" t="s">
        <v>113</v>
      </c>
      <c r="M1317" t="s">
        <v>114</v>
      </c>
    </row>
    <row r="1318" spans="2:13" x14ac:dyDescent="0.2">
      <c r="B1318">
        <v>3053</v>
      </c>
      <c r="C1318">
        <v>2</v>
      </c>
      <c r="D1318">
        <v>6</v>
      </c>
      <c r="E1318">
        <v>0.1</v>
      </c>
      <c r="F1318">
        <v>0.6</v>
      </c>
      <c r="G1318">
        <v>0.6</v>
      </c>
      <c r="H1318">
        <v>65</v>
      </c>
      <c r="I1318">
        <v>0</v>
      </c>
      <c r="J1318">
        <v>0</v>
      </c>
      <c r="K1318">
        <v>38.799999999999997</v>
      </c>
      <c r="L1318" t="s">
        <v>115</v>
      </c>
      <c r="M1318" t="s">
        <v>116</v>
      </c>
    </row>
    <row r="1319" spans="2:13" x14ac:dyDescent="0.2">
      <c r="B1319">
        <v>3053</v>
      </c>
      <c r="C1319">
        <v>2</v>
      </c>
      <c r="D1319">
        <v>10.9</v>
      </c>
      <c r="E1319">
        <v>0.18</v>
      </c>
      <c r="F1319">
        <v>0.6</v>
      </c>
      <c r="G1319">
        <v>0.6</v>
      </c>
      <c r="H1319">
        <v>117</v>
      </c>
      <c r="I1319">
        <v>3</v>
      </c>
      <c r="J1319">
        <v>1</v>
      </c>
      <c r="K1319">
        <v>40.1</v>
      </c>
      <c r="L1319" t="s">
        <v>142</v>
      </c>
      <c r="M1319" t="s">
        <v>118</v>
      </c>
    </row>
    <row r="1320" spans="2:13" x14ac:dyDescent="0.2">
      <c r="B1320">
        <v>3053</v>
      </c>
      <c r="C1320">
        <v>2</v>
      </c>
      <c r="D1320">
        <v>12.1</v>
      </c>
      <c r="E1320">
        <v>0.2</v>
      </c>
      <c r="F1320">
        <v>0.6</v>
      </c>
      <c r="G1320">
        <v>0.6</v>
      </c>
      <c r="H1320">
        <v>130</v>
      </c>
      <c r="I1320">
        <v>5</v>
      </c>
      <c r="J1320">
        <v>1</v>
      </c>
      <c r="K1320">
        <v>39.799999999999997</v>
      </c>
      <c r="L1320" t="s">
        <v>132</v>
      </c>
      <c r="M1320" t="s">
        <v>116</v>
      </c>
    </row>
    <row r="1321" spans="2:13" x14ac:dyDescent="0.2">
      <c r="B1321">
        <v>3053</v>
      </c>
      <c r="C1321">
        <v>2</v>
      </c>
      <c r="D1321">
        <v>14.3</v>
      </c>
      <c r="E1321">
        <v>0.24</v>
      </c>
      <c r="F1321">
        <v>0.6</v>
      </c>
      <c r="G1321">
        <v>0.6</v>
      </c>
      <c r="H1321">
        <v>154</v>
      </c>
      <c r="I1321">
        <v>8</v>
      </c>
      <c r="J1321">
        <v>2</v>
      </c>
      <c r="K1321">
        <v>40.4</v>
      </c>
      <c r="L1321" t="s">
        <v>119</v>
      </c>
      <c r="M1321" t="s">
        <v>118</v>
      </c>
    </row>
    <row r="1322" spans="2:13" x14ac:dyDescent="0.2">
      <c r="B1322">
        <v>3053</v>
      </c>
      <c r="C1322">
        <v>2</v>
      </c>
      <c r="D1322">
        <v>15.4</v>
      </c>
      <c r="E1322">
        <v>0.26</v>
      </c>
      <c r="F1322">
        <v>0.6</v>
      </c>
      <c r="G1322">
        <v>0.6</v>
      </c>
      <c r="H1322">
        <v>166</v>
      </c>
      <c r="I1322">
        <v>9</v>
      </c>
      <c r="J1322">
        <v>3</v>
      </c>
      <c r="K1322">
        <v>40.6</v>
      </c>
      <c r="L1322" t="s">
        <v>135</v>
      </c>
      <c r="M1322" t="s">
        <v>118</v>
      </c>
    </row>
    <row r="1323" spans="2:13" x14ac:dyDescent="0.2">
      <c r="B1323">
        <v>3053</v>
      </c>
      <c r="C1323">
        <v>2</v>
      </c>
      <c r="D1323">
        <v>18.100000000000001</v>
      </c>
      <c r="E1323">
        <v>0.3</v>
      </c>
      <c r="F1323">
        <v>0.6</v>
      </c>
      <c r="G1323">
        <v>0.45</v>
      </c>
      <c r="H1323">
        <v>195</v>
      </c>
      <c r="I1323">
        <v>12</v>
      </c>
      <c r="J1323">
        <v>3</v>
      </c>
      <c r="K1323">
        <v>53.5</v>
      </c>
      <c r="L1323" t="s">
        <v>120</v>
      </c>
      <c r="M1323" t="s">
        <v>116</v>
      </c>
    </row>
    <row r="1324" spans="2:13" x14ac:dyDescent="0.2">
      <c r="B1324">
        <v>3053</v>
      </c>
      <c r="C1324">
        <v>3</v>
      </c>
      <c r="D1324">
        <v>0</v>
      </c>
      <c r="E1324">
        <v>0</v>
      </c>
      <c r="F1324">
        <v>0.6</v>
      </c>
      <c r="G1324">
        <v>0.6</v>
      </c>
      <c r="H1324">
        <v>0</v>
      </c>
      <c r="I1324">
        <v>0</v>
      </c>
      <c r="J1324">
        <v>0</v>
      </c>
      <c r="K1324">
        <v>50</v>
      </c>
      <c r="L1324" t="s">
        <v>113</v>
      </c>
      <c r="M1324" t="s">
        <v>114</v>
      </c>
    </row>
    <row r="1325" spans="2:13" x14ac:dyDescent="0.2">
      <c r="B1325">
        <v>3053</v>
      </c>
      <c r="C1325">
        <v>3</v>
      </c>
      <c r="D1325">
        <v>6</v>
      </c>
      <c r="E1325">
        <v>0.1</v>
      </c>
      <c r="F1325">
        <v>0.6</v>
      </c>
      <c r="G1325">
        <v>0.6</v>
      </c>
      <c r="H1325">
        <v>65</v>
      </c>
      <c r="I1325">
        <v>0</v>
      </c>
      <c r="J1325">
        <v>0</v>
      </c>
      <c r="K1325">
        <v>40.5</v>
      </c>
      <c r="L1325" t="s">
        <v>115</v>
      </c>
      <c r="M1325" t="s">
        <v>116</v>
      </c>
    </row>
    <row r="1326" spans="2:13" x14ac:dyDescent="0.2">
      <c r="B1326">
        <v>3053</v>
      </c>
      <c r="C1326">
        <v>3</v>
      </c>
      <c r="D1326">
        <v>8.4</v>
      </c>
      <c r="E1326">
        <v>0.14000000000000001</v>
      </c>
      <c r="F1326">
        <v>0.6</v>
      </c>
      <c r="G1326">
        <v>0.6</v>
      </c>
      <c r="H1326">
        <v>91</v>
      </c>
      <c r="I1326">
        <v>1</v>
      </c>
      <c r="J1326">
        <v>1</v>
      </c>
      <c r="K1326">
        <v>40.5</v>
      </c>
      <c r="L1326" t="s">
        <v>122</v>
      </c>
      <c r="M1326" t="s">
        <v>118</v>
      </c>
    </row>
    <row r="1327" spans="2:13" x14ac:dyDescent="0.2">
      <c r="B1327">
        <v>3053</v>
      </c>
      <c r="C1327">
        <v>3</v>
      </c>
      <c r="D1327">
        <v>12</v>
      </c>
      <c r="E1327">
        <v>0.2</v>
      </c>
      <c r="F1327">
        <v>0.6</v>
      </c>
      <c r="G1327">
        <v>0.6</v>
      </c>
      <c r="H1327">
        <v>129</v>
      </c>
      <c r="I1327">
        <v>4</v>
      </c>
      <c r="J1327">
        <v>2</v>
      </c>
      <c r="K1327">
        <v>58.3</v>
      </c>
      <c r="L1327" t="s">
        <v>119</v>
      </c>
      <c r="M1327" t="s">
        <v>118</v>
      </c>
    </row>
    <row r="1328" spans="2:13" x14ac:dyDescent="0.2">
      <c r="B1328">
        <v>3053</v>
      </c>
      <c r="C1328">
        <v>3</v>
      </c>
      <c r="D1328">
        <v>12.1</v>
      </c>
      <c r="E1328">
        <v>0.2</v>
      </c>
      <c r="F1328">
        <v>0.6</v>
      </c>
      <c r="G1328">
        <v>0.45</v>
      </c>
      <c r="H1328">
        <v>130</v>
      </c>
      <c r="I1328">
        <v>4</v>
      </c>
      <c r="J1328">
        <v>2</v>
      </c>
      <c r="K1328">
        <v>58.2</v>
      </c>
      <c r="L1328" t="s">
        <v>120</v>
      </c>
      <c r="M1328" t="s">
        <v>116</v>
      </c>
    </row>
    <row r="1329" spans="2:13" x14ac:dyDescent="0.2">
      <c r="B1329">
        <v>3053</v>
      </c>
      <c r="C1329">
        <v>3</v>
      </c>
      <c r="D1329">
        <v>18.100000000000001</v>
      </c>
      <c r="E1329">
        <v>0.3</v>
      </c>
      <c r="F1329">
        <v>0.45</v>
      </c>
      <c r="G1329">
        <v>0.45</v>
      </c>
      <c r="H1329">
        <v>179</v>
      </c>
      <c r="I1329">
        <v>5</v>
      </c>
      <c r="J1329">
        <v>2</v>
      </c>
      <c r="K1329">
        <v>57.9</v>
      </c>
      <c r="L1329" t="s">
        <v>115</v>
      </c>
      <c r="M1329" t="s">
        <v>116</v>
      </c>
    </row>
    <row r="1330" spans="2:13" x14ac:dyDescent="0.2">
      <c r="B1330">
        <v>3053</v>
      </c>
      <c r="C1330">
        <v>4</v>
      </c>
      <c r="D1330">
        <v>0</v>
      </c>
      <c r="E1330">
        <v>0</v>
      </c>
      <c r="F1330">
        <v>0.6</v>
      </c>
      <c r="G1330">
        <v>0.6</v>
      </c>
      <c r="H1330">
        <v>0</v>
      </c>
      <c r="I1330">
        <v>0</v>
      </c>
      <c r="J1330">
        <v>0</v>
      </c>
      <c r="K1330">
        <v>50</v>
      </c>
      <c r="L1330" t="s">
        <v>113</v>
      </c>
      <c r="M1330" t="s">
        <v>114</v>
      </c>
    </row>
    <row r="1331" spans="2:13" x14ac:dyDescent="0.2">
      <c r="B1331">
        <v>3053</v>
      </c>
      <c r="C1331">
        <v>4</v>
      </c>
      <c r="D1331">
        <v>6</v>
      </c>
      <c r="E1331">
        <v>0.1</v>
      </c>
      <c r="F1331">
        <v>0.6</v>
      </c>
      <c r="G1331">
        <v>0.6</v>
      </c>
      <c r="H1331">
        <v>65</v>
      </c>
      <c r="I1331">
        <v>2</v>
      </c>
      <c r="J1331">
        <v>0</v>
      </c>
      <c r="K1331">
        <v>40.9</v>
      </c>
      <c r="L1331" t="s">
        <v>115</v>
      </c>
      <c r="M1331" t="s">
        <v>116</v>
      </c>
    </row>
    <row r="1332" spans="2:13" x14ac:dyDescent="0.2">
      <c r="B1332">
        <v>3053</v>
      </c>
      <c r="C1332">
        <v>4</v>
      </c>
      <c r="D1332">
        <v>11.2</v>
      </c>
      <c r="E1332">
        <v>0.19</v>
      </c>
      <c r="F1332">
        <v>0.6</v>
      </c>
      <c r="G1332">
        <v>0.6</v>
      </c>
      <c r="H1332">
        <v>121</v>
      </c>
      <c r="I1332">
        <v>6</v>
      </c>
      <c r="J1332">
        <v>1</v>
      </c>
      <c r="K1332">
        <v>41.1</v>
      </c>
      <c r="L1332" t="s">
        <v>117</v>
      </c>
      <c r="M1332" t="s">
        <v>118</v>
      </c>
    </row>
    <row r="1333" spans="2:13" x14ac:dyDescent="0.2">
      <c r="B1333">
        <v>3053</v>
      </c>
      <c r="C1333">
        <v>4</v>
      </c>
      <c r="D1333">
        <v>12.1</v>
      </c>
      <c r="E1333">
        <v>0.2</v>
      </c>
      <c r="F1333">
        <v>0.6</v>
      </c>
      <c r="G1333">
        <v>0.6</v>
      </c>
      <c r="H1333">
        <v>130</v>
      </c>
      <c r="I1333">
        <v>6</v>
      </c>
      <c r="J1333">
        <v>1</v>
      </c>
      <c r="K1333">
        <v>41.3</v>
      </c>
      <c r="L1333" t="s">
        <v>132</v>
      </c>
      <c r="M1333" t="s">
        <v>116</v>
      </c>
    </row>
    <row r="1334" spans="2:13" x14ac:dyDescent="0.2">
      <c r="B1334">
        <v>3053</v>
      </c>
      <c r="C1334">
        <v>4</v>
      </c>
      <c r="D1334">
        <v>16.2</v>
      </c>
      <c r="E1334">
        <v>0.27</v>
      </c>
      <c r="F1334">
        <v>0.6</v>
      </c>
      <c r="G1334">
        <v>0.6</v>
      </c>
      <c r="H1334">
        <v>174</v>
      </c>
      <c r="I1334">
        <v>10</v>
      </c>
      <c r="J1334">
        <v>2</v>
      </c>
      <c r="K1334">
        <v>41.2</v>
      </c>
      <c r="L1334" t="s">
        <v>119</v>
      </c>
      <c r="M1334" t="s">
        <v>118</v>
      </c>
    </row>
    <row r="1335" spans="2:13" x14ac:dyDescent="0.2">
      <c r="B1335">
        <v>3053</v>
      </c>
      <c r="C1335">
        <v>4</v>
      </c>
      <c r="D1335">
        <v>18.100000000000001</v>
      </c>
      <c r="E1335">
        <v>0.3</v>
      </c>
      <c r="F1335">
        <v>0.6</v>
      </c>
      <c r="G1335">
        <v>0.6</v>
      </c>
      <c r="H1335">
        <v>195</v>
      </c>
      <c r="I1335">
        <v>10</v>
      </c>
      <c r="J1335">
        <v>2</v>
      </c>
      <c r="K1335">
        <v>41.6</v>
      </c>
      <c r="L1335" t="s">
        <v>132</v>
      </c>
      <c r="M1335" t="s">
        <v>116</v>
      </c>
    </row>
    <row r="1336" spans="2:13" x14ac:dyDescent="0.2">
      <c r="B1336">
        <v>3053</v>
      </c>
      <c r="C1336">
        <v>5</v>
      </c>
      <c r="D1336">
        <v>0</v>
      </c>
      <c r="E1336">
        <v>0</v>
      </c>
      <c r="F1336">
        <v>0.6</v>
      </c>
      <c r="G1336">
        <v>0.6</v>
      </c>
      <c r="H1336">
        <v>0</v>
      </c>
      <c r="I1336">
        <v>0</v>
      </c>
      <c r="J1336">
        <v>0</v>
      </c>
      <c r="K1336">
        <v>50</v>
      </c>
      <c r="L1336" t="s">
        <v>113</v>
      </c>
      <c r="M1336" t="s">
        <v>114</v>
      </c>
    </row>
    <row r="1337" spans="2:13" x14ac:dyDescent="0.2">
      <c r="B1337">
        <v>3053</v>
      </c>
      <c r="C1337">
        <v>5</v>
      </c>
      <c r="D1337">
        <v>6</v>
      </c>
      <c r="E1337">
        <v>0.1</v>
      </c>
      <c r="F1337">
        <v>0.6</v>
      </c>
      <c r="G1337">
        <v>0.6</v>
      </c>
      <c r="H1337">
        <v>65</v>
      </c>
      <c r="I1337">
        <v>1</v>
      </c>
      <c r="J1337">
        <v>0</v>
      </c>
      <c r="K1337">
        <v>41.7</v>
      </c>
      <c r="L1337" t="s">
        <v>115</v>
      </c>
      <c r="M1337" t="s">
        <v>116</v>
      </c>
    </row>
    <row r="1338" spans="2:13" x14ac:dyDescent="0.2">
      <c r="B1338">
        <v>3053</v>
      </c>
      <c r="C1338">
        <v>5</v>
      </c>
      <c r="D1338">
        <v>8.6</v>
      </c>
      <c r="E1338">
        <v>0.14000000000000001</v>
      </c>
      <c r="F1338">
        <v>0.6</v>
      </c>
      <c r="G1338">
        <v>0.6</v>
      </c>
      <c r="H1338">
        <v>93</v>
      </c>
      <c r="I1338">
        <v>2</v>
      </c>
      <c r="J1338">
        <v>1</v>
      </c>
      <c r="K1338">
        <v>67.400000000000006</v>
      </c>
      <c r="L1338" t="s">
        <v>117</v>
      </c>
      <c r="M1338" t="s">
        <v>118</v>
      </c>
    </row>
    <row r="1339" spans="2:13" x14ac:dyDescent="0.2">
      <c r="B1339">
        <v>3053</v>
      </c>
      <c r="C1339">
        <v>5</v>
      </c>
      <c r="D1339">
        <v>12.1</v>
      </c>
      <c r="E1339">
        <v>0.2</v>
      </c>
      <c r="F1339">
        <v>0.6</v>
      </c>
      <c r="G1339">
        <v>0.6</v>
      </c>
      <c r="H1339">
        <v>130</v>
      </c>
      <c r="I1339">
        <v>2</v>
      </c>
      <c r="J1339">
        <v>1</v>
      </c>
      <c r="K1339">
        <v>79.8</v>
      </c>
      <c r="L1339" t="s">
        <v>136</v>
      </c>
      <c r="M1339" t="s">
        <v>116</v>
      </c>
    </row>
    <row r="1340" spans="2:13" x14ac:dyDescent="0.2">
      <c r="B1340">
        <v>3053</v>
      </c>
      <c r="C1340">
        <v>5</v>
      </c>
      <c r="D1340">
        <v>18.100000000000001</v>
      </c>
      <c r="E1340">
        <v>0.3</v>
      </c>
      <c r="F1340">
        <v>0.6</v>
      </c>
      <c r="G1340">
        <v>0.6</v>
      </c>
      <c r="H1340">
        <v>195</v>
      </c>
      <c r="I1340">
        <v>4</v>
      </c>
      <c r="J1340">
        <v>1</v>
      </c>
      <c r="K1340">
        <v>79.7</v>
      </c>
      <c r="L1340" t="s">
        <v>115</v>
      </c>
      <c r="M1340" t="s">
        <v>116</v>
      </c>
    </row>
    <row r="1341" spans="2:13" x14ac:dyDescent="0.2">
      <c r="B1341">
        <v>3054</v>
      </c>
      <c r="C1341">
        <v>1</v>
      </c>
      <c r="D1341">
        <v>0</v>
      </c>
      <c r="E1341">
        <v>0</v>
      </c>
      <c r="F1341">
        <v>0.6</v>
      </c>
      <c r="G1341">
        <v>0.6</v>
      </c>
      <c r="H1341">
        <v>0</v>
      </c>
      <c r="I1341">
        <v>0</v>
      </c>
      <c r="J1341">
        <v>0</v>
      </c>
      <c r="K1341">
        <v>50</v>
      </c>
      <c r="L1341" t="s">
        <v>113</v>
      </c>
      <c r="M1341" t="s">
        <v>114</v>
      </c>
    </row>
    <row r="1342" spans="2:13" x14ac:dyDescent="0.2">
      <c r="B1342">
        <v>3054</v>
      </c>
      <c r="C1342">
        <v>1</v>
      </c>
      <c r="D1342">
        <v>6</v>
      </c>
      <c r="E1342">
        <v>0.1</v>
      </c>
      <c r="F1342">
        <v>0.6</v>
      </c>
      <c r="G1342">
        <v>0.6</v>
      </c>
      <c r="H1342">
        <v>65</v>
      </c>
      <c r="I1342">
        <v>0</v>
      </c>
      <c r="J1342">
        <v>0</v>
      </c>
      <c r="K1342">
        <v>33.5</v>
      </c>
      <c r="L1342" t="s">
        <v>115</v>
      </c>
      <c r="M1342" t="s">
        <v>116</v>
      </c>
    </row>
    <row r="1343" spans="2:13" x14ac:dyDescent="0.2">
      <c r="B1343">
        <v>3054</v>
      </c>
      <c r="C1343">
        <v>1</v>
      </c>
      <c r="D1343">
        <v>12.1</v>
      </c>
      <c r="E1343">
        <v>0.2</v>
      </c>
      <c r="F1343">
        <v>0.6</v>
      </c>
      <c r="G1343">
        <v>0.6</v>
      </c>
      <c r="H1343">
        <v>130</v>
      </c>
      <c r="I1343">
        <v>3</v>
      </c>
      <c r="J1343">
        <v>0</v>
      </c>
      <c r="K1343">
        <v>31.7</v>
      </c>
      <c r="L1343" t="s">
        <v>115</v>
      </c>
      <c r="M1343" t="s">
        <v>116</v>
      </c>
    </row>
    <row r="1344" spans="2:13" x14ac:dyDescent="0.2">
      <c r="B1344">
        <v>3054</v>
      </c>
      <c r="C1344">
        <v>1</v>
      </c>
      <c r="D1344">
        <v>14.4</v>
      </c>
      <c r="E1344">
        <v>0.24</v>
      </c>
      <c r="F1344">
        <v>0.6</v>
      </c>
      <c r="G1344">
        <v>0.6</v>
      </c>
      <c r="H1344">
        <v>155</v>
      </c>
      <c r="I1344">
        <v>3</v>
      </c>
      <c r="J1344">
        <v>1</v>
      </c>
      <c r="K1344">
        <v>32.1</v>
      </c>
      <c r="L1344" t="s">
        <v>117</v>
      </c>
      <c r="M1344" t="s">
        <v>118</v>
      </c>
    </row>
    <row r="1345" spans="2:13" x14ac:dyDescent="0.2">
      <c r="B1345">
        <v>3054</v>
      </c>
      <c r="C1345">
        <v>1</v>
      </c>
      <c r="D1345">
        <v>18.100000000000001</v>
      </c>
      <c r="E1345">
        <v>0.3</v>
      </c>
      <c r="F1345">
        <v>0.6</v>
      </c>
      <c r="G1345">
        <v>0.6</v>
      </c>
      <c r="H1345">
        <v>195</v>
      </c>
      <c r="I1345">
        <v>4</v>
      </c>
      <c r="J1345">
        <v>1</v>
      </c>
      <c r="K1345">
        <v>57.5</v>
      </c>
      <c r="L1345" t="s">
        <v>121</v>
      </c>
      <c r="M1345" t="s">
        <v>116</v>
      </c>
    </row>
    <row r="1346" spans="2:13" x14ac:dyDescent="0.2">
      <c r="B1346">
        <v>3054</v>
      </c>
      <c r="C1346">
        <v>2</v>
      </c>
      <c r="D1346">
        <v>0</v>
      </c>
      <c r="E1346">
        <v>0</v>
      </c>
      <c r="F1346">
        <v>0.6</v>
      </c>
      <c r="G1346">
        <v>0.6</v>
      </c>
      <c r="H1346">
        <v>0</v>
      </c>
      <c r="I1346">
        <v>0</v>
      </c>
      <c r="J1346">
        <v>0</v>
      </c>
      <c r="K1346">
        <v>50</v>
      </c>
      <c r="L1346" t="s">
        <v>113</v>
      </c>
      <c r="M1346" t="s">
        <v>114</v>
      </c>
    </row>
    <row r="1347" spans="2:13" x14ac:dyDescent="0.2">
      <c r="B1347">
        <v>3054</v>
      </c>
      <c r="C1347">
        <v>2</v>
      </c>
      <c r="D1347">
        <v>6</v>
      </c>
      <c r="E1347">
        <v>0.1</v>
      </c>
      <c r="F1347">
        <v>0.6</v>
      </c>
      <c r="G1347">
        <v>0.6</v>
      </c>
      <c r="H1347">
        <v>65</v>
      </c>
      <c r="I1347">
        <v>0</v>
      </c>
      <c r="J1347">
        <v>0</v>
      </c>
      <c r="K1347">
        <v>36.799999999999997</v>
      </c>
      <c r="L1347" t="s">
        <v>115</v>
      </c>
      <c r="M1347" t="s">
        <v>116</v>
      </c>
    </row>
    <row r="1348" spans="2:13" x14ac:dyDescent="0.2">
      <c r="B1348">
        <v>3054</v>
      </c>
      <c r="C1348">
        <v>2</v>
      </c>
      <c r="D1348">
        <v>8.1</v>
      </c>
      <c r="E1348">
        <v>0.13</v>
      </c>
      <c r="F1348">
        <v>0.6</v>
      </c>
      <c r="G1348">
        <v>0.6</v>
      </c>
      <c r="H1348">
        <v>87</v>
      </c>
      <c r="I1348">
        <v>2</v>
      </c>
      <c r="J1348">
        <v>1</v>
      </c>
      <c r="K1348">
        <v>37.299999999999997</v>
      </c>
      <c r="L1348" t="s">
        <v>122</v>
      </c>
      <c r="M1348" t="s">
        <v>118</v>
      </c>
    </row>
    <row r="1349" spans="2:13" x14ac:dyDescent="0.2">
      <c r="B1349">
        <v>3054</v>
      </c>
      <c r="C1349">
        <v>2</v>
      </c>
      <c r="D1349">
        <v>10.3</v>
      </c>
      <c r="E1349">
        <v>0.17</v>
      </c>
      <c r="F1349">
        <v>0.6</v>
      </c>
      <c r="G1349">
        <v>0.6</v>
      </c>
      <c r="H1349">
        <v>111</v>
      </c>
      <c r="I1349">
        <v>3</v>
      </c>
      <c r="J1349">
        <v>2</v>
      </c>
      <c r="K1349">
        <v>34.9</v>
      </c>
      <c r="L1349" t="s">
        <v>127</v>
      </c>
      <c r="M1349" t="s">
        <v>118</v>
      </c>
    </row>
    <row r="1350" spans="2:13" x14ac:dyDescent="0.2">
      <c r="B1350">
        <v>3054</v>
      </c>
      <c r="C1350">
        <v>2</v>
      </c>
      <c r="D1350">
        <v>12.1</v>
      </c>
      <c r="E1350">
        <v>0.2</v>
      </c>
      <c r="F1350">
        <v>0.6</v>
      </c>
      <c r="G1350">
        <v>0.45</v>
      </c>
      <c r="H1350">
        <v>130</v>
      </c>
      <c r="I1350">
        <v>3</v>
      </c>
      <c r="J1350">
        <v>2</v>
      </c>
      <c r="K1350">
        <v>35.299999999999997</v>
      </c>
      <c r="L1350" t="s">
        <v>126</v>
      </c>
      <c r="M1350" t="s">
        <v>116</v>
      </c>
    </row>
    <row r="1351" spans="2:13" x14ac:dyDescent="0.2">
      <c r="B1351">
        <v>3054</v>
      </c>
      <c r="C1351">
        <v>2</v>
      </c>
      <c r="D1351">
        <v>17.7</v>
      </c>
      <c r="E1351">
        <v>0.28999999999999998</v>
      </c>
      <c r="F1351">
        <v>0.45</v>
      </c>
      <c r="G1351">
        <v>0.45</v>
      </c>
      <c r="H1351">
        <v>176</v>
      </c>
      <c r="I1351">
        <v>4</v>
      </c>
      <c r="J1351">
        <v>3</v>
      </c>
      <c r="K1351">
        <v>46.4</v>
      </c>
      <c r="L1351" t="s">
        <v>125</v>
      </c>
      <c r="M1351" t="s">
        <v>118</v>
      </c>
    </row>
    <row r="1352" spans="2:13" x14ac:dyDescent="0.2">
      <c r="B1352">
        <v>3054</v>
      </c>
      <c r="C1352">
        <v>2</v>
      </c>
      <c r="D1352">
        <v>18.100000000000001</v>
      </c>
      <c r="E1352">
        <v>0.3</v>
      </c>
      <c r="F1352">
        <v>0.45</v>
      </c>
      <c r="G1352">
        <v>0.45</v>
      </c>
      <c r="H1352">
        <v>179</v>
      </c>
      <c r="I1352">
        <v>4</v>
      </c>
      <c r="J1352">
        <v>3</v>
      </c>
      <c r="K1352">
        <v>46.3</v>
      </c>
      <c r="L1352" t="s">
        <v>121</v>
      </c>
      <c r="M1352" t="s">
        <v>116</v>
      </c>
    </row>
    <row r="1353" spans="2:13" x14ac:dyDescent="0.2">
      <c r="B1353">
        <v>3054</v>
      </c>
      <c r="C1353">
        <v>3</v>
      </c>
      <c r="D1353">
        <v>0</v>
      </c>
      <c r="E1353">
        <v>0</v>
      </c>
      <c r="F1353">
        <v>0.6</v>
      </c>
      <c r="G1353">
        <v>0.6</v>
      </c>
      <c r="H1353">
        <v>0</v>
      </c>
      <c r="I1353">
        <v>0</v>
      </c>
      <c r="J1353">
        <v>0</v>
      </c>
      <c r="K1353">
        <v>50</v>
      </c>
      <c r="L1353" t="s">
        <v>113</v>
      </c>
      <c r="M1353" t="s">
        <v>114</v>
      </c>
    </row>
    <row r="1354" spans="2:13" x14ac:dyDescent="0.2">
      <c r="B1354">
        <v>3054</v>
      </c>
      <c r="C1354">
        <v>3</v>
      </c>
      <c r="D1354">
        <v>6</v>
      </c>
      <c r="E1354">
        <v>0.1</v>
      </c>
      <c r="F1354">
        <v>0.6</v>
      </c>
      <c r="G1354">
        <v>0.6</v>
      </c>
      <c r="H1354">
        <v>65</v>
      </c>
      <c r="I1354">
        <v>0</v>
      </c>
      <c r="J1354">
        <v>0</v>
      </c>
      <c r="K1354">
        <v>86.8</v>
      </c>
      <c r="L1354" t="s">
        <v>115</v>
      </c>
      <c r="M1354" t="s">
        <v>116</v>
      </c>
    </row>
    <row r="1355" spans="2:13" x14ac:dyDescent="0.2">
      <c r="B1355">
        <v>3054</v>
      </c>
      <c r="C1355">
        <v>3</v>
      </c>
      <c r="D1355">
        <v>12.1</v>
      </c>
      <c r="E1355">
        <v>0.2</v>
      </c>
      <c r="F1355">
        <v>0.6</v>
      </c>
      <c r="G1355">
        <v>0.6</v>
      </c>
      <c r="H1355">
        <v>130</v>
      </c>
      <c r="I1355">
        <v>0</v>
      </c>
      <c r="J1355">
        <v>0</v>
      </c>
      <c r="K1355">
        <v>86.9</v>
      </c>
      <c r="L1355" t="s">
        <v>115</v>
      </c>
      <c r="M1355" t="s">
        <v>116</v>
      </c>
    </row>
    <row r="1356" spans="2:13" x14ac:dyDescent="0.2">
      <c r="B1356">
        <v>3054</v>
      </c>
      <c r="C1356">
        <v>3</v>
      </c>
      <c r="D1356">
        <v>13.5</v>
      </c>
      <c r="E1356">
        <v>0.23</v>
      </c>
      <c r="F1356">
        <v>0.6</v>
      </c>
      <c r="G1356">
        <v>0.6</v>
      </c>
      <c r="H1356">
        <v>146</v>
      </c>
      <c r="I1356">
        <v>0</v>
      </c>
      <c r="J1356">
        <v>1</v>
      </c>
      <c r="K1356">
        <v>70.900000000000006</v>
      </c>
      <c r="L1356" t="s">
        <v>117</v>
      </c>
      <c r="M1356" t="s">
        <v>118</v>
      </c>
    </row>
    <row r="1357" spans="2:13" x14ac:dyDescent="0.2">
      <c r="B1357">
        <v>3054</v>
      </c>
      <c r="C1357">
        <v>3</v>
      </c>
      <c r="D1357">
        <v>18.100000000000001</v>
      </c>
      <c r="E1357">
        <v>0.3</v>
      </c>
      <c r="F1357">
        <v>0.6</v>
      </c>
      <c r="G1357">
        <v>0.6</v>
      </c>
      <c r="H1357">
        <v>195</v>
      </c>
      <c r="I1357">
        <v>3</v>
      </c>
      <c r="J1357">
        <v>1</v>
      </c>
      <c r="K1357">
        <v>76.400000000000006</v>
      </c>
      <c r="L1357" t="s">
        <v>136</v>
      </c>
      <c r="M1357" t="s">
        <v>116</v>
      </c>
    </row>
    <row r="1358" spans="2:13" x14ac:dyDescent="0.2">
      <c r="B1358">
        <v>3054</v>
      </c>
      <c r="C1358">
        <v>4</v>
      </c>
      <c r="D1358">
        <v>0</v>
      </c>
      <c r="E1358">
        <v>0</v>
      </c>
      <c r="F1358">
        <v>0.6</v>
      </c>
      <c r="G1358">
        <v>0.6</v>
      </c>
      <c r="H1358">
        <v>0</v>
      </c>
      <c r="I1358">
        <v>0</v>
      </c>
      <c r="J1358">
        <v>0</v>
      </c>
      <c r="K1358">
        <v>50</v>
      </c>
      <c r="L1358" t="s">
        <v>113</v>
      </c>
      <c r="M1358" t="s">
        <v>114</v>
      </c>
    </row>
    <row r="1359" spans="2:13" x14ac:dyDescent="0.2">
      <c r="B1359">
        <v>3054</v>
      </c>
      <c r="C1359">
        <v>4</v>
      </c>
      <c r="D1359">
        <v>6</v>
      </c>
      <c r="E1359">
        <v>0.1</v>
      </c>
      <c r="F1359">
        <v>0.6</v>
      </c>
      <c r="G1359">
        <v>0.6</v>
      </c>
      <c r="H1359">
        <v>65</v>
      </c>
      <c r="I1359">
        <v>0</v>
      </c>
      <c r="J1359">
        <v>0</v>
      </c>
      <c r="K1359">
        <v>34.700000000000003</v>
      </c>
      <c r="L1359" t="s">
        <v>115</v>
      </c>
      <c r="M1359" t="s">
        <v>116</v>
      </c>
    </row>
    <row r="1360" spans="2:13" x14ac:dyDescent="0.2">
      <c r="B1360">
        <v>3054</v>
      </c>
      <c r="C1360">
        <v>4</v>
      </c>
      <c r="D1360">
        <v>12.1</v>
      </c>
      <c r="E1360">
        <v>0.2</v>
      </c>
      <c r="F1360">
        <v>0.6</v>
      </c>
      <c r="G1360">
        <v>0.6</v>
      </c>
      <c r="H1360">
        <v>130</v>
      </c>
      <c r="I1360">
        <v>0</v>
      </c>
      <c r="J1360">
        <v>1</v>
      </c>
      <c r="K1360">
        <v>76.3</v>
      </c>
      <c r="L1360" t="s">
        <v>117</v>
      </c>
      <c r="M1360" t="s">
        <v>118</v>
      </c>
    </row>
    <row r="1361" spans="2:13" x14ac:dyDescent="0.2">
      <c r="B1361">
        <v>3054</v>
      </c>
      <c r="C1361">
        <v>4</v>
      </c>
      <c r="D1361">
        <v>12.1</v>
      </c>
      <c r="E1361">
        <v>0.2</v>
      </c>
      <c r="F1361">
        <v>0.6</v>
      </c>
      <c r="G1361">
        <v>0.7</v>
      </c>
      <c r="H1361">
        <v>130</v>
      </c>
      <c r="I1361">
        <v>0</v>
      </c>
      <c r="J1361">
        <v>1</v>
      </c>
      <c r="K1361">
        <v>76.3</v>
      </c>
      <c r="L1361" t="s">
        <v>143</v>
      </c>
      <c r="M1361" t="s">
        <v>116</v>
      </c>
    </row>
    <row r="1362" spans="2:13" x14ac:dyDescent="0.2">
      <c r="B1362">
        <v>3054</v>
      </c>
      <c r="C1362">
        <v>4</v>
      </c>
      <c r="D1362">
        <v>14.6</v>
      </c>
      <c r="E1362">
        <v>0.24</v>
      </c>
      <c r="F1362">
        <v>0.7</v>
      </c>
      <c r="G1362">
        <v>0.7</v>
      </c>
      <c r="H1362">
        <v>162</v>
      </c>
      <c r="I1362">
        <v>0</v>
      </c>
      <c r="J1362">
        <v>2</v>
      </c>
      <c r="K1362">
        <v>70.599999999999994</v>
      </c>
      <c r="L1362" t="s">
        <v>127</v>
      </c>
      <c r="M1362" t="s">
        <v>118</v>
      </c>
    </row>
    <row r="1363" spans="2:13" x14ac:dyDescent="0.2">
      <c r="B1363">
        <v>3054</v>
      </c>
      <c r="C1363">
        <v>4</v>
      </c>
      <c r="D1363">
        <v>16.5</v>
      </c>
      <c r="E1363">
        <v>0.28000000000000003</v>
      </c>
      <c r="F1363">
        <v>0.7</v>
      </c>
      <c r="G1363">
        <v>0.7</v>
      </c>
      <c r="H1363">
        <v>186</v>
      </c>
      <c r="I1363">
        <v>0</v>
      </c>
      <c r="J1363">
        <v>3</v>
      </c>
      <c r="K1363">
        <v>66.3</v>
      </c>
      <c r="L1363" t="s">
        <v>147</v>
      </c>
      <c r="M1363" t="s">
        <v>118</v>
      </c>
    </row>
    <row r="1364" spans="2:13" x14ac:dyDescent="0.2">
      <c r="B1364">
        <v>3054</v>
      </c>
      <c r="C1364">
        <v>5</v>
      </c>
      <c r="D1364">
        <v>0</v>
      </c>
      <c r="E1364">
        <v>0</v>
      </c>
      <c r="F1364">
        <v>0.6</v>
      </c>
      <c r="G1364">
        <v>0.6</v>
      </c>
      <c r="H1364">
        <v>0</v>
      </c>
      <c r="I1364">
        <v>0</v>
      </c>
      <c r="J1364">
        <v>0</v>
      </c>
      <c r="K1364">
        <v>50</v>
      </c>
      <c r="L1364" t="s">
        <v>113</v>
      </c>
      <c r="M1364" t="s">
        <v>114</v>
      </c>
    </row>
    <row r="1365" spans="2:13" x14ac:dyDescent="0.2">
      <c r="B1365">
        <v>3054</v>
      </c>
      <c r="C1365">
        <v>5</v>
      </c>
      <c r="D1365">
        <v>6</v>
      </c>
      <c r="E1365">
        <v>0.1</v>
      </c>
      <c r="F1365">
        <v>0.6</v>
      </c>
      <c r="G1365">
        <v>0.6</v>
      </c>
      <c r="H1365">
        <v>65</v>
      </c>
      <c r="I1365">
        <v>0</v>
      </c>
      <c r="J1365">
        <v>0</v>
      </c>
      <c r="K1365">
        <v>84.3</v>
      </c>
      <c r="L1365" t="s">
        <v>115</v>
      </c>
      <c r="M1365" t="s">
        <v>116</v>
      </c>
    </row>
    <row r="1366" spans="2:13" x14ac:dyDescent="0.2">
      <c r="B1366">
        <v>3054</v>
      </c>
      <c r="C1366">
        <v>5</v>
      </c>
      <c r="D1366">
        <v>7.9</v>
      </c>
      <c r="E1366">
        <v>0.13</v>
      </c>
      <c r="F1366">
        <v>0.6</v>
      </c>
      <c r="G1366">
        <v>0.6</v>
      </c>
      <c r="H1366">
        <v>85</v>
      </c>
      <c r="I1366">
        <v>3</v>
      </c>
      <c r="J1366">
        <v>1</v>
      </c>
      <c r="K1366">
        <v>60.4</v>
      </c>
      <c r="L1366" t="s">
        <v>129</v>
      </c>
      <c r="M1366" t="s">
        <v>118</v>
      </c>
    </row>
    <row r="1367" spans="2:13" x14ac:dyDescent="0.2">
      <c r="B1367">
        <v>3054</v>
      </c>
      <c r="C1367">
        <v>5</v>
      </c>
      <c r="D1367">
        <v>12.1</v>
      </c>
      <c r="E1367">
        <v>0.2</v>
      </c>
      <c r="F1367">
        <v>0.6</v>
      </c>
      <c r="G1367">
        <v>0.6</v>
      </c>
      <c r="H1367">
        <v>130</v>
      </c>
      <c r="I1367">
        <v>6</v>
      </c>
      <c r="J1367">
        <v>1</v>
      </c>
      <c r="K1367">
        <v>59.6</v>
      </c>
      <c r="L1367" t="s">
        <v>132</v>
      </c>
      <c r="M1367" t="s">
        <v>116</v>
      </c>
    </row>
    <row r="1368" spans="2:13" x14ac:dyDescent="0.2">
      <c r="B1368">
        <v>3054</v>
      </c>
      <c r="C1368">
        <v>5</v>
      </c>
      <c r="D1368">
        <v>18.100000000000001</v>
      </c>
      <c r="E1368">
        <v>0.3</v>
      </c>
      <c r="F1368">
        <v>0.6</v>
      </c>
      <c r="G1368">
        <v>0.6</v>
      </c>
      <c r="H1368">
        <v>195</v>
      </c>
      <c r="I1368">
        <v>9</v>
      </c>
      <c r="J1368">
        <v>1</v>
      </c>
      <c r="K1368">
        <v>59.9</v>
      </c>
      <c r="L1368" t="s">
        <v>115</v>
      </c>
      <c r="M1368" t="s">
        <v>116</v>
      </c>
    </row>
    <row r="1369" spans="2:13" x14ac:dyDescent="0.2">
      <c r="B1369">
        <v>3055</v>
      </c>
      <c r="C1369">
        <v>1</v>
      </c>
      <c r="D1369">
        <v>0</v>
      </c>
      <c r="E1369">
        <v>0</v>
      </c>
      <c r="F1369">
        <v>0.6</v>
      </c>
      <c r="G1369">
        <v>0.6</v>
      </c>
      <c r="H1369">
        <v>0</v>
      </c>
      <c r="I1369">
        <v>0</v>
      </c>
      <c r="J1369">
        <v>0</v>
      </c>
      <c r="K1369">
        <v>50</v>
      </c>
      <c r="L1369" t="s">
        <v>113</v>
      </c>
      <c r="M1369" t="s">
        <v>114</v>
      </c>
    </row>
    <row r="1370" spans="2:13" x14ac:dyDescent="0.2">
      <c r="B1370">
        <v>3055</v>
      </c>
      <c r="C1370">
        <v>1</v>
      </c>
      <c r="D1370">
        <v>6</v>
      </c>
      <c r="E1370">
        <v>0.1</v>
      </c>
      <c r="F1370">
        <v>0.6</v>
      </c>
      <c r="G1370">
        <v>0.6</v>
      </c>
      <c r="H1370">
        <v>65</v>
      </c>
      <c r="I1370">
        <v>1</v>
      </c>
      <c r="J1370">
        <v>0</v>
      </c>
      <c r="K1370">
        <v>42.1</v>
      </c>
      <c r="L1370" t="s">
        <v>115</v>
      </c>
      <c r="M1370" t="s">
        <v>116</v>
      </c>
    </row>
    <row r="1371" spans="2:13" x14ac:dyDescent="0.2">
      <c r="B1371">
        <v>3055</v>
      </c>
      <c r="C1371">
        <v>1</v>
      </c>
      <c r="D1371">
        <v>9.3000000000000007</v>
      </c>
      <c r="E1371">
        <v>0.15</v>
      </c>
      <c r="F1371">
        <v>0.6</v>
      </c>
      <c r="G1371">
        <v>0.6</v>
      </c>
      <c r="H1371">
        <v>100</v>
      </c>
      <c r="I1371">
        <v>2</v>
      </c>
      <c r="J1371">
        <v>1</v>
      </c>
      <c r="K1371">
        <v>43</v>
      </c>
      <c r="L1371" t="s">
        <v>122</v>
      </c>
      <c r="M1371" t="s">
        <v>118</v>
      </c>
    </row>
    <row r="1372" spans="2:13" x14ac:dyDescent="0.2">
      <c r="B1372">
        <v>3055</v>
      </c>
      <c r="C1372">
        <v>1</v>
      </c>
      <c r="D1372">
        <v>12.1</v>
      </c>
      <c r="E1372">
        <v>0.2</v>
      </c>
      <c r="F1372">
        <v>0.6</v>
      </c>
      <c r="G1372">
        <v>0.6</v>
      </c>
      <c r="H1372">
        <v>130</v>
      </c>
      <c r="I1372">
        <v>4</v>
      </c>
      <c r="J1372">
        <v>1</v>
      </c>
      <c r="K1372">
        <v>42.3</v>
      </c>
      <c r="L1372" t="s">
        <v>132</v>
      </c>
      <c r="M1372" t="s">
        <v>116</v>
      </c>
    </row>
    <row r="1373" spans="2:13" x14ac:dyDescent="0.2">
      <c r="B1373">
        <v>3055</v>
      </c>
      <c r="C1373">
        <v>1</v>
      </c>
      <c r="D1373">
        <v>18.100000000000001</v>
      </c>
      <c r="E1373">
        <v>0.3</v>
      </c>
      <c r="F1373">
        <v>0.6</v>
      </c>
      <c r="G1373">
        <v>0.6</v>
      </c>
      <c r="H1373">
        <v>195</v>
      </c>
      <c r="I1373">
        <v>7</v>
      </c>
      <c r="J1373">
        <v>1</v>
      </c>
      <c r="K1373">
        <v>67.7</v>
      </c>
      <c r="L1373" t="s">
        <v>115</v>
      </c>
      <c r="M1373" t="s">
        <v>116</v>
      </c>
    </row>
    <row r="1374" spans="2:13" x14ac:dyDescent="0.2">
      <c r="B1374">
        <v>3055</v>
      </c>
      <c r="C1374">
        <v>2</v>
      </c>
      <c r="D1374">
        <v>0</v>
      </c>
      <c r="E1374">
        <v>0</v>
      </c>
      <c r="F1374">
        <v>0.6</v>
      </c>
      <c r="G1374">
        <v>0.6</v>
      </c>
      <c r="H1374">
        <v>0</v>
      </c>
      <c r="I1374">
        <v>0</v>
      </c>
      <c r="J1374">
        <v>0</v>
      </c>
      <c r="K1374">
        <v>50</v>
      </c>
      <c r="L1374" t="s">
        <v>113</v>
      </c>
      <c r="M1374" t="s">
        <v>114</v>
      </c>
    </row>
    <row r="1375" spans="2:13" x14ac:dyDescent="0.2">
      <c r="B1375">
        <v>3055</v>
      </c>
      <c r="C1375">
        <v>2</v>
      </c>
      <c r="D1375">
        <v>5.4</v>
      </c>
      <c r="E1375">
        <v>0.09</v>
      </c>
      <c r="F1375">
        <v>0.6</v>
      </c>
      <c r="G1375">
        <v>0.6</v>
      </c>
      <c r="H1375">
        <v>59</v>
      </c>
      <c r="I1375">
        <v>0</v>
      </c>
      <c r="J1375">
        <v>1</v>
      </c>
      <c r="K1375">
        <v>42.7</v>
      </c>
      <c r="L1375" t="s">
        <v>117</v>
      </c>
      <c r="M1375" t="s">
        <v>118</v>
      </c>
    </row>
    <row r="1376" spans="2:13" x14ac:dyDescent="0.2">
      <c r="B1376">
        <v>3055</v>
      </c>
      <c r="C1376">
        <v>2</v>
      </c>
      <c r="D1376">
        <v>6</v>
      </c>
      <c r="E1376">
        <v>0.1</v>
      </c>
      <c r="F1376">
        <v>0.6</v>
      </c>
      <c r="G1376">
        <v>0.6</v>
      </c>
      <c r="H1376">
        <v>65</v>
      </c>
      <c r="I1376">
        <v>0</v>
      </c>
      <c r="J1376">
        <v>1</v>
      </c>
      <c r="K1376">
        <v>42.6</v>
      </c>
      <c r="L1376" t="s">
        <v>132</v>
      </c>
      <c r="M1376" t="s">
        <v>116</v>
      </c>
    </row>
    <row r="1377" spans="2:13" x14ac:dyDescent="0.2">
      <c r="B1377">
        <v>3055</v>
      </c>
      <c r="C1377">
        <v>2</v>
      </c>
      <c r="D1377">
        <v>12.1</v>
      </c>
      <c r="E1377">
        <v>0.2</v>
      </c>
      <c r="F1377">
        <v>0.6</v>
      </c>
      <c r="G1377">
        <v>0.6</v>
      </c>
      <c r="H1377">
        <v>130</v>
      </c>
      <c r="I1377">
        <v>2</v>
      </c>
      <c r="J1377">
        <v>1</v>
      </c>
      <c r="K1377">
        <v>67.7</v>
      </c>
      <c r="L1377" t="s">
        <v>115</v>
      </c>
      <c r="M1377" t="s">
        <v>116</v>
      </c>
    </row>
    <row r="1378" spans="2:13" x14ac:dyDescent="0.2">
      <c r="B1378">
        <v>3055</v>
      </c>
      <c r="C1378">
        <v>2</v>
      </c>
      <c r="D1378">
        <v>18.100000000000001</v>
      </c>
      <c r="E1378">
        <v>0.3</v>
      </c>
      <c r="F1378">
        <v>0.6</v>
      </c>
      <c r="G1378">
        <v>0.6</v>
      </c>
      <c r="H1378">
        <v>195</v>
      </c>
      <c r="I1378">
        <v>4</v>
      </c>
      <c r="J1378">
        <v>1</v>
      </c>
      <c r="K1378">
        <v>76.7</v>
      </c>
      <c r="L1378" t="s">
        <v>115</v>
      </c>
      <c r="M1378" t="s">
        <v>116</v>
      </c>
    </row>
    <row r="1379" spans="2:13" x14ac:dyDescent="0.2">
      <c r="B1379">
        <v>3055</v>
      </c>
      <c r="C1379">
        <v>3</v>
      </c>
      <c r="D1379">
        <v>0</v>
      </c>
      <c r="E1379">
        <v>0</v>
      </c>
      <c r="F1379">
        <v>0.6</v>
      </c>
      <c r="G1379">
        <v>0.6</v>
      </c>
      <c r="H1379">
        <v>0</v>
      </c>
      <c r="I1379">
        <v>0</v>
      </c>
      <c r="J1379">
        <v>0</v>
      </c>
      <c r="K1379">
        <v>50</v>
      </c>
      <c r="L1379" t="s">
        <v>113</v>
      </c>
      <c r="M1379" t="s">
        <v>114</v>
      </c>
    </row>
    <row r="1380" spans="2:13" x14ac:dyDescent="0.2">
      <c r="B1380">
        <v>3055</v>
      </c>
      <c r="C1380">
        <v>3</v>
      </c>
      <c r="D1380">
        <v>6</v>
      </c>
      <c r="E1380">
        <v>0.1</v>
      </c>
      <c r="F1380">
        <v>0.6</v>
      </c>
      <c r="G1380">
        <v>0.6</v>
      </c>
      <c r="H1380">
        <v>65</v>
      </c>
      <c r="I1380">
        <v>2</v>
      </c>
      <c r="J1380">
        <v>0</v>
      </c>
      <c r="K1380">
        <v>44.2</v>
      </c>
      <c r="L1380" t="s">
        <v>115</v>
      </c>
      <c r="M1380" t="s">
        <v>116</v>
      </c>
    </row>
    <row r="1381" spans="2:13" x14ac:dyDescent="0.2">
      <c r="B1381">
        <v>3055</v>
      </c>
      <c r="C1381">
        <v>3</v>
      </c>
      <c r="D1381">
        <v>6.6</v>
      </c>
      <c r="E1381">
        <v>0.11</v>
      </c>
      <c r="F1381">
        <v>0.6</v>
      </c>
      <c r="G1381">
        <v>0.6</v>
      </c>
      <c r="H1381">
        <v>72</v>
      </c>
      <c r="I1381">
        <v>2</v>
      </c>
      <c r="J1381">
        <v>1</v>
      </c>
      <c r="K1381">
        <v>69.7</v>
      </c>
      <c r="L1381" t="s">
        <v>122</v>
      </c>
      <c r="M1381" t="s">
        <v>118</v>
      </c>
    </row>
    <row r="1382" spans="2:13" x14ac:dyDescent="0.2">
      <c r="B1382">
        <v>3055</v>
      </c>
      <c r="C1382">
        <v>3</v>
      </c>
      <c r="D1382">
        <v>7.6</v>
      </c>
      <c r="E1382">
        <v>0.13</v>
      </c>
      <c r="F1382">
        <v>0.6</v>
      </c>
      <c r="G1382">
        <v>0.6</v>
      </c>
      <c r="H1382">
        <v>82</v>
      </c>
      <c r="I1382">
        <v>2</v>
      </c>
      <c r="J1382">
        <v>2</v>
      </c>
      <c r="K1382">
        <v>70.400000000000006</v>
      </c>
      <c r="L1382" t="s">
        <v>119</v>
      </c>
      <c r="M1382" t="s">
        <v>118</v>
      </c>
    </row>
    <row r="1383" spans="2:13" x14ac:dyDescent="0.2">
      <c r="B1383">
        <v>3055</v>
      </c>
      <c r="C1383">
        <v>3</v>
      </c>
      <c r="D1383">
        <v>12.1</v>
      </c>
      <c r="E1383">
        <v>0.2</v>
      </c>
      <c r="F1383">
        <v>0.6</v>
      </c>
      <c r="G1383">
        <v>0.6</v>
      </c>
      <c r="H1383">
        <v>130</v>
      </c>
      <c r="I1383">
        <v>5</v>
      </c>
      <c r="J1383">
        <v>2</v>
      </c>
      <c r="K1383">
        <v>75</v>
      </c>
      <c r="L1383" t="s">
        <v>146</v>
      </c>
      <c r="M1383" t="s">
        <v>116</v>
      </c>
    </row>
    <row r="1384" spans="2:13" x14ac:dyDescent="0.2">
      <c r="B1384">
        <v>3055</v>
      </c>
      <c r="C1384">
        <v>3</v>
      </c>
      <c r="D1384">
        <v>18.100000000000001</v>
      </c>
      <c r="E1384">
        <v>0.3</v>
      </c>
      <c r="F1384">
        <v>0.6</v>
      </c>
      <c r="G1384">
        <v>0.6</v>
      </c>
      <c r="H1384">
        <v>195</v>
      </c>
      <c r="I1384">
        <v>13</v>
      </c>
      <c r="J1384">
        <v>2</v>
      </c>
      <c r="K1384">
        <v>77.099999999999994</v>
      </c>
      <c r="L1384" t="s">
        <v>115</v>
      </c>
      <c r="M1384" t="s">
        <v>116</v>
      </c>
    </row>
    <row r="1385" spans="2:13" x14ac:dyDescent="0.2">
      <c r="B1385">
        <v>3055</v>
      </c>
      <c r="C1385">
        <v>4</v>
      </c>
      <c r="D1385">
        <v>0</v>
      </c>
      <c r="E1385">
        <v>0</v>
      </c>
      <c r="F1385">
        <v>0.6</v>
      </c>
      <c r="G1385">
        <v>0.6</v>
      </c>
      <c r="H1385">
        <v>0</v>
      </c>
      <c r="I1385">
        <v>0</v>
      </c>
      <c r="J1385">
        <v>0</v>
      </c>
      <c r="K1385">
        <v>50</v>
      </c>
      <c r="L1385" t="s">
        <v>113</v>
      </c>
      <c r="M1385" t="s">
        <v>114</v>
      </c>
    </row>
    <row r="1386" spans="2:13" x14ac:dyDescent="0.2">
      <c r="B1386">
        <v>3055</v>
      </c>
      <c r="C1386">
        <v>4</v>
      </c>
      <c r="D1386">
        <v>6</v>
      </c>
      <c r="E1386">
        <v>0.1</v>
      </c>
      <c r="F1386">
        <v>0.6</v>
      </c>
      <c r="G1386">
        <v>0.6</v>
      </c>
      <c r="H1386">
        <v>65</v>
      </c>
      <c r="I1386">
        <v>0</v>
      </c>
      <c r="J1386">
        <v>0</v>
      </c>
      <c r="K1386">
        <v>44.2</v>
      </c>
      <c r="L1386" t="s">
        <v>115</v>
      </c>
      <c r="M1386" t="s">
        <v>116</v>
      </c>
    </row>
    <row r="1387" spans="2:13" x14ac:dyDescent="0.2">
      <c r="B1387">
        <v>3055</v>
      </c>
      <c r="C1387">
        <v>4</v>
      </c>
      <c r="D1387">
        <v>10.1</v>
      </c>
      <c r="E1387">
        <v>0.17</v>
      </c>
      <c r="F1387">
        <v>0.6</v>
      </c>
      <c r="G1387">
        <v>0.6</v>
      </c>
      <c r="H1387">
        <v>109</v>
      </c>
      <c r="I1387">
        <v>4</v>
      </c>
      <c r="J1387">
        <v>1</v>
      </c>
      <c r="K1387">
        <v>82.1</v>
      </c>
      <c r="L1387" t="s">
        <v>117</v>
      </c>
      <c r="M1387" t="s">
        <v>118</v>
      </c>
    </row>
    <row r="1388" spans="2:13" x14ac:dyDescent="0.2">
      <c r="B1388">
        <v>3055</v>
      </c>
      <c r="C1388">
        <v>4</v>
      </c>
      <c r="D1388">
        <v>12.1</v>
      </c>
      <c r="E1388">
        <v>0.2</v>
      </c>
      <c r="F1388">
        <v>0.6</v>
      </c>
      <c r="G1388">
        <v>0.6</v>
      </c>
      <c r="H1388">
        <v>130</v>
      </c>
      <c r="I1388">
        <v>4</v>
      </c>
      <c r="J1388">
        <v>1</v>
      </c>
      <c r="K1388">
        <v>82.3</v>
      </c>
      <c r="L1388" t="s">
        <v>136</v>
      </c>
      <c r="M1388" t="s">
        <v>116</v>
      </c>
    </row>
    <row r="1389" spans="2:13" x14ac:dyDescent="0.2">
      <c r="B1389">
        <v>3055</v>
      </c>
      <c r="C1389">
        <v>4</v>
      </c>
      <c r="D1389">
        <v>18.100000000000001</v>
      </c>
      <c r="E1389">
        <v>0.3</v>
      </c>
      <c r="F1389">
        <v>0.6</v>
      </c>
      <c r="G1389">
        <v>0.6</v>
      </c>
      <c r="H1389">
        <v>195</v>
      </c>
      <c r="I1389">
        <v>10</v>
      </c>
      <c r="J1389">
        <v>1</v>
      </c>
      <c r="K1389">
        <v>83.9</v>
      </c>
      <c r="L1389" t="s">
        <v>115</v>
      </c>
      <c r="M1389" t="s">
        <v>116</v>
      </c>
    </row>
    <row r="1390" spans="2:13" x14ac:dyDescent="0.2">
      <c r="B1390">
        <v>3055</v>
      </c>
      <c r="C1390">
        <v>5</v>
      </c>
      <c r="D1390">
        <v>0</v>
      </c>
      <c r="E1390">
        <v>0</v>
      </c>
      <c r="F1390">
        <v>0.6</v>
      </c>
      <c r="G1390">
        <v>0.6</v>
      </c>
      <c r="H1390">
        <v>0</v>
      </c>
      <c r="I1390">
        <v>0</v>
      </c>
      <c r="J1390">
        <v>0</v>
      </c>
      <c r="K1390">
        <v>50</v>
      </c>
      <c r="L1390" t="s">
        <v>113</v>
      </c>
      <c r="M1390" t="s">
        <v>114</v>
      </c>
    </row>
    <row r="1391" spans="2:13" x14ac:dyDescent="0.2">
      <c r="B1391">
        <v>3055</v>
      </c>
      <c r="C1391">
        <v>5</v>
      </c>
      <c r="D1391">
        <v>6</v>
      </c>
      <c r="E1391">
        <v>0.1</v>
      </c>
      <c r="F1391">
        <v>0.6</v>
      </c>
      <c r="G1391">
        <v>0.6</v>
      </c>
      <c r="H1391">
        <v>65</v>
      </c>
      <c r="I1391">
        <v>0</v>
      </c>
      <c r="J1391">
        <v>0</v>
      </c>
      <c r="K1391">
        <v>91.7</v>
      </c>
      <c r="L1391" t="s">
        <v>115</v>
      </c>
      <c r="M1391" t="s">
        <v>116</v>
      </c>
    </row>
    <row r="1392" spans="2:13" x14ac:dyDescent="0.2">
      <c r="B1392">
        <v>3055</v>
      </c>
      <c r="C1392">
        <v>5</v>
      </c>
      <c r="D1392">
        <v>9.1</v>
      </c>
      <c r="E1392">
        <v>0.15</v>
      </c>
      <c r="F1392">
        <v>0.6</v>
      </c>
      <c r="G1392">
        <v>0.6</v>
      </c>
      <c r="H1392">
        <v>98</v>
      </c>
      <c r="I1392">
        <v>3</v>
      </c>
      <c r="J1392">
        <v>1</v>
      </c>
      <c r="K1392">
        <v>75.599999999999994</v>
      </c>
      <c r="L1392" t="s">
        <v>129</v>
      </c>
      <c r="M1392" t="s">
        <v>118</v>
      </c>
    </row>
    <row r="1393" spans="2:13" x14ac:dyDescent="0.2">
      <c r="B1393">
        <v>3055</v>
      </c>
      <c r="C1393">
        <v>5</v>
      </c>
      <c r="D1393">
        <v>12.1</v>
      </c>
      <c r="E1393">
        <v>0.2</v>
      </c>
      <c r="F1393">
        <v>0.6</v>
      </c>
      <c r="G1393">
        <v>0.6</v>
      </c>
      <c r="H1393">
        <v>130</v>
      </c>
      <c r="I1393">
        <v>4</v>
      </c>
      <c r="J1393">
        <v>1</v>
      </c>
      <c r="K1393">
        <v>80.400000000000006</v>
      </c>
      <c r="L1393" t="s">
        <v>124</v>
      </c>
      <c r="M1393" t="s">
        <v>116</v>
      </c>
    </row>
    <row r="1394" spans="2:13" x14ac:dyDescent="0.2">
      <c r="B1394">
        <v>3055</v>
      </c>
      <c r="C1394">
        <v>5</v>
      </c>
      <c r="D1394">
        <v>13.4</v>
      </c>
      <c r="E1394">
        <v>0.22</v>
      </c>
      <c r="F1394">
        <v>0.6</v>
      </c>
      <c r="G1394">
        <v>0.6</v>
      </c>
      <c r="H1394">
        <v>145</v>
      </c>
      <c r="I1394">
        <v>4</v>
      </c>
      <c r="J1394">
        <v>2</v>
      </c>
      <c r="K1394">
        <v>79</v>
      </c>
      <c r="L1394" t="s">
        <v>123</v>
      </c>
      <c r="M1394" t="s">
        <v>118</v>
      </c>
    </row>
    <row r="1395" spans="2:13" x14ac:dyDescent="0.2">
      <c r="B1395">
        <v>3055</v>
      </c>
      <c r="C1395">
        <v>5</v>
      </c>
      <c r="D1395">
        <v>18.100000000000001</v>
      </c>
      <c r="E1395">
        <v>0.3</v>
      </c>
      <c r="F1395">
        <v>0.6</v>
      </c>
      <c r="G1395">
        <v>0.6</v>
      </c>
      <c r="H1395">
        <v>195</v>
      </c>
      <c r="I1395">
        <v>6</v>
      </c>
      <c r="J1395">
        <v>2</v>
      </c>
      <c r="K1395">
        <v>80.400000000000006</v>
      </c>
      <c r="L1395" t="s">
        <v>136</v>
      </c>
      <c r="M1395" t="s">
        <v>116</v>
      </c>
    </row>
    <row r="1396" spans="2:13" x14ac:dyDescent="0.2">
      <c r="B1396">
        <v>3055</v>
      </c>
      <c r="C1396">
        <v>5</v>
      </c>
      <c r="D1396">
        <v>18.100000000000001</v>
      </c>
      <c r="E1396">
        <v>0.3</v>
      </c>
      <c r="F1396">
        <v>0.6</v>
      </c>
      <c r="G1396">
        <v>0.6</v>
      </c>
      <c r="H1396">
        <v>195</v>
      </c>
      <c r="I1396">
        <v>6</v>
      </c>
      <c r="J1396">
        <v>3</v>
      </c>
      <c r="K1396">
        <v>76.3</v>
      </c>
      <c r="L1396" t="s">
        <v>125</v>
      </c>
      <c r="M1396" t="s">
        <v>118</v>
      </c>
    </row>
    <row r="1397" spans="2:13" x14ac:dyDescent="0.2">
      <c r="B1397">
        <v>3056</v>
      </c>
      <c r="C1397">
        <v>1</v>
      </c>
      <c r="D1397">
        <v>0</v>
      </c>
      <c r="E1397">
        <v>0</v>
      </c>
      <c r="F1397">
        <v>0.6</v>
      </c>
      <c r="G1397">
        <v>0.6</v>
      </c>
      <c r="H1397">
        <v>0</v>
      </c>
      <c r="I1397">
        <v>0</v>
      </c>
      <c r="J1397">
        <v>0</v>
      </c>
      <c r="K1397">
        <v>50</v>
      </c>
      <c r="L1397" t="s">
        <v>113</v>
      </c>
      <c r="M1397" t="s">
        <v>114</v>
      </c>
    </row>
    <row r="1398" spans="2:13" x14ac:dyDescent="0.2">
      <c r="B1398">
        <v>3056</v>
      </c>
      <c r="C1398">
        <v>1</v>
      </c>
      <c r="D1398">
        <v>6</v>
      </c>
      <c r="E1398">
        <v>0.1</v>
      </c>
      <c r="F1398">
        <v>0.6</v>
      </c>
      <c r="G1398">
        <v>0.6</v>
      </c>
      <c r="H1398">
        <v>65</v>
      </c>
      <c r="I1398">
        <v>1</v>
      </c>
      <c r="J1398">
        <v>0</v>
      </c>
      <c r="K1398">
        <v>43</v>
      </c>
      <c r="L1398" t="s">
        <v>115</v>
      </c>
      <c r="M1398" t="s">
        <v>116</v>
      </c>
    </row>
    <row r="1399" spans="2:13" x14ac:dyDescent="0.2">
      <c r="B1399">
        <v>3056</v>
      </c>
      <c r="C1399">
        <v>1</v>
      </c>
      <c r="D1399">
        <v>8.9</v>
      </c>
      <c r="E1399">
        <v>0.15</v>
      </c>
      <c r="F1399">
        <v>0.6</v>
      </c>
      <c r="G1399">
        <v>0.6</v>
      </c>
      <c r="H1399">
        <v>97</v>
      </c>
      <c r="I1399">
        <v>1</v>
      </c>
      <c r="J1399">
        <v>1</v>
      </c>
      <c r="K1399">
        <v>81.599999999999994</v>
      </c>
      <c r="L1399" t="s">
        <v>129</v>
      </c>
      <c r="M1399" t="s">
        <v>118</v>
      </c>
    </row>
    <row r="1400" spans="2:13" x14ac:dyDescent="0.2">
      <c r="B1400">
        <v>3056</v>
      </c>
      <c r="C1400">
        <v>1</v>
      </c>
      <c r="D1400">
        <v>12.1</v>
      </c>
      <c r="E1400">
        <v>0.2</v>
      </c>
      <c r="F1400">
        <v>0.6</v>
      </c>
      <c r="G1400">
        <v>0.6</v>
      </c>
      <c r="H1400">
        <v>130</v>
      </c>
      <c r="I1400">
        <v>3</v>
      </c>
      <c r="J1400">
        <v>1</v>
      </c>
      <c r="K1400">
        <v>82.1</v>
      </c>
      <c r="L1400" t="s">
        <v>136</v>
      </c>
      <c r="M1400" t="s">
        <v>116</v>
      </c>
    </row>
    <row r="1401" spans="2:13" x14ac:dyDescent="0.2">
      <c r="B1401">
        <v>3056</v>
      </c>
      <c r="C1401">
        <v>1</v>
      </c>
      <c r="D1401">
        <v>14.1</v>
      </c>
      <c r="E1401">
        <v>0.24</v>
      </c>
      <c r="F1401">
        <v>0.6</v>
      </c>
      <c r="G1401">
        <v>0.6</v>
      </c>
      <c r="H1401">
        <v>152</v>
      </c>
      <c r="I1401">
        <v>4</v>
      </c>
      <c r="J1401">
        <v>2</v>
      </c>
      <c r="K1401">
        <v>74.099999999999994</v>
      </c>
      <c r="L1401" t="s">
        <v>127</v>
      </c>
      <c r="M1401" t="s">
        <v>118</v>
      </c>
    </row>
    <row r="1402" spans="2:13" x14ac:dyDescent="0.2">
      <c r="B1402">
        <v>3056</v>
      </c>
      <c r="C1402">
        <v>1</v>
      </c>
      <c r="D1402">
        <v>18.100000000000001</v>
      </c>
      <c r="E1402">
        <v>0.3</v>
      </c>
      <c r="F1402">
        <v>0.6</v>
      </c>
      <c r="G1402">
        <v>0.6</v>
      </c>
      <c r="H1402">
        <v>195</v>
      </c>
      <c r="I1402">
        <v>6</v>
      </c>
      <c r="J1402">
        <v>2</v>
      </c>
      <c r="K1402">
        <v>77.5</v>
      </c>
      <c r="L1402" t="s">
        <v>121</v>
      </c>
      <c r="M1402" t="s">
        <v>116</v>
      </c>
    </row>
    <row r="1403" spans="2:13" x14ac:dyDescent="0.2">
      <c r="B1403">
        <v>3056</v>
      </c>
      <c r="C1403">
        <v>2</v>
      </c>
      <c r="D1403">
        <v>0</v>
      </c>
      <c r="E1403">
        <v>0</v>
      </c>
      <c r="F1403">
        <v>0.6</v>
      </c>
      <c r="G1403">
        <v>0.6</v>
      </c>
      <c r="H1403">
        <v>0</v>
      </c>
      <c r="I1403">
        <v>0</v>
      </c>
      <c r="J1403">
        <v>0</v>
      </c>
      <c r="K1403">
        <v>50</v>
      </c>
      <c r="L1403" t="s">
        <v>113</v>
      </c>
      <c r="M1403" t="s">
        <v>114</v>
      </c>
    </row>
    <row r="1404" spans="2:13" x14ac:dyDescent="0.2">
      <c r="B1404">
        <v>3056</v>
      </c>
      <c r="C1404">
        <v>2</v>
      </c>
      <c r="D1404">
        <v>6</v>
      </c>
      <c r="E1404">
        <v>0.1</v>
      </c>
      <c r="F1404">
        <v>0.6</v>
      </c>
      <c r="G1404">
        <v>0.6</v>
      </c>
      <c r="H1404">
        <v>65</v>
      </c>
      <c r="I1404">
        <v>0</v>
      </c>
      <c r="J1404">
        <v>0</v>
      </c>
      <c r="K1404">
        <v>43</v>
      </c>
      <c r="L1404" t="s">
        <v>115</v>
      </c>
      <c r="M1404" t="s">
        <v>116</v>
      </c>
    </row>
    <row r="1405" spans="2:13" x14ac:dyDescent="0.2">
      <c r="B1405">
        <v>3056</v>
      </c>
      <c r="C1405">
        <v>2</v>
      </c>
      <c r="D1405">
        <v>12.1</v>
      </c>
      <c r="E1405">
        <v>0.2</v>
      </c>
      <c r="F1405">
        <v>0.6</v>
      </c>
      <c r="G1405">
        <v>0.6</v>
      </c>
      <c r="H1405">
        <v>130</v>
      </c>
      <c r="I1405">
        <v>2</v>
      </c>
      <c r="J1405">
        <v>0</v>
      </c>
      <c r="K1405">
        <v>94.6</v>
      </c>
      <c r="L1405" t="s">
        <v>115</v>
      </c>
      <c r="M1405" t="s">
        <v>116</v>
      </c>
    </row>
    <row r="1406" spans="2:13" x14ac:dyDescent="0.2">
      <c r="B1406">
        <v>3056</v>
      </c>
      <c r="C1406">
        <v>2</v>
      </c>
      <c r="D1406">
        <v>18.100000000000001</v>
      </c>
      <c r="E1406">
        <v>0.3</v>
      </c>
      <c r="F1406">
        <v>0.6</v>
      </c>
      <c r="G1406">
        <v>0.6</v>
      </c>
      <c r="H1406">
        <v>195</v>
      </c>
      <c r="I1406">
        <v>7</v>
      </c>
      <c r="J1406">
        <v>0</v>
      </c>
      <c r="K1406">
        <v>95.2</v>
      </c>
      <c r="L1406" t="s">
        <v>115</v>
      </c>
      <c r="M1406" t="s">
        <v>116</v>
      </c>
    </row>
    <row r="1407" spans="2:13" x14ac:dyDescent="0.2">
      <c r="B1407">
        <v>3056</v>
      </c>
      <c r="C1407">
        <v>3</v>
      </c>
      <c r="D1407">
        <v>0</v>
      </c>
      <c r="E1407">
        <v>0</v>
      </c>
      <c r="F1407">
        <v>0.6</v>
      </c>
      <c r="G1407">
        <v>0.6</v>
      </c>
      <c r="H1407">
        <v>0</v>
      </c>
      <c r="I1407">
        <v>0</v>
      </c>
      <c r="J1407">
        <v>0</v>
      </c>
      <c r="K1407">
        <v>50</v>
      </c>
      <c r="L1407" t="s">
        <v>113</v>
      </c>
      <c r="M1407" t="s">
        <v>114</v>
      </c>
    </row>
    <row r="1408" spans="2:13" x14ac:dyDescent="0.2">
      <c r="B1408">
        <v>3056</v>
      </c>
      <c r="C1408">
        <v>3</v>
      </c>
      <c r="D1408">
        <v>6</v>
      </c>
      <c r="E1408">
        <v>0.1</v>
      </c>
      <c r="F1408">
        <v>0.6</v>
      </c>
      <c r="G1408">
        <v>0.6</v>
      </c>
      <c r="H1408">
        <v>65</v>
      </c>
      <c r="I1408">
        <v>1</v>
      </c>
      <c r="J1408">
        <v>0</v>
      </c>
      <c r="K1408">
        <v>93</v>
      </c>
      <c r="L1408" t="s">
        <v>115</v>
      </c>
      <c r="M1408" t="s">
        <v>116</v>
      </c>
    </row>
    <row r="1409" spans="2:13" x14ac:dyDescent="0.2">
      <c r="B1409">
        <v>3056</v>
      </c>
      <c r="C1409">
        <v>3</v>
      </c>
      <c r="D1409">
        <v>11.8</v>
      </c>
      <c r="E1409">
        <v>0.2</v>
      </c>
      <c r="F1409">
        <v>0.6</v>
      </c>
      <c r="G1409">
        <v>0.6</v>
      </c>
      <c r="H1409">
        <v>127</v>
      </c>
      <c r="I1409">
        <v>4</v>
      </c>
      <c r="J1409">
        <v>1</v>
      </c>
      <c r="K1409">
        <v>77.8</v>
      </c>
      <c r="L1409" t="s">
        <v>122</v>
      </c>
      <c r="M1409" t="s">
        <v>118</v>
      </c>
    </row>
    <row r="1410" spans="2:13" x14ac:dyDescent="0.2">
      <c r="B1410">
        <v>3056</v>
      </c>
      <c r="C1410">
        <v>3</v>
      </c>
      <c r="D1410">
        <v>12.1</v>
      </c>
      <c r="E1410">
        <v>0.2</v>
      </c>
      <c r="F1410">
        <v>0.6</v>
      </c>
      <c r="G1410">
        <v>0.6</v>
      </c>
      <c r="H1410">
        <v>130</v>
      </c>
      <c r="I1410">
        <v>4</v>
      </c>
      <c r="J1410">
        <v>1</v>
      </c>
      <c r="K1410">
        <v>77.3</v>
      </c>
      <c r="L1410" t="s">
        <v>121</v>
      </c>
      <c r="M1410" t="s">
        <v>116</v>
      </c>
    </row>
    <row r="1411" spans="2:13" x14ac:dyDescent="0.2">
      <c r="B1411">
        <v>3056</v>
      </c>
      <c r="C1411">
        <v>3</v>
      </c>
      <c r="D1411">
        <v>18.100000000000001</v>
      </c>
      <c r="E1411">
        <v>0.3</v>
      </c>
      <c r="F1411">
        <v>0.6</v>
      </c>
      <c r="G1411">
        <v>0.7</v>
      </c>
      <c r="H1411">
        <v>195</v>
      </c>
      <c r="I1411">
        <v>8</v>
      </c>
      <c r="J1411">
        <v>1</v>
      </c>
      <c r="K1411">
        <v>83.6</v>
      </c>
      <c r="L1411" t="s">
        <v>128</v>
      </c>
      <c r="M1411" t="s">
        <v>116</v>
      </c>
    </row>
    <row r="1412" spans="2:13" x14ac:dyDescent="0.2">
      <c r="B1412">
        <v>3056</v>
      </c>
      <c r="C1412">
        <v>4</v>
      </c>
      <c r="D1412">
        <v>0</v>
      </c>
      <c r="E1412">
        <v>0</v>
      </c>
      <c r="F1412">
        <v>0.6</v>
      </c>
      <c r="G1412">
        <v>0.6</v>
      </c>
      <c r="H1412">
        <v>0</v>
      </c>
      <c r="I1412">
        <v>0</v>
      </c>
      <c r="J1412">
        <v>0</v>
      </c>
      <c r="K1412">
        <v>50</v>
      </c>
      <c r="L1412" t="s">
        <v>113</v>
      </c>
      <c r="M1412" t="s">
        <v>114</v>
      </c>
    </row>
    <row r="1413" spans="2:13" x14ac:dyDescent="0.2">
      <c r="B1413">
        <v>3056</v>
      </c>
      <c r="C1413">
        <v>4</v>
      </c>
      <c r="D1413">
        <v>6</v>
      </c>
      <c r="E1413">
        <v>0.1</v>
      </c>
      <c r="F1413">
        <v>0.6</v>
      </c>
      <c r="G1413">
        <v>0.6</v>
      </c>
      <c r="H1413">
        <v>65</v>
      </c>
      <c r="I1413">
        <v>0</v>
      </c>
      <c r="J1413">
        <v>0</v>
      </c>
      <c r="K1413">
        <v>44.6</v>
      </c>
      <c r="L1413" t="s">
        <v>115</v>
      </c>
      <c r="M1413" t="s">
        <v>116</v>
      </c>
    </row>
    <row r="1414" spans="2:13" x14ac:dyDescent="0.2">
      <c r="B1414">
        <v>3056</v>
      </c>
      <c r="C1414">
        <v>4</v>
      </c>
      <c r="D1414">
        <v>12.1</v>
      </c>
      <c r="E1414">
        <v>0.2</v>
      </c>
      <c r="F1414">
        <v>0.6</v>
      </c>
      <c r="G1414">
        <v>0.7</v>
      </c>
      <c r="H1414">
        <v>130</v>
      </c>
      <c r="I1414">
        <v>6</v>
      </c>
      <c r="J1414">
        <v>0</v>
      </c>
      <c r="K1414">
        <v>95</v>
      </c>
      <c r="L1414" t="s">
        <v>128</v>
      </c>
      <c r="M1414" t="s">
        <v>116</v>
      </c>
    </row>
    <row r="1415" spans="2:13" x14ac:dyDescent="0.2">
      <c r="B1415">
        <v>3056</v>
      </c>
      <c r="C1415">
        <v>5</v>
      </c>
      <c r="D1415">
        <v>0</v>
      </c>
      <c r="E1415">
        <v>0</v>
      </c>
      <c r="F1415">
        <v>0.6</v>
      </c>
      <c r="G1415">
        <v>0.6</v>
      </c>
      <c r="H1415">
        <v>0</v>
      </c>
      <c r="I1415">
        <v>0</v>
      </c>
      <c r="J1415">
        <v>0</v>
      </c>
      <c r="K1415">
        <v>50</v>
      </c>
      <c r="L1415" t="s">
        <v>113</v>
      </c>
      <c r="M1415" t="s">
        <v>114</v>
      </c>
    </row>
    <row r="1416" spans="2:13" x14ac:dyDescent="0.2">
      <c r="B1416">
        <v>3056</v>
      </c>
      <c r="C1416">
        <v>5</v>
      </c>
      <c r="D1416">
        <v>6</v>
      </c>
      <c r="E1416">
        <v>0.1</v>
      </c>
      <c r="F1416">
        <v>0.6</v>
      </c>
      <c r="G1416">
        <v>0.6</v>
      </c>
      <c r="H1416">
        <v>65</v>
      </c>
      <c r="I1416">
        <v>0</v>
      </c>
      <c r="J1416">
        <v>0</v>
      </c>
      <c r="K1416">
        <v>44.2</v>
      </c>
      <c r="L1416" t="s">
        <v>115</v>
      </c>
      <c r="M1416" t="s">
        <v>116</v>
      </c>
    </row>
    <row r="1417" spans="2:13" x14ac:dyDescent="0.2">
      <c r="B1417">
        <v>3056</v>
      </c>
      <c r="C1417">
        <v>5</v>
      </c>
      <c r="D1417">
        <v>12.1</v>
      </c>
      <c r="E1417">
        <v>0.2</v>
      </c>
      <c r="F1417">
        <v>0.6</v>
      </c>
      <c r="G1417">
        <v>0.7</v>
      </c>
      <c r="H1417">
        <v>130</v>
      </c>
      <c r="I1417">
        <v>5</v>
      </c>
      <c r="J1417">
        <v>0</v>
      </c>
      <c r="K1417">
        <v>95.2</v>
      </c>
      <c r="L1417" t="s">
        <v>128</v>
      </c>
      <c r="M1417" t="s">
        <v>116</v>
      </c>
    </row>
    <row r="1418" spans="2:13" x14ac:dyDescent="0.2">
      <c r="B1418">
        <v>3056</v>
      </c>
      <c r="C1418">
        <v>5</v>
      </c>
      <c r="D1418">
        <v>17.3</v>
      </c>
      <c r="E1418">
        <v>0.28999999999999998</v>
      </c>
      <c r="F1418">
        <v>0.7</v>
      </c>
      <c r="G1418">
        <v>0.7</v>
      </c>
      <c r="H1418">
        <v>196</v>
      </c>
      <c r="I1418">
        <v>15</v>
      </c>
      <c r="J1418">
        <v>1</v>
      </c>
      <c r="K1418">
        <v>88.3</v>
      </c>
      <c r="L1418" t="s">
        <v>129</v>
      </c>
      <c r="M1418" t="s">
        <v>118</v>
      </c>
    </row>
    <row r="1419" spans="2:13" x14ac:dyDescent="0.2">
      <c r="B1419">
        <v>3057</v>
      </c>
      <c r="C1419">
        <v>1</v>
      </c>
      <c r="D1419">
        <v>0</v>
      </c>
      <c r="E1419">
        <v>0</v>
      </c>
      <c r="F1419">
        <v>0.6</v>
      </c>
      <c r="G1419">
        <v>0.6</v>
      </c>
      <c r="H1419">
        <v>0</v>
      </c>
      <c r="I1419">
        <v>0</v>
      </c>
      <c r="J1419">
        <v>0</v>
      </c>
      <c r="K1419">
        <v>50</v>
      </c>
      <c r="L1419" t="s">
        <v>113</v>
      </c>
      <c r="M1419" t="s">
        <v>114</v>
      </c>
    </row>
    <row r="1420" spans="2:13" x14ac:dyDescent="0.2">
      <c r="B1420">
        <v>3057</v>
      </c>
      <c r="C1420">
        <v>1</v>
      </c>
      <c r="D1420">
        <v>6</v>
      </c>
      <c r="E1420">
        <v>0.1</v>
      </c>
      <c r="F1420">
        <v>0.6</v>
      </c>
      <c r="G1420">
        <v>0.6</v>
      </c>
      <c r="H1420">
        <v>65</v>
      </c>
      <c r="I1420">
        <v>0</v>
      </c>
      <c r="J1420">
        <v>0</v>
      </c>
      <c r="K1420">
        <v>86</v>
      </c>
      <c r="L1420" t="s">
        <v>115</v>
      </c>
      <c r="M1420" t="s">
        <v>116</v>
      </c>
    </row>
    <row r="1421" spans="2:13" x14ac:dyDescent="0.2">
      <c r="B1421">
        <v>3057</v>
      </c>
      <c r="C1421">
        <v>1</v>
      </c>
      <c r="D1421">
        <v>9</v>
      </c>
      <c r="E1421">
        <v>0.15</v>
      </c>
      <c r="F1421">
        <v>0.6</v>
      </c>
      <c r="G1421">
        <v>0.6</v>
      </c>
      <c r="H1421">
        <v>97</v>
      </c>
      <c r="I1421">
        <v>0</v>
      </c>
      <c r="J1421">
        <v>1</v>
      </c>
      <c r="K1421">
        <v>69.2</v>
      </c>
      <c r="L1421" t="s">
        <v>117</v>
      </c>
      <c r="M1421" t="s">
        <v>118</v>
      </c>
    </row>
    <row r="1422" spans="2:13" x14ac:dyDescent="0.2">
      <c r="B1422">
        <v>3057</v>
      </c>
      <c r="C1422">
        <v>1</v>
      </c>
      <c r="D1422">
        <v>12.1</v>
      </c>
      <c r="E1422">
        <v>0.2</v>
      </c>
      <c r="F1422">
        <v>0.6</v>
      </c>
      <c r="G1422">
        <v>0.6</v>
      </c>
      <c r="H1422">
        <v>130</v>
      </c>
      <c r="I1422">
        <v>2</v>
      </c>
      <c r="J1422">
        <v>1</v>
      </c>
      <c r="K1422">
        <v>69</v>
      </c>
      <c r="L1422" t="s">
        <v>121</v>
      </c>
      <c r="M1422" t="s">
        <v>116</v>
      </c>
    </row>
    <row r="1423" spans="2:13" x14ac:dyDescent="0.2">
      <c r="B1423">
        <v>3057</v>
      </c>
      <c r="C1423">
        <v>1</v>
      </c>
      <c r="D1423">
        <v>12.1</v>
      </c>
      <c r="E1423">
        <v>0.2</v>
      </c>
      <c r="F1423">
        <v>0.6</v>
      </c>
      <c r="G1423">
        <v>0.6</v>
      </c>
      <c r="H1423">
        <v>131</v>
      </c>
      <c r="I1423">
        <v>2</v>
      </c>
      <c r="J1423">
        <v>2</v>
      </c>
      <c r="K1423">
        <v>60.7</v>
      </c>
      <c r="L1423" t="s">
        <v>149</v>
      </c>
      <c r="M1423" t="s">
        <v>118</v>
      </c>
    </row>
    <row r="1424" spans="2:13" x14ac:dyDescent="0.2">
      <c r="B1424">
        <v>3057</v>
      </c>
      <c r="C1424">
        <v>1</v>
      </c>
      <c r="D1424">
        <v>18.100000000000001</v>
      </c>
      <c r="E1424">
        <v>0.3</v>
      </c>
      <c r="F1424">
        <v>0.6</v>
      </c>
      <c r="G1424">
        <v>0.6</v>
      </c>
      <c r="H1424">
        <v>195</v>
      </c>
      <c r="I1424">
        <v>4</v>
      </c>
      <c r="J1424">
        <v>2</v>
      </c>
      <c r="K1424">
        <v>66.400000000000006</v>
      </c>
      <c r="L1424" t="s">
        <v>121</v>
      </c>
      <c r="M1424" t="s">
        <v>116</v>
      </c>
    </row>
    <row r="1425" spans="2:13" x14ac:dyDescent="0.2">
      <c r="B1425">
        <v>3057</v>
      </c>
      <c r="C1425">
        <v>2</v>
      </c>
      <c r="D1425">
        <v>0</v>
      </c>
      <c r="E1425">
        <v>0</v>
      </c>
      <c r="F1425">
        <v>0.6</v>
      </c>
      <c r="G1425">
        <v>0.6</v>
      </c>
      <c r="H1425">
        <v>0</v>
      </c>
      <c r="I1425">
        <v>0</v>
      </c>
      <c r="J1425">
        <v>0</v>
      </c>
      <c r="K1425">
        <v>50</v>
      </c>
      <c r="L1425" t="s">
        <v>113</v>
      </c>
      <c r="M1425" t="s">
        <v>114</v>
      </c>
    </row>
    <row r="1426" spans="2:13" x14ac:dyDescent="0.2">
      <c r="B1426">
        <v>3057</v>
      </c>
      <c r="C1426">
        <v>2</v>
      </c>
      <c r="D1426">
        <v>5.9</v>
      </c>
      <c r="E1426">
        <v>0.1</v>
      </c>
      <c r="F1426">
        <v>0.6</v>
      </c>
      <c r="G1426">
        <v>0.6</v>
      </c>
      <c r="H1426">
        <v>64</v>
      </c>
      <c r="I1426">
        <v>0</v>
      </c>
      <c r="J1426">
        <v>1</v>
      </c>
      <c r="K1426">
        <v>61.1</v>
      </c>
      <c r="L1426" t="s">
        <v>129</v>
      </c>
      <c r="M1426" t="s">
        <v>118</v>
      </c>
    </row>
    <row r="1427" spans="2:13" x14ac:dyDescent="0.2">
      <c r="B1427">
        <v>3057</v>
      </c>
      <c r="C1427">
        <v>2</v>
      </c>
      <c r="D1427">
        <v>6</v>
      </c>
      <c r="E1427">
        <v>0.1</v>
      </c>
      <c r="F1427">
        <v>0.6</v>
      </c>
      <c r="G1427">
        <v>0.6</v>
      </c>
      <c r="H1427">
        <v>65</v>
      </c>
      <c r="I1427">
        <v>0</v>
      </c>
      <c r="J1427">
        <v>1</v>
      </c>
      <c r="K1427">
        <v>61.4</v>
      </c>
      <c r="L1427" t="s">
        <v>121</v>
      </c>
      <c r="M1427" t="s">
        <v>116</v>
      </c>
    </row>
    <row r="1428" spans="2:13" x14ac:dyDescent="0.2">
      <c r="B1428">
        <v>3057</v>
      </c>
      <c r="C1428">
        <v>2</v>
      </c>
      <c r="D1428">
        <v>10.5</v>
      </c>
      <c r="E1428">
        <v>0.18</v>
      </c>
      <c r="F1428">
        <v>0.6</v>
      </c>
      <c r="G1428">
        <v>0.6</v>
      </c>
      <c r="H1428">
        <v>113</v>
      </c>
      <c r="I1428">
        <v>1</v>
      </c>
      <c r="J1428">
        <v>2</v>
      </c>
      <c r="K1428">
        <v>60.7</v>
      </c>
      <c r="L1428" t="s">
        <v>127</v>
      </c>
      <c r="M1428" t="s">
        <v>118</v>
      </c>
    </row>
    <row r="1429" spans="2:13" x14ac:dyDescent="0.2">
      <c r="B1429">
        <v>3057</v>
      </c>
      <c r="C1429">
        <v>2</v>
      </c>
      <c r="D1429">
        <v>12.1</v>
      </c>
      <c r="E1429">
        <v>0.2</v>
      </c>
      <c r="F1429">
        <v>0.6</v>
      </c>
      <c r="G1429">
        <v>0.6</v>
      </c>
      <c r="H1429">
        <v>130</v>
      </c>
      <c r="I1429">
        <v>2</v>
      </c>
      <c r="J1429">
        <v>2</v>
      </c>
      <c r="K1429">
        <v>61.9</v>
      </c>
      <c r="L1429" t="s">
        <v>121</v>
      </c>
      <c r="M1429" t="s">
        <v>116</v>
      </c>
    </row>
    <row r="1430" spans="2:13" x14ac:dyDescent="0.2">
      <c r="B1430">
        <v>3057</v>
      </c>
      <c r="C1430">
        <v>2</v>
      </c>
      <c r="D1430">
        <v>18.100000000000001</v>
      </c>
      <c r="E1430">
        <v>0.3</v>
      </c>
      <c r="F1430">
        <v>0.6</v>
      </c>
      <c r="G1430">
        <v>0.6</v>
      </c>
      <c r="H1430">
        <v>195</v>
      </c>
      <c r="I1430">
        <v>5</v>
      </c>
      <c r="J1430">
        <v>2</v>
      </c>
      <c r="K1430">
        <v>67.7</v>
      </c>
      <c r="L1430" t="s">
        <v>115</v>
      </c>
      <c r="M1430" t="s">
        <v>116</v>
      </c>
    </row>
    <row r="1431" spans="2:13" x14ac:dyDescent="0.2">
      <c r="B1431">
        <v>3057</v>
      </c>
      <c r="C1431">
        <v>3</v>
      </c>
      <c r="D1431">
        <v>0</v>
      </c>
      <c r="E1431">
        <v>0</v>
      </c>
      <c r="F1431">
        <v>0.6</v>
      </c>
      <c r="G1431">
        <v>0.6</v>
      </c>
      <c r="H1431">
        <v>0</v>
      </c>
      <c r="I1431">
        <v>0</v>
      </c>
      <c r="J1431">
        <v>0</v>
      </c>
      <c r="K1431">
        <v>50</v>
      </c>
      <c r="L1431" t="s">
        <v>113</v>
      </c>
      <c r="M1431" t="s">
        <v>114</v>
      </c>
    </row>
    <row r="1432" spans="2:13" x14ac:dyDescent="0.2">
      <c r="B1432">
        <v>3057</v>
      </c>
      <c r="C1432">
        <v>3</v>
      </c>
      <c r="D1432">
        <v>6</v>
      </c>
      <c r="E1432">
        <v>0.1</v>
      </c>
      <c r="F1432">
        <v>0.6</v>
      </c>
      <c r="G1432">
        <v>0.6</v>
      </c>
      <c r="H1432">
        <v>65</v>
      </c>
      <c r="I1432">
        <v>0</v>
      </c>
      <c r="J1432">
        <v>0</v>
      </c>
      <c r="K1432">
        <v>86</v>
      </c>
      <c r="L1432" t="s">
        <v>115</v>
      </c>
      <c r="M1432" t="s">
        <v>116</v>
      </c>
    </row>
    <row r="1433" spans="2:13" x14ac:dyDescent="0.2">
      <c r="B1433">
        <v>3057</v>
      </c>
      <c r="C1433">
        <v>3</v>
      </c>
      <c r="D1433">
        <v>10.7</v>
      </c>
      <c r="E1433">
        <v>0.18</v>
      </c>
      <c r="F1433">
        <v>0.6</v>
      </c>
      <c r="G1433">
        <v>0.6</v>
      </c>
      <c r="H1433">
        <v>116</v>
      </c>
      <c r="I1433">
        <v>1</v>
      </c>
      <c r="J1433">
        <v>1</v>
      </c>
      <c r="K1433">
        <v>61.7</v>
      </c>
      <c r="L1433" t="s">
        <v>129</v>
      </c>
      <c r="M1433" t="s">
        <v>118</v>
      </c>
    </row>
    <row r="1434" spans="2:13" x14ac:dyDescent="0.2">
      <c r="B1434">
        <v>3057</v>
      </c>
      <c r="C1434">
        <v>3</v>
      </c>
      <c r="D1434">
        <v>11.6</v>
      </c>
      <c r="E1434">
        <v>0.19</v>
      </c>
      <c r="F1434">
        <v>0.6</v>
      </c>
      <c r="G1434">
        <v>0.6</v>
      </c>
      <c r="H1434">
        <v>125</v>
      </c>
      <c r="I1434">
        <v>1</v>
      </c>
      <c r="J1434">
        <v>2</v>
      </c>
      <c r="K1434">
        <v>53.5</v>
      </c>
      <c r="L1434" t="s">
        <v>119</v>
      </c>
      <c r="M1434" t="s">
        <v>118</v>
      </c>
    </row>
    <row r="1435" spans="2:13" x14ac:dyDescent="0.2">
      <c r="B1435">
        <v>3057</v>
      </c>
      <c r="C1435">
        <v>3</v>
      </c>
      <c r="D1435">
        <v>11.7</v>
      </c>
      <c r="E1435">
        <v>0.2</v>
      </c>
      <c r="F1435">
        <v>0.6</v>
      </c>
      <c r="G1435">
        <v>0.6</v>
      </c>
      <c r="H1435">
        <v>126</v>
      </c>
      <c r="I1435">
        <v>1</v>
      </c>
      <c r="J1435">
        <v>3</v>
      </c>
      <c r="K1435">
        <v>49.3</v>
      </c>
      <c r="L1435" t="s">
        <v>125</v>
      </c>
      <c r="M1435" t="s">
        <v>118</v>
      </c>
    </row>
    <row r="1436" spans="2:13" x14ac:dyDescent="0.2">
      <c r="B1436">
        <v>3057</v>
      </c>
      <c r="C1436">
        <v>3</v>
      </c>
      <c r="D1436">
        <v>12.1</v>
      </c>
      <c r="E1436">
        <v>0.2</v>
      </c>
      <c r="F1436">
        <v>0.6</v>
      </c>
      <c r="G1436">
        <v>0.45</v>
      </c>
      <c r="H1436">
        <v>130</v>
      </c>
      <c r="I1436">
        <v>1</v>
      </c>
      <c r="J1436">
        <v>3</v>
      </c>
      <c r="K1436">
        <v>49.6</v>
      </c>
      <c r="L1436" t="s">
        <v>126</v>
      </c>
      <c r="M1436" t="s">
        <v>116</v>
      </c>
    </row>
    <row r="1437" spans="2:13" x14ac:dyDescent="0.2">
      <c r="B1437">
        <v>3057</v>
      </c>
      <c r="C1437">
        <v>3</v>
      </c>
      <c r="D1437">
        <v>18.100000000000001</v>
      </c>
      <c r="E1437">
        <v>0.3</v>
      </c>
      <c r="F1437">
        <v>0.45</v>
      </c>
      <c r="G1437">
        <v>0.45</v>
      </c>
      <c r="H1437">
        <v>179</v>
      </c>
      <c r="I1437">
        <v>5</v>
      </c>
      <c r="J1437">
        <v>3</v>
      </c>
      <c r="K1437">
        <v>57.5</v>
      </c>
      <c r="L1437" t="s">
        <v>115</v>
      </c>
      <c r="M1437" t="s">
        <v>116</v>
      </c>
    </row>
    <row r="1438" spans="2:13" x14ac:dyDescent="0.2">
      <c r="B1438">
        <v>3057</v>
      </c>
      <c r="C1438">
        <v>4</v>
      </c>
      <c r="D1438">
        <v>0</v>
      </c>
      <c r="E1438">
        <v>0</v>
      </c>
      <c r="F1438">
        <v>0.6</v>
      </c>
      <c r="G1438">
        <v>0.6</v>
      </c>
      <c r="H1438">
        <v>0</v>
      </c>
      <c r="I1438">
        <v>0</v>
      </c>
      <c r="J1438">
        <v>0</v>
      </c>
      <c r="K1438">
        <v>50</v>
      </c>
      <c r="L1438" t="s">
        <v>113</v>
      </c>
      <c r="M1438" t="s">
        <v>114</v>
      </c>
    </row>
    <row r="1439" spans="2:13" x14ac:dyDescent="0.2">
      <c r="B1439">
        <v>3057</v>
      </c>
      <c r="C1439">
        <v>4</v>
      </c>
      <c r="D1439">
        <v>6</v>
      </c>
      <c r="E1439">
        <v>0.1</v>
      </c>
      <c r="F1439">
        <v>0.6</v>
      </c>
      <c r="G1439">
        <v>0.6</v>
      </c>
      <c r="H1439">
        <v>65</v>
      </c>
      <c r="I1439">
        <v>0</v>
      </c>
      <c r="J1439">
        <v>0</v>
      </c>
      <c r="K1439">
        <v>88.4</v>
      </c>
      <c r="L1439" t="s">
        <v>115</v>
      </c>
      <c r="M1439" t="s">
        <v>116</v>
      </c>
    </row>
    <row r="1440" spans="2:13" x14ac:dyDescent="0.2">
      <c r="B1440">
        <v>3057</v>
      </c>
      <c r="C1440">
        <v>4</v>
      </c>
      <c r="D1440">
        <v>11.3</v>
      </c>
      <c r="E1440">
        <v>0.19</v>
      </c>
      <c r="F1440">
        <v>0.6</v>
      </c>
      <c r="G1440">
        <v>0.6</v>
      </c>
      <c r="H1440">
        <v>122</v>
      </c>
      <c r="I1440">
        <v>3</v>
      </c>
      <c r="J1440">
        <v>1</v>
      </c>
      <c r="K1440">
        <v>73.3</v>
      </c>
      <c r="L1440" t="s">
        <v>122</v>
      </c>
      <c r="M1440" t="s">
        <v>118</v>
      </c>
    </row>
    <row r="1441" spans="2:13" x14ac:dyDescent="0.2">
      <c r="B1441">
        <v>3057</v>
      </c>
      <c r="C1441">
        <v>4</v>
      </c>
      <c r="D1441">
        <v>12.1</v>
      </c>
      <c r="E1441">
        <v>0.2</v>
      </c>
      <c r="F1441">
        <v>0.6</v>
      </c>
      <c r="G1441">
        <v>0.6</v>
      </c>
      <c r="H1441">
        <v>130</v>
      </c>
      <c r="I1441">
        <v>3</v>
      </c>
      <c r="J1441">
        <v>1</v>
      </c>
      <c r="K1441">
        <v>73.2</v>
      </c>
      <c r="L1441" t="s">
        <v>121</v>
      </c>
      <c r="M1441" t="s">
        <v>116</v>
      </c>
    </row>
    <row r="1442" spans="2:13" x14ac:dyDescent="0.2">
      <c r="B1442">
        <v>3057</v>
      </c>
      <c r="C1442">
        <v>4</v>
      </c>
      <c r="D1442">
        <v>18.100000000000001</v>
      </c>
      <c r="E1442">
        <v>0.3</v>
      </c>
      <c r="F1442">
        <v>0.6</v>
      </c>
      <c r="G1442">
        <v>0.6</v>
      </c>
      <c r="H1442">
        <v>195</v>
      </c>
      <c r="I1442">
        <v>6</v>
      </c>
      <c r="J1442">
        <v>1</v>
      </c>
      <c r="K1442">
        <v>76.8</v>
      </c>
      <c r="L1442" t="s">
        <v>115</v>
      </c>
      <c r="M1442" t="s">
        <v>116</v>
      </c>
    </row>
    <row r="1443" spans="2:13" x14ac:dyDescent="0.2">
      <c r="B1443">
        <v>3057</v>
      </c>
      <c r="C1443">
        <v>5</v>
      </c>
      <c r="D1443">
        <v>0</v>
      </c>
      <c r="E1443">
        <v>0</v>
      </c>
      <c r="F1443">
        <v>0.6</v>
      </c>
      <c r="G1443">
        <v>0.6</v>
      </c>
      <c r="H1443">
        <v>0</v>
      </c>
      <c r="I1443">
        <v>0</v>
      </c>
      <c r="J1443">
        <v>0</v>
      </c>
      <c r="K1443">
        <v>50</v>
      </c>
      <c r="L1443" t="s">
        <v>113</v>
      </c>
      <c r="M1443" t="s">
        <v>114</v>
      </c>
    </row>
    <row r="1444" spans="2:13" x14ac:dyDescent="0.2">
      <c r="B1444">
        <v>3057</v>
      </c>
      <c r="C1444">
        <v>5</v>
      </c>
      <c r="D1444">
        <v>6</v>
      </c>
      <c r="E1444">
        <v>0.1</v>
      </c>
      <c r="F1444">
        <v>0.6</v>
      </c>
      <c r="G1444">
        <v>0.6</v>
      </c>
      <c r="H1444">
        <v>65</v>
      </c>
      <c r="I1444">
        <v>0</v>
      </c>
      <c r="J1444">
        <v>0</v>
      </c>
      <c r="K1444">
        <v>36.799999999999997</v>
      </c>
      <c r="L1444" t="s">
        <v>115</v>
      </c>
      <c r="M1444" t="s">
        <v>116</v>
      </c>
    </row>
    <row r="1445" spans="2:13" x14ac:dyDescent="0.2">
      <c r="B1445">
        <v>3057</v>
      </c>
      <c r="C1445">
        <v>5</v>
      </c>
      <c r="D1445">
        <v>7.9</v>
      </c>
      <c r="E1445">
        <v>0.13</v>
      </c>
      <c r="F1445">
        <v>0.6</v>
      </c>
      <c r="G1445">
        <v>0.6</v>
      </c>
      <c r="H1445">
        <v>86</v>
      </c>
      <c r="I1445">
        <v>0</v>
      </c>
      <c r="J1445">
        <v>1</v>
      </c>
      <c r="K1445">
        <v>71.400000000000006</v>
      </c>
      <c r="L1445" t="s">
        <v>117</v>
      </c>
      <c r="M1445" t="s">
        <v>118</v>
      </c>
    </row>
    <row r="1446" spans="2:13" x14ac:dyDescent="0.2">
      <c r="B1446">
        <v>3057</v>
      </c>
      <c r="C1446">
        <v>5</v>
      </c>
      <c r="D1446">
        <v>12.1</v>
      </c>
      <c r="E1446">
        <v>0.2</v>
      </c>
      <c r="F1446">
        <v>0.6</v>
      </c>
      <c r="G1446">
        <v>0.6</v>
      </c>
      <c r="H1446">
        <v>130</v>
      </c>
      <c r="I1446">
        <v>5</v>
      </c>
      <c r="J1446">
        <v>1</v>
      </c>
      <c r="K1446">
        <v>76.5</v>
      </c>
      <c r="L1446" t="s">
        <v>136</v>
      </c>
      <c r="M1446" t="s">
        <v>116</v>
      </c>
    </row>
    <row r="1447" spans="2:13" x14ac:dyDescent="0.2">
      <c r="B1447">
        <v>3057</v>
      </c>
      <c r="C1447">
        <v>5</v>
      </c>
      <c r="D1447">
        <v>17.100000000000001</v>
      </c>
      <c r="E1447">
        <v>0.28999999999999998</v>
      </c>
      <c r="F1447">
        <v>0.6</v>
      </c>
      <c r="G1447">
        <v>0.6</v>
      </c>
      <c r="H1447">
        <v>185</v>
      </c>
      <c r="I1447">
        <v>8</v>
      </c>
      <c r="J1447">
        <v>2</v>
      </c>
      <c r="K1447">
        <v>69.2</v>
      </c>
      <c r="L1447" t="s">
        <v>119</v>
      </c>
      <c r="M1447" t="s">
        <v>118</v>
      </c>
    </row>
    <row r="1448" spans="2:13" x14ac:dyDescent="0.2">
      <c r="B1448">
        <v>3057</v>
      </c>
      <c r="C1448">
        <v>5</v>
      </c>
      <c r="D1448">
        <v>18.100000000000001</v>
      </c>
      <c r="E1448">
        <v>0.3</v>
      </c>
      <c r="F1448">
        <v>0.6</v>
      </c>
      <c r="G1448">
        <v>0.6</v>
      </c>
      <c r="H1448">
        <v>195</v>
      </c>
      <c r="I1448">
        <v>10</v>
      </c>
      <c r="J1448">
        <v>2</v>
      </c>
      <c r="K1448">
        <v>68.900000000000006</v>
      </c>
      <c r="L1448" t="s">
        <v>132</v>
      </c>
      <c r="M1448" t="s">
        <v>116</v>
      </c>
    </row>
    <row r="1449" spans="2:13" x14ac:dyDescent="0.2">
      <c r="B1449">
        <v>3058</v>
      </c>
      <c r="C1449">
        <v>1</v>
      </c>
      <c r="D1449">
        <v>0</v>
      </c>
      <c r="E1449">
        <v>0</v>
      </c>
      <c r="F1449">
        <v>0.6</v>
      </c>
      <c r="G1449">
        <v>0.6</v>
      </c>
      <c r="H1449">
        <v>0</v>
      </c>
      <c r="I1449">
        <v>0</v>
      </c>
      <c r="J1449">
        <v>0</v>
      </c>
      <c r="K1449">
        <v>50</v>
      </c>
      <c r="L1449" t="s">
        <v>113</v>
      </c>
      <c r="M1449" t="s">
        <v>114</v>
      </c>
    </row>
    <row r="1450" spans="2:13" x14ac:dyDescent="0.2">
      <c r="B1450">
        <v>3058</v>
      </c>
      <c r="C1450">
        <v>1</v>
      </c>
      <c r="D1450">
        <v>6</v>
      </c>
      <c r="E1450">
        <v>0.1</v>
      </c>
      <c r="F1450">
        <v>0.6</v>
      </c>
      <c r="G1450">
        <v>0.6</v>
      </c>
      <c r="H1450">
        <v>65</v>
      </c>
      <c r="I1450">
        <v>0</v>
      </c>
      <c r="J1450">
        <v>0</v>
      </c>
      <c r="K1450">
        <v>42.1</v>
      </c>
      <c r="L1450" t="s">
        <v>115</v>
      </c>
      <c r="M1450" t="s">
        <v>116</v>
      </c>
    </row>
    <row r="1451" spans="2:13" x14ac:dyDescent="0.2">
      <c r="B1451">
        <v>3058</v>
      </c>
      <c r="C1451">
        <v>1</v>
      </c>
      <c r="D1451">
        <v>10.9</v>
      </c>
      <c r="E1451">
        <v>0.18</v>
      </c>
      <c r="F1451">
        <v>0.6</v>
      </c>
      <c r="G1451">
        <v>0.6</v>
      </c>
      <c r="H1451">
        <v>117</v>
      </c>
      <c r="I1451">
        <v>3</v>
      </c>
      <c r="J1451">
        <v>1</v>
      </c>
      <c r="K1451">
        <v>65.099999999999994</v>
      </c>
      <c r="L1451" t="s">
        <v>129</v>
      </c>
      <c r="M1451" t="s">
        <v>118</v>
      </c>
    </row>
    <row r="1452" spans="2:13" x14ac:dyDescent="0.2">
      <c r="B1452">
        <v>3058</v>
      </c>
      <c r="C1452">
        <v>1</v>
      </c>
      <c r="D1452">
        <v>12.1</v>
      </c>
      <c r="E1452">
        <v>0.2</v>
      </c>
      <c r="F1452">
        <v>0.6</v>
      </c>
      <c r="G1452">
        <v>0.6</v>
      </c>
      <c r="H1452">
        <v>130</v>
      </c>
      <c r="I1452">
        <v>3</v>
      </c>
      <c r="J1452">
        <v>1</v>
      </c>
      <c r="K1452">
        <v>73.400000000000006</v>
      </c>
      <c r="L1452" t="s">
        <v>124</v>
      </c>
      <c r="M1452" t="s">
        <v>116</v>
      </c>
    </row>
    <row r="1453" spans="2:13" x14ac:dyDescent="0.2">
      <c r="B1453">
        <v>3058</v>
      </c>
      <c r="C1453">
        <v>1</v>
      </c>
      <c r="D1453">
        <v>13.6</v>
      </c>
      <c r="E1453">
        <v>0.23</v>
      </c>
      <c r="F1453">
        <v>0.6</v>
      </c>
      <c r="G1453">
        <v>0.6</v>
      </c>
      <c r="H1453">
        <v>147</v>
      </c>
      <c r="I1453">
        <v>4</v>
      </c>
      <c r="J1453">
        <v>2</v>
      </c>
      <c r="K1453">
        <v>65.400000000000006</v>
      </c>
      <c r="L1453" t="s">
        <v>127</v>
      </c>
      <c r="M1453" t="s">
        <v>118</v>
      </c>
    </row>
    <row r="1454" spans="2:13" x14ac:dyDescent="0.2">
      <c r="B1454">
        <v>3058</v>
      </c>
      <c r="C1454">
        <v>1</v>
      </c>
      <c r="D1454">
        <v>18.100000000000001</v>
      </c>
      <c r="E1454">
        <v>0.3</v>
      </c>
      <c r="F1454">
        <v>0.6</v>
      </c>
      <c r="G1454">
        <v>0.6</v>
      </c>
      <c r="H1454">
        <v>195</v>
      </c>
      <c r="I1454">
        <v>6</v>
      </c>
      <c r="J1454">
        <v>2</v>
      </c>
      <c r="K1454">
        <v>70.3</v>
      </c>
      <c r="L1454" t="s">
        <v>121</v>
      </c>
      <c r="M1454" t="s">
        <v>116</v>
      </c>
    </row>
    <row r="1455" spans="2:13" x14ac:dyDescent="0.2">
      <c r="B1455">
        <v>3058</v>
      </c>
      <c r="C1455">
        <v>2</v>
      </c>
      <c r="D1455">
        <v>0</v>
      </c>
      <c r="E1455">
        <v>0</v>
      </c>
      <c r="F1455">
        <v>0.6</v>
      </c>
      <c r="G1455">
        <v>0.6</v>
      </c>
      <c r="H1455">
        <v>0</v>
      </c>
      <c r="I1455">
        <v>0</v>
      </c>
      <c r="J1455">
        <v>0</v>
      </c>
      <c r="K1455">
        <v>50</v>
      </c>
      <c r="L1455" t="s">
        <v>113</v>
      </c>
      <c r="M1455" t="s">
        <v>114</v>
      </c>
    </row>
    <row r="1456" spans="2:13" x14ac:dyDescent="0.2">
      <c r="B1456">
        <v>3058</v>
      </c>
      <c r="C1456">
        <v>2</v>
      </c>
      <c r="D1456">
        <v>6</v>
      </c>
      <c r="E1456">
        <v>0.1</v>
      </c>
      <c r="F1456">
        <v>0.6</v>
      </c>
      <c r="G1456">
        <v>0.6</v>
      </c>
      <c r="H1456">
        <v>65</v>
      </c>
      <c r="I1456">
        <v>0</v>
      </c>
      <c r="J1456">
        <v>0</v>
      </c>
      <c r="K1456">
        <v>40.5</v>
      </c>
      <c r="L1456" t="s">
        <v>115</v>
      </c>
      <c r="M1456" t="s">
        <v>116</v>
      </c>
    </row>
    <row r="1457" spans="2:13" x14ac:dyDescent="0.2">
      <c r="B1457">
        <v>3058</v>
      </c>
      <c r="C1457">
        <v>2</v>
      </c>
      <c r="D1457">
        <v>11.8</v>
      </c>
      <c r="E1457">
        <v>0.2</v>
      </c>
      <c r="F1457">
        <v>0.6</v>
      </c>
      <c r="G1457">
        <v>0.6</v>
      </c>
      <c r="H1457">
        <v>127</v>
      </c>
      <c r="I1457">
        <v>2</v>
      </c>
      <c r="J1457">
        <v>1</v>
      </c>
      <c r="K1457">
        <v>41.3</v>
      </c>
      <c r="L1457" t="s">
        <v>117</v>
      </c>
      <c r="M1457" t="s">
        <v>118</v>
      </c>
    </row>
    <row r="1458" spans="2:13" x14ac:dyDescent="0.2">
      <c r="B1458">
        <v>3058</v>
      </c>
      <c r="C1458">
        <v>2</v>
      </c>
      <c r="D1458">
        <v>12.1</v>
      </c>
      <c r="E1458">
        <v>0.2</v>
      </c>
      <c r="F1458">
        <v>0.6</v>
      </c>
      <c r="G1458">
        <v>0.6</v>
      </c>
      <c r="H1458">
        <v>130</v>
      </c>
      <c r="I1458">
        <v>2</v>
      </c>
      <c r="J1458">
        <v>1</v>
      </c>
      <c r="K1458">
        <v>41.5</v>
      </c>
      <c r="L1458" t="s">
        <v>132</v>
      </c>
      <c r="M1458" t="s">
        <v>116</v>
      </c>
    </row>
    <row r="1459" spans="2:13" x14ac:dyDescent="0.2">
      <c r="B1459">
        <v>3058</v>
      </c>
      <c r="C1459">
        <v>2</v>
      </c>
      <c r="D1459">
        <v>17.600000000000001</v>
      </c>
      <c r="E1459">
        <v>0.28999999999999998</v>
      </c>
      <c r="F1459">
        <v>0.6</v>
      </c>
      <c r="G1459">
        <v>0.6</v>
      </c>
      <c r="H1459">
        <v>190</v>
      </c>
      <c r="I1459">
        <v>8</v>
      </c>
      <c r="J1459">
        <v>2</v>
      </c>
      <c r="K1459">
        <v>57.7</v>
      </c>
      <c r="L1459" t="s">
        <v>119</v>
      </c>
      <c r="M1459" t="s">
        <v>118</v>
      </c>
    </row>
    <row r="1460" spans="2:13" x14ac:dyDescent="0.2">
      <c r="B1460">
        <v>3058</v>
      </c>
      <c r="C1460">
        <v>2</v>
      </c>
      <c r="D1460">
        <v>18.100000000000001</v>
      </c>
      <c r="E1460">
        <v>0.3</v>
      </c>
      <c r="F1460">
        <v>0.6</v>
      </c>
      <c r="G1460">
        <v>0.6</v>
      </c>
      <c r="H1460">
        <v>195</v>
      </c>
      <c r="I1460">
        <v>9</v>
      </c>
      <c r="J1460">
        <v>2</v>
      </c>
      <c r="K1460">
        <v>57.7</v>
      </c>
      <c r="L1460" t="s">
        <v>121</v>
      </c>
      <c r="M1460" t="s">
        <v>116</v>
      </c>
    </row>
    <row r="1461" spans="2:13" x14ac:dyDescent="0.2">
      <c r="B1461">
        <v>3058</v>
      </c>
      <c r="C1461">
        <v>3</v>
      </c>
      <c r="D1461">
        <v>0</v>
      </c>
      <c r="E1461">
        <v>0</v>
      </c>
      <c r="F1461">
        <v>0.6</v>
      </c>
      <c r="G1461">
        <v>0.6</v>
      </c>
      <c r="H1461">
        <v>0</v>
      </c>
      <c r="I1461">
        <v>0</v>
      </c>
      <c r="J1461">
        <v>0</v>
      </c>
      <c r="K1461">
        <v>50</v>
      </c>
      <c r="L1461" t="s">
        <v>113</v>
      </c>
      <c r="M1461" t="s">
        <v>114</v>
      </c>
    </row>
    <row r="1462" spans="2:13" x14ac:dyDescent="0.2">
      <c r="B1462">
        <v>3058</v>
      </c>
      <c r="C1462">
        <v>3</v>
      </c>
      <c r="D1462">
        <v>6</v>
      </c>
      <c r="E1462">
        <v>0.1</v>
      </c>
      <c r="F1462">
        <v>0.6</v>
      </c>
      <c r="G1462">
        <v>0.6</v>
      </c>
      <c r="H1462">
        <v>65</v>
      </c>
      <c r="I1462">
        <v>0</v>
      </c>
      <c r="J1462">
        <v>0</v>
      </c>
      <c r="K1462">
        <v>42.6</v>
      </c>
      <c r="L1462" t="s">
        <v>115</v>
      </c>
      <c r="M1462" t="s">
        <v>116</v>
      </c>
    </row>
    <row r="1463" spans="2:13" x14ac:dyDescent="0.2">
      <c r="B1463">
        <v>3058</v>
      </c>
      <c r="C1463">
        <v>3</v>
      </c>
      <c r="D1463">
        <v>12.1</v>
      </c>
      <c r="E1463">
        <v>0.2</v>
      </c>
      <c r="F1463">
        <v>0.6</v>
      </c>
      <c r="G1463">
        <v>0.6</v>
      </c>
      <c r="H1463">
        <v>130</v>
      </c>
      <c r="I1463">
        <v>5</v>
      </c>
      <c r="J1463">
        <v>0</v>
      </c>
      <c r="K1463">
        <v>90.5</v>
      </c>
      <c r="L1463" t="s">
        <v>115</v>
      </c>
      <c r="M1463" t="s">
        <v>116</v>
      </c>
    </row>
    <row r="1464" spans="2:13" x14ac:dyDescent="0.2">
      <c r="B1464">
        <v>3058</v>
      </c>
      <c r="C1464">
        <v>3</v>
      </c>
      <c r="D1464">
        <v>18.100000000000001</v>
      </c>
      <c r="E1464">
        <v>0.3</v>
      </c>
      <c r="F1464">
        <v>0.6</v>
      </c>
      <c r="G1464">
        <v>0.7</v>
      </c>
      <c r="H1464">
        <v>195</v>
      </c>
      <c r="I1464">
        <v>8</v>
      </c>
      <c r="J1464">
        <v>0</v>
      </c>
      <c r="K1464">
        <v>89.9</v>
      </c>
      <c r="L1464" t="s">
        <v>128</v>
      </c>
      <c r="M1464" t="s">
        <v>116</v>
      </c>
    </row>
    <row r="1465" spans="2:13" x14ac:dyDescent="0.2">
      <c r="B1465">
        <v>3058</v>
      </c>
      <c r="C1465">
        <v>4</v>
      </c>
      <c r="D1465">
        <v>0</v>
      </c>
      <c r="E1465">
        <v>0</v>
      </c>
      <c r="F1465">
        <v>0.6</v>
      </c>
      <c r="G1465">
        <v>0.6</v>
      </c>
      <c r="H1465">
        <v>0</v>
      </c>
      <c r="I1465">
        <v>0</v>
      </c>
      <c r="J1465">
        <v>0</v>
      </c>
      <c r="K1465">
        <v>50</v>
      </c>
      <c r="L1465" t="s">
        <v>113</v>
      </c>
      <c r="M1465" t="s">
        <v>114</v>
      </c>
    </row>
    <row r="1466" spans="2:13" x14ac:dyDescent="0.2">
      <c r="B1466">
        <v>3058</v>
      </c>
      <c r="C1466">
        <v>4</v>
      </c>
      <c r="D1466">
        <v>6</v>
      </c>
      <c r="E1466">
        <v>0.1</v>
      </c>
      <c r="F1466">
        <v>0.6</v>
      </c>
      <c r="G1466">
        <v>0.6</v>
      </c>
      <c r="H1466">
        <v>65</v>
      </c>
      <c r="I1466">
        <v>1</v>
      </c>
      <c r="J1466">
        <v>0</v>
      </c>
      <c r="K1466">
        <v>43.4</v>
      </c>
      <c r="L1466" t="s">
        <v>115</v>
      </c>
      <c r="M1466" t="s">
        <v>116</v>
      </c>
    </row>
    <row r="1467" spans="2:13" x14ac:dyDescent="0.2">
      <c r="B1467">
        <v>3058</v>
      </c>
      <c r="C1467">
        <v>4</v>
      </c>
      <c r="D1467">
        <v>8.6999999999999993</v>
      </c>
      <c r="E1467">
        <v>0.15</v>
      </c>
      <c r="F1467">
        <v>0.6</v>
      </c>
      <c r="G1467">
        <v>0.6</v>
      </c>
      <c r="H1467">
        <v>95</v>
      </c>
      <c r="I1467">
        <v>2</v>
      </c>
      <c r="J1467">
        <v>1</v>
      </c>
      <c r="K1467">
        <v>43.7</v>
      </c>
      <c r="L1467" t="s">
        <v>122</v>
      </c>
      <c r="M1467" t="s">
        <v>118</v>
      </c>
    </row>
    <row r="1468" spans="2:13" x14ac:dyDescent="0.2">
      <c r="B1468">
        <v>3058</v>
      </c>
      <c r="C1468">
        <v>4</v>
      </c>
      <c r="D1468">
        <v>12.1</v>
      </c>
      <c r="E1468">
        <v>0.2</v>
      </c>
      <c r="F1468">
        <v>0.6</v>
      </c>
      <c r="G1468">
        <v>0.6</v>
      </c>
      <c r="H1468">
        <v>130</v>
      </c>
      <c r="I1468">
        <v>5</v>
      </c>
      <c r="J1468">
        <v>1</v>
      </c>
      <c r="K1468">
        <v>67.3</v>
      </c>
      <c r="L1468" t="s">
        <v>121</v>
      </c>
      <c r="M1468" t="s">
        <v>116</v>
      </c>
    </row>
    <row r="1469" spans="2:13" x14ac:dyDescent="0.2">
      <c r="B1469">
        <v>3058</v>
      </c>
      <c r="C1469">
        <v>4</v>
      </c>
      <c r="D1469">
        <v>13.4</v>
      </c>
      <c r="E1469">
        <v>0.22</v>
      </c>
      <c r="F1469">
        <v>0.6</v>
      </c>
      <c r="G1469">
        <v>0.6</v>
      </c>
      <c r="H1469">
        <v>145</v>
      </c>
      <c r="I1469">
        <v>7</v>
      </c>
      <c r="J1469">
        <v>2</v>
      </c>
      <c r="K1469">
        <v>59.2</v>
      </c>
      <c r="L1469" t="s">
        <v>123</v>
      </c>
      <c r="M1469" t="s">
        <v>118</v>
      </c>
    </row>
    <row r="1470" spans="2:13" x14ac:dyDescent="0.2">
      <c r="B1470">
        <v>3058</v>
      </c>
      <c r="C1470">
        <v>4</v>
      </c>
      <c r="D1470">
        <v>18.100000000000001</v>
      </c>
      <c r="E1470">
        <v>0.3</v>
      </c>
      <c r="F1470">
        <v>0.6</v>
      </c>
      <c r="G1470">
        <v>0.6</v>
      </c>
      <c r="H1470">
        <v>195</v>
      </c>
      <c r="I1470">
        <v>10</v>
      </c>
      <c r="J1470">
        <v>2</v>
      </c>
      <c r="K1470">
        <v>72.400000000000006</v>
      </c>
      <c r="L1470" t="s">
        <v>124</v>
      </c>
      <c r="M1470" t="s">
        <v>116</v>
      </c>
    </row>
    <row r="1471" spans="2:13" x14ac:dyDescent="0.2">
      <c r="B1471">
        <v>3058</v>
      </c>
      <c r="C1471">
        <v>5</v>
      </c>
      <c r="D1471">
        <v>0</v>
      </c>
      <c r="E1471">
        <v>0</v>
      </c>
      <c r="F1471">
        <v>0.6</v>
      </c>
      <c r="G1471">
        <v>0.6</v>
      </c>
      <c r="H1471">
        <v>0</v>
      </c>
      <c r="I1471">
        <v>0</v>
      </c>
      <c r="J1471">
        <v>0</v>
      </c>
      <c r="K1471">
        <v>50</v>
      </c>
      <c r="L1471" t="s">
        <v>113</v>
      </c>
      <c r="M1471" t="s">
        <v>114</v>
      </c>
    </row>
    <row r="1472" spans="2:13" x14ac:dyDescent="0.2">
      <c r="B1472">
        <v>3058</v>
      </c>
      <c r="C1472">
        <v>5</v>
      </c>
      <c r="D1472">
        <v>6</v>
      </c>
      <c r="E1472">
        <v>0.1</v>
      </c>
      <c r="F1472">
        <v>0.6</v>
      </c>
      <c r="G1472">
        <v>0.6</v>
      </c>
      <c r="H1472">
        <v>65</v>
      </c>
      <c r="I1472">
        <v>0</v>
      </c>
      <c r="J1472">
        <v>0</v>
      </c>
      <c r="K1472">
        <v>93.4</v>
      </c>
      <c r="L1472" t="s">
        <v>115</v>
      </c>
      <c r="M1472" t="s">
        <v>116</v>
      </c>
    </row>
    <row r="1473" spans="2:13" x14ac:dyDescent="0.2">
      <c r="B1473">
        <v>3058</v>
      </c>
      <c r="C1473">
        <v>5</v>
      </c>
      <c r="D1473">
        <v>12.1</v>
      </c>
      <c r="E1473">
        <v>0.2</v>
      </c>
      <c r="F1473">
        <v>0.6</v>
      </c>
      <c r="G1473">
        <v>0.7</v>
      </c>
      <c r="H1473">
        <v>130</v>
      </c>
      <c r="I1473">
        <v>5</v>
      </c>
      <c r="J1473">
        <v>0</v>
      </c>
      <c r="K1473">
        <v>91.5</v>
      </c>
      <c r="L1473" t="s">
        <v>128</v>
      </c>
      <c r="M1473" t="s">
        <v>116</v>
      </c>
    </row>
    <row r="1474" spans="2:13" x14ac:dyDescent="0.2">
      <c r="B1474">
        <v>3058</v>
      </c>
      <c r="C1474">
        <v>5</v>
      </c>
      <c r="D1474">
        <v>15.8</v>
      </c>
      <c r="E1474">
        <v>0.26</v>
      </c>
      <c r="F1474">
        <v>0.7</v>
      </c>
      <c r="G1474">
        <v>0.7</v>
      </c>
      <c r="H1474">
        <v>177</v>
      </c>
      <c r="I1474">
        <v>8</v>
      </c>
      <c r="J1474">
        <v>1</v>
      </c>
      <c r="K1474">
        <v>83.4</v>
      </c>
      <c r="L1474" t="s">
        <v>117</v>
      </c>
      <c r="M1474" t="s">
        <v>118</v>
      </c>
    </row>
    <row r="1475" spans="2:13" x14ac:dyDescent="0.2">
      <c r="B1475">
        <v>3059</v>
      </c>
      <c r="C1475">
        <v>1</v>
      </c>
      <c r="D1475">
        <v>0</v>
      </c>
      <c r="E1475">
        <v>0</v>
      </c>
      <c r="F1475">
        <v>0.6</v>
      </c>
      <c r="G1475">
        <v>0.6</v>
      </c>
      <c r="H1475">
        <v>0</v>
      </c>
      <c r="I1475">
        <v>0</v>
      </c>
      <c r="J1475">
        <v>0</v>
      </c>
      <c r="K1475">
        <v>50</v>
      </c>
      <c r="L1475" t="s">
        <v>113</v>
      </c>
      <c r="M1475" t="s">
        <v>114</v>
      </c>
    </row>
    <row r="1476" spans="2:13" x14ac:dyDescent="0.2">
      <c r="B1476">
        <v>3059</v>
      </c>
      <c r="C1476">
        <v>1</v>
      </c>
      <c r="D1476">
        <v>6</v>
      </c>
      <c r="E1476">
        <v>0.1</v>
      </c>
      <c r="F1476">
        <v>0.6</v>
      </c>
      <c r="G1476">
        <v>0.6</v>
      </c>
      <c r="H1476">
        <v>65</v>
      </c>
      <c r="I1476">
        <v>0</v>
      </c>
      <c r="J1476">
        <v>0</v>
      </c>
      <c r="K1476">
        <v>32.6</v>
      </c>
      <c r="L1476" t="s">
        <v>115</v>
      </c>
      <c r="M1476" t="s">
        <v>116</v>
      </c>
    </row>
    <row r="1477" spans="2:13" x14ac:dyDescent="0.2">
      <c r="B1477">
        <v>3059</v>
      </c>
      <c r="C1477">
        <v>1</v>
      </c>
      <c r="D1477">
        <v>8.1999999999999993</v>
      </c>
      <c r="E1477">
        <v>0.14000000000000001</v>
      </c>
      <c r="F1477">
        <v>0.6</v>
      </c>
      <c r="G1477">
        <v>0.6</v>
      </c>
      <c r="H1477">
        <v>89</v>
      </c>
      <c r="I1477">
        <v>0</v>
      </c>
      <c r="J1477">
        <v>1</v>
      </c>
      <c r="K1477">
        <v>32.6</v>
      </c>
      <c r="L1477" t="s">
        <v>117</v>
      </c>
      <c r="M1477" t="s">
        <v>118</v>
      </c>
    </row>
    <row r="1478" spans="2:13" x14ac:dyDescent="0.2">
      <c r="B1478">
        <v>3059</v>
      </c>
      <c r="C1478">
        <v>1</v>
      </c>
      <c r="D1478">
        <v>8.3000000000000007</v>
      </c>
      <c r="E1478">
        <v>0.14000000000000001</v>
      </c>
      <c r="F1478">
        <v>0.6</v>
      </c>
      <c r="G1478">
        <v>0.6</v>
      </c>
      <c r="H1478">
        <v>90</v>
      </c>
      <c r="I1478">
        <v>1</v>
      </c>
      <c r="J1478">
        <v>2</v>
      </c>
      <c r="K1478">
        <v>32.6</v>
      </c>
      <c r="L1478" t="s">
        <v>119</v>
      </c>
      <c r="M1478" t="s">
        <v>118</v>
      </c>
    </row>
    <row r="1479" spans="2:13" x14ac:dyDescent="0.2">
      <c r="B1479">
        <v>3059</v>
      </c>
      <c r="C1479">
        <v>1</v>
      </c>
      <c r="D1479">
        <v>12.1</v>
      </c>
      <c r="E1479">
        <v>0.2</v>
      </c>
      <c r="F1479">
        <v>0.6</v>
      </c>
      <c r="G1479">
        <v>0.45</v>
      </c>
      <c r="H1479">
        <v>130</v>
      </c>
      <c r="I1479">
        <v>2</v>
      </c>
      <c r="J1479">
        <v>2</v>
      </c>
      <c r="K1479">
        <v>48.8</v>
      </c>
      <c r="L1479" t="s">
        <v>120</v>
      </c>
      <c r="M1479" t="s">
        <v>116</v>
      </c>
    </row>
    <row r="1480" spans="2:13" x14ac:dyDescent="0.2">
      <c r="B1480">
        <v>3059</v>
      </c>
      <c r="C1480">
        <v>1</v>
      </c>
      <c r="D1480">
        <v>18.100000000000001</v>
      </c>
      <c r="E1480">
        <v>0.3</v>
      </c>
      <c r="F1480">
        <v>0.45</v>
      </c>
      <c r="G1480">
        <v>0.45</v>
      </c>
      <c r="H1480">
        <v>179</v>
      </c>
      <c r="I1480">
        <v>5</v>
      </c>
      <c r="J1480">
        <v>2</v>
      </c>
      <c r="K1480">
        <v>47.4</v>
      </c>
      <c r="L1480" t="s">
        <v>115</v>
      </c>
      <c r="M1480" t="s">
        <v>116</v>
      </c>
    </row>
    <row r="1481" spans="2:13" x14ac:dyDescent="0.2">
      <c r="B1481">
        <v>3059</v>
      </c>
      <c r="C1481">
        <v>2</v>
      </c>
      <c r="D1481">
        <v>0</v>
      </c>
      <c r="E1481">
        <v>0</v>
      </c>
      <c r="F1481">
        <v>0.6</v>
      </c>
      <c r="G1481">
        <v>0.6</v>
      </c>
      <c r="H1481">
        <v>0</v>
      </c>
      <c r="I1481">
        <v>0</v>
      </c>
      <c r="J1481">
        <v>0</v>
      </c>
      <c r="K1481">
        <v>50</v>
      </c>
      <c r="L1481" t="s">
        <v>113</v>
      </c>
      <c r="M1481" t="s">
        <v>114</v>
      </c>
    </row>
    <row r="1482" spans="2:13" x14ac:dyDescent="0.2">
      <c r="B1482">
        <v>3059</v>
      </c>
      <c r="C1482">
        <v>2</v>
      </c>
      <c r="D1482">
        <v>6</v>
      </c>
      <c r="E1482">
        <v>0.1</v>
      </c>
      <c r="F1482">
        <v>0.6</v>
      </c>
      <c r="G1482">
        <v>0.6</v>
      </c>
      <c r="H1482">
        <v>65</v>
      </c>
      <c r="I1482">
        <v>1</v>
      </c>
      <c r="J1482">
        <v>0</v>
      </c>
      <c r="K1482">
        <v>36</v>
      </c>
      <c r="L1482" t="s">
        <v>115</v>
      </c>
      <c r="M1482" t="s">
        <v>116</v>
      </c>
    </row>
    <row r="1483" spans="2:13" x14ac:dyDescent="0.2">
      <c r="B1483">
        <v>3059</v>
      </c>
      <c r="C1483">
        <v>2</v>
      </c>
      <c r="D1483">
        <v>12.1</v>
      </c>
      <c r="E1483">
        <v>0.2</v>
      </c>
      <c r="F1483">
        <v>0.6</v>
      </c>
      <c r="G1483">
        <v>0.7</v>
      </c>
      <c r="H1483">
        <v>130</v>
      </c>
      <c r="I1483">
        <v>6</v>
      </c>
      <c r="J1483">
        <v>0</v>
      </c>
      <c r="K1483">
        <v>85.1</v>
      </c>
      <c r="L1483" t="s">
        <v>128</v>
      </c>
      <c r="M1483" t="s">
        <v>116</v>
      </c>
    </row>
    <row r="1484" spans="2:13" x14ac:dyDescent="0.2">
      <c r="B1484">
        <v>3059</v>
      </c>
      <c r="C1484">
        <v>2</v>
      </c>
      <c r="D1484">
        <v>12.6</v>
      </c>
      <c r="E1484">
        <v>0.21</v>
      </c>
      <c r="F1484">
        <v>0.7</v>
      </c>
      <c r="G1484">
        <v>0.7</v>
      </c>
      <c r="H1484">
        <v>136</v>
      </c>
      <c r="I1484">
        <v>7</v>
      </c>
      <c r="J1484">
        <v>1</v>
      </c>
      <c r="K1484">
        <v>72.8</v>
      </c>
      <c r="L1484" t="s">
        <v>117</v>
      </c>
      <c r="M1484" t="s">
        <v>118</v>
      </c>
    </row>
    <row r="1485" spans="2:13" x14ac:dyDescent="0.2">
      <c r="B1485">
        <v>3059</v>
      </c>
      <c r="C1485">
        <v>2</v>
      </c>
      <c r="D1485">
        <v>15.6</v>
      </c>
      <c r="E1485">
        <v>0.26</v>
      </c>
      <c r="F1485">
        <v>0.7</v>
      </c>
      <c r="G1485">
        <v>0.7</v>
      </c>
      <c r="H1485">
        <v>175</v>
      </c>
      <c r="I1485">
        <v>10</v>
      </c>
      <c r="J1485">
        <v>2</v>
      </c>
      <c r="K1485">
        <v>65.400000000000006</v>
      </c>
      <c r="L1485" t="s">
        <v>127</v>
      </c>
      <c r="M1485" t="s">
        <v>118</v>
      </c>
    </row>
    <row r="1486" spans="2:13" x14ac:dyDescent="0.2">
      <c r="B1486">
        <v>3059</v>
      </c>
      <c r="C1486">
        <v>3</v>
      </c>
      <c r="D1486">
        <v>0</v>
      </c>
      <c r="E1486">
        <v>0</v>
      </c>
      <c r="F1486">
        <v>0.6</v>
      </c>
      <c r="G1486">
        <v>0.6</v>
      </c>
      <c r="H1486">
        <v>0</v>
      </c>
      <c r="I1486">
        <v>0</v>
      </c>
      <c r="J1486">
        <v>0</v>
      </c>
      <c r="K1486">
        <v>50</v>
      </c>
      <c r="L1486" t="s">
        <v>113</v>
      </c>
      <c r="M1486" t="s">
        <v>114</v>
      </c>
    </row>
    <row r="1487" spans="2:13" x14ac:dyDescent="0.2">
      <c r="B1487">
        <v>3059</v>
      </c>
      <c r="C1487">
        <v>3</v>
      </c>
      <c r="D1487">
        <v>6</v>
      </c>
      <c r="E1487">
        <v>0.1</v>
      </c>
      <c r="F1487">
        <v>0.6</v>
      </c>
      <c r="G1487">
        <v>0.6</v>
      </c>
      <c r="H1487">
        <v>65</v>
      </c>
      <c r="I1487">
        <v>0</v>
      </c>
      <c r="J1487">
        <v>0</v>
      </c>
      <c r="K1487">
        <v>34.299999999999997</v>
      </c>
      <c r="L1487" t="s">
        <v>115</v>
      </c>
      <c r="M1487" t="s">
        <v>116</v>
      </c>
    </row>
    <row r="1488" spans="2:13" x14ac:dyDescent="0.2">
      <c r="B1488">
        <v>3059</v>
      </c>
      <c r="C1488">
        <v>3</v>
      </c>
      <c r="D1488">
        <v>6.5</v>
      </c>
      <c r="E1488">
        <v>0.11</v>
      </c>
      <c r="F1488">
        <v>0.6</v>
      </c>
      <c r="G1488">
        <v>0.6</v>
      </c>
      <c r="H1488">
        <v>71</v>
      </c>
      <c r="I1488">
        <v>0</v>
      </c>
      <c r="J1488">
        <v>1</v>
      </c>
      <c r="K1488">
        <v>34.700000000000003</v>
      </c>
      <c r="L1488" t="s">
        <v>117</v>
      </c>
      <c r="M1488" t="s">
        <v>118</v>
      </c>
    </row>
    <row r="1489" spans="2:13" x14ac:dyDescent="0.2">
      <c r="B1489">
        <v>3059</v>
      </c>
      <c r="C1489">
        <v>3</v>
      </c>
      <c r="D1489">
        <v>12</v>
      </c>
      <c r="E1489">
        <v>0.2</v>
      </c>
      <c r="F1489">
        <v>0.6</v>
      </c>
      <c r="G1489">
        <v>0.6</v>
      </c>
      <c r="H1489">
        <v>130</v>
      </c>
      <c r="I1489">
        <v>3</v>
      </c>
      <c r="J1489">
        <v>2</v>
      </c>
      <c r="K1489">
        <v>35.200000000000003</v>
      </c>
      <c r="L1489" t="s">
        <v>127</v>
      </c>
      <c r="M1489" t="s">
        <v>118</v>
      </c>
    </row>
    <row r="1490" spans="2:13" x14ac:dyDescent="0.2">
      <c r="B1490">
        <v>3059</v>
      </c>
      <c r="C1490">
        <v>3</v>
      </c>
      <c r="D1490">
        <v>12.1</v>
      </c>
      <c r="E1490">
        <v>0.2</v>
      </c>
      <c r="F1490">
        <v>0.6</v>
      </c>
      <c r="G1490">
        <v>0.45</v>
      </c>
      <c r="H1490">
        <v>130</v>
      </c>
      <c r="I1490">
        <v>3</v>
      </c>
      <c r="J1490">
        <v>2</v>
      </c>
      <c r="K1490">
        <v>35.299999999999997</v>
      </c>
      <c r="L1490" t="s">
        <v>126</v>
      </c>
      <c r="M1490" t="s">
        <v>116</v>
      </c>
    </row>
    <row r="1491" spans="2:13" x14ac:dyDescent="0.2">
      <c r="B1491">
        <v>3059</v>
      </c>
      <c r="C1491">
        <v>3</v>
      </c>
      <c r="D1491">
        <v>16.100000000000001</v>
      </c>
      <c r="E1491">
        <v>0.27</v>
      </c>
      <c r="F1491">
        <v>0.45</v>
      </c>
      <c r="G1491">
        <v>0.45</v>
      </c>
      <c r="H1491">
        <v>163</v>
      </c>
      <c r="I1491">
        <v>4</v>
      </c>
      <c r="J1491">
        <v>3</v>
      </c>
      <c r="K1491">
        <v>34.200000000000003</v>
      </c>
      <c r="L1491" t="s">
        <v>135</v>
      </c>
      <c r="M1491" t="s">
        <v>118</v>
      </c>
    </row>
    <row r="1492" spans="2:13" x14ac:dyDescent="0.2">
      <c r="B1492">
        <v>3059</v>
      </c>
      <c r="C1492">
        <v>3</v>
      </c>
      <c r="D1492">
        <v>18.100000000000001</v>
      </c>
      <c r="E1492">
        <v>0.3</v>
      </c>
      <c r="F1492">
        <v>0.45</v>
      </c>
      <c r="G1492">
        <v>0.45</v>
      </c>
      <c r="H1492">
        <v>179</v>
      </c>
      <c r="I1492">
        <v>5</v>
      </c>
      <c r="J1492">
        <v>3</v>
      </c>
      <c r="K1492">
        <v>34.200000000000003</v>
      </c>
      <c r="L1492" t="s">
        <v>132</v>
      </c>
      <c r="M1492" t="s">
        <v>116</v>
      </c>
    </row>
    <row r="1493" spans="2:13" x14ac:dyDescent="0.2">
      <c r="B1493">
        <v>3059</v>
      </c>
      <c r="C1493">
        <v>4</v>
      </c>
      <c r="D1493">
        <v>0</v>
      </c>
      <c r="E1493">
        <v>0</v>
      </c>
      <c r="F1493">
        <v>0.6</v>
      </c>
      <c r="G1493">
        <v>0.6</v>
      </c>
      <c r="H1493">
        <v>0</v>
      </c>
      <c r="I1493">
        <v>0</v>
      </c>
      <c r="J1493">
        <v>0</v>
      </c>
      <c r="K1493">
        <v>50</v>
      </c>
      <c r="L1493" t="s">
        <v>113</v>
      </c>
      <c r="M1493" t="s">
        <v>114</v>
      </c>
    </row>
    <row r="1494" spans="2:13" x14ac:dyDescent="0.2">
      <c r="B1494">
        <v>3059</v>
      </c>
      <c r="C1494">
        <v>4</v>
      </c>
      <c r="D1494">
        <v>5.7</v>
      </c>
      <c r="E1494">
        <v>0.1</v>
      </c>
      <c r="F1494">
        <v>0.6</v>
      </c>
      <c r="G1494">
        <v>0.6</v>
      </c>
      <c r="H1494">
        <v>62</v>
      </c>
      <c r="I1494">
        <v>0</v>
      </c>
      <c r="J1494">
        <v>1</v>
      </c>
      <c r="K1494">
        <v>33.5</v>
      </c>
      <c r="L1494" t="s">
        <v>122</v>
      </c>
      <c r="M1494" t="s">
        <v>118</v>
      </c>
    </row>
    <row r="1495" spans="2:13" x14ac:dyDescent="0.2">
      <c r="B1495">
        <v>3059</v>
      </c>
      <c r="C1495">
        <v>4</v>
      </c>
      <c r="D1495">
        <v>6</v>
      </c>
      <c r="E1495">
        <v>0.1</v>
      </c>
      <c r="F1495">
        <v>0.6</v>
      </c>
      <c r="G1495">
        <v>0.6</v>
      </c>
      <c r="H1495">
        <v>65</v>
      </c>
      <c r="I1495">
        <v>0</v>
      </c>
      <c r="J1495">
        <v>1</v>
      </c>
      <c r="K1495">
        <v>32.6</v>
      </c>
      <c r="L1495" t="s">
        <v>132</v>
      </c>
      <c r="M1495" t="s">
        <v>116</v>
      </c>
    </row>
    <row r="1496" spans="2:13" x14ac:dyDescent="0.2">
      <c r="B1496">
        <v>3059</v>
      </c>
      <c r="C1496">
        <v>4</v>
      </c>
      <c r="D1496">
        <v>12.1</v>
      </c>
      <c r="E1496">
        <v>0.2</v>
      </c>
      <c r="F1496">
        <v>0.6</v>
      </c>
      <c r="G1496">
        <v>0.7</v>
      </c>
      <c r="H1496">
        <v>130</v>
      </c>
      <c r="I1496">
        <v>6</v>
      </c>
      <c r="J1496">
        <v>1</v>
      </c>
      <c r="K1496">
        <v>67.2</v>
      </c>
      <c r="L1496" t="s">
        <v>128</v>
      </c>
      <c r="M1496" t="s">
        <v>116</v>
      </c>
    </row>
    <row r="1497" spans="2:13" x14ac:dyDescent="0.2">
      <c r="B1497">
        <v>3059</v>
      </c>
      <c r="C1497">
        <v>4</v>
      </c>
      <c r="D1497">
        <v>13</v>
      </c>
      <c r="E1497">
        <v>0.22</v>
      </c>
      <c r="F1497">
        <v>0.7</v>
      </c>
      <c r="G1497">
        <v>0.7</v>
      </c>
      <c r="H1497">
        <v>142</v>
      </c>
      <c r="I1497">
        <v>6</v>
      </c>
      <c r="J1497">
        <v>2</v>
      </c>
      <c r="K1497">
        <v>58.8</v>
      </c>
      <c r="L1497" t="s">
        <v>133</v>
      </c>
      <c r="M1497" t="s">
        <v>118</v>
      </c>
    </row>
    <row r="1498" spans="2:13" x14ac:dyDescent="0.2">
      <c r="B1498">
        <v>3059</v>
      </c>
      <c r="C1498">
        <v>4</v>
      </c>
      <c r="D1498">
        <v>13.1</v>
      </c>
      <c r="E1498">
        <v>0.22</v>
      </c>
      <c r="F1498">
        <v>0.7</v>
      </c>
      <c r="G1498">
        <v>0.7</v>
      </c>
      <c r="H1498">
        <v>143</v>
      </c>
      <c r="I1498">
        <v>6</v>
      </c>
      <c r="J1498">
        <v>3</v>
      </c>
      <c r="K1498">
        <v>53.9</v>
      </c>
      <c r="L1498" t="s">
        <v>150</v>
      </c>
      <c r="M1498" t="s">
        <v>118</v>
      </c>
    </row>
    <row r="1499" spans="2:13" x14ac:dyDescent="0.2">
      <c r="B1499">
        <v>3059</v>
      </c>
      <c r="C1499">
        <v>5</v>
      </c>
      <c r="D1499">
        <v>0</v>
      </c>
      <c r="E1499">
        <v>0</v>
      </c>
      <c r="F1499">
        <v>0.6</v>
      </c>
      <c r="G1499">
        <v>0.6</v>
      </c>
      <c r="H1499">
        <v>0</v>
      </c>
      <c r="I1499">
        <v>0</v>
      </c>
      <c r="J1499">
        <v>0</v>
      </c>
      <c r="K1499">
        <v>50</v>
      </c>
      <c r="L1499" t="s">
        <v>113</v>
      </c>
      <c r="M1499" t="s">
        <v>114</v>
      </c>
    </row>
    <row r="1500" spans="2:13" x14ac:dyDescent="0.2">
      <c r="B1500">
        <v>3059</v>
      </c>
      <c r="C1500">
        <v>5</v>
      </c>
      <c r="D1500">
        <v>6</v>
      </c>
      <c r="E1500">
        <v>0.1</v>
      </c>
      <c r="F1500">
        <v>0.6</v>
      </c>
      <c r="G1500">
        <v>0.6</v>
      </c>
      <c r="H1500">
        <v>65</v>
      </c>
      <c r="I1500">
        <v>1</v>
      </c>
      <c r="J1500">
        <v>0</v>
      </c>
      <c r="K1500">
        <v>38.4</v>
      </c>
      <c r="L1500" t="s">
        <v>115</v>
      </c>
      <c r="M1500" t="s">
        <v>116</v>
      </c>
    </row>
    <row r="1501" spans="2:13" x14ac:dyDescent="0.2">
      <c r="B1501">
        <v>3059</v>
      </c>
      <c r="C1501">
        <v>5</v>
      </c>
      <c r="D1501">
        <v>7.6</v>
      </c>
      <c r="E1501">
        <v>0.13</v>
      </c>
      <c r="F1501">
        <v>0.6</v>
      </c>
      <c r="G1501">
        <v>0.6</v>
      </c>
      <c r="H1501">
        <v>83</v>
      </c>
      <c r="I1501">
        <v>1</v>
      </c>
      <c r="J1501">
        <v>1</v>
      </c>
      <c r="K1501">
        <v>61.9</v>
      </c>
      <c r="L1501" t="s">
        <v>122</v>
      </c>
      <c r="M1501" t="s">
        <v>118</v>
      </c>
    </row>
    <row r="1502" spans="2:13" x14ac:dyDescent="0.2">
      <c r="B1502">
        <v>3059</v>
      </c>
      <c r="C1502">
        <v>5</v>
      </c>
      <c r="D1502">
        <v>9.4</v>
      </c>
      <c r="E1502">
        <v>0.16</v>
      </c>
      <c r="F1502">
        <v>0.6</v>
      </c>
      <c r="G1502">
        <v>0.6</v>
      </c>
      <c r="H1502">
        <v>102</v>
      </c>
      <c r="I1502">
        <v>1</v>
      </c>
      <c r="J1502">
        <v>2</v>
      </c>
      <c r="K1502">
        <v>53.9</v>
      </c>
      <c r="L1502" t="s">
        <v>127</v>
      </c>
      <c r="M1502" t="s">
        <v>118</v>
      </c>
    </row>
    <row r="1503" spans="2:13" x14ac:dyDescent="0.2">
      <c r="B1503">
        <v>3059</v>
      </c>
      <c r="C1503">
        <v>5</v>
      </c>
      <c r="D1503">
        <v>11</v>
      </c>
      <c r="E1503">
        <v>0.18</v>
      </c>
      <c r="F1503">
        <v>0.6</v>
      </c>
      <c r="G1503">
        <v>0.6</v>
      </c>
      <c r="H1503">
        <v>119</v>
      </c>
      <c r="I1503">
        <v>3</v>
      </c>
      <c r="J1503">
        <v>3</v>
      </c>
      <c r="K1503">
        <v>48.9</v>
      </c>
      <c r="L1503" t="s">
        <v>125</v>
      </c>
      <c r="M1503" t="s">
        <v>118</v>
      </c>
    </row>
    <row r="1504" spans="2:13" x14ac:dyDescent="0.2">
      <c r="B1504">
        <v>3059</v>
      </c>
      <c r="C1504">
        <v>5</v>
      </c>
      <c r="D1504">
        <v>12.1</v>
      </c>
      <c r="E1504">
        <v>0.2</v>
      </c>
      <c r="F1504">
        <v>0.6</v>
      </c>
      <c r="G1504">
        <v>0.45</v>
      </c>
      <c r="H1504">
        <v>130</v>
      </c>
      <c r="I1504">
        <v>3</v>
      </c>
      <c r="J1504">
        <v>3</v>
      </c>
      <c r="K1504">
        <v>48.8</v>
      </c>
      <c r="L1504" t="s">
        <v>131</v>
      </c>
      <c r="M1504" t="s">
        <v>116</v>
      </c>
    </row>
    <row r="1505" spans="2:13" x14ac:dyDescent="0.2">
      <c r="B1505">
        <v>3059</v>
      </c>
      <c r="C1505">
        <v>5</v>
      </c>
      <c r="D1505">
        <v>18.100000000000001</v>
      </c>
      <c r="E1505">
        <v>0.3</v>
      </c>
      <c r="F1505">
        <v>0.45</v>
      </c>
      <c r="G1505">
        <v>0.45</v>
      </c>
      <c r="H1505">
        <v>179</v>
      </c>
      <c r="I1505">
        <v>3</v>
      </c>
      <c r="J1505">
        <v>3</v>
      </c>
      <c r="K1505">
        <v>56.4</v>
      </c>
      <c r="L1505" t="s">
        <v>115</v>
      </c>
      <c r="M1505" t="s">
        <v>116</v>
      </c>
    </row>
    <row r="1506" spans="2:13" x14ac:dyDescent="0.2">
      <c r="B1506">
        <v>3060</v>
      </c>
      <c r="C1506">
        <v>1</v>
      </c>
      <c r="D1506">
        <v>0</v>
      </c>
      <c r="E1506">
        <v>0</v>
      </c>
      <c r="F1506">
        <v>0.6</v>
      </c>
      <c r="G1506">
        <v>0.6</v>
      </c>
      <c r="H1506">
        <v>0</v>
      </c>
      <c r="I1506">
        <v>0</v>
      </c>
      <c r="J1506">
        <v>0</v>
      </c>
      <c r="K1506">
        <v>50</v>
      </c>
      <c r="L1506" t="s">
        <v>113</v>
      </c>
      <c r="M1506" t="s">
        <v>114</v>
      </c>
    </row>
    <row r="1507" spans="2:13" x14ac:dyDescent="0.2">
      <c r="B1507">
        <v>3060</v>
      </c>
      <c r="C1507">
        <v>1</v>
      </c>
      <c r="D1507">
        <v>6</v>
      </c>
      <c r="E1507">
        <v>0.1</v>
      </c>
      <c r="F1507">
        <v>0.6</v>
      </c>
      <c r="G1507">
        <v>0.6</v>
      </c>
      <c r="H1507">
        <v>65</v>
      </c>
      <c r="I1507">
        <v>1</v>
      </c>
      <c r="J1507">
        <v>0</v>
      </c>
      <c r="K1507">
        <v>89.3</v>
      </c>
      <c r="L1507" t="s">
        <v>115</v>
      </c>
      <c r="M1507" t="s">
        <v>116</v>
      </c>
    </row>
    <row r="1508" spans="2:13" x14ac:dyDescent="0.2">
      <c r="B1508">
        <v>3060</v>
      </c>
      <c r="C1508">
        <v>1</v>
      </c>
      <c r="D1508">
        <v>6.5</v>
      </c>
      <c r="E1508">
        <v>0.11</v>
      </c>
      <c r="F1508">
        <v>0.6</v>
      </c>
      <c r="G1508">
        <v>0.6</v>
      </c>
      <c r="H1508">
        <v>71</v>
      </c>
      <c r="I1508">
        <v>2</v>
      </c>
      <c r="J1508">
        <v>1</v>
      </c>
      <c r="K1508">
        <v>63.9</v>
      </c>
      <c r="L1508" t="s">
        <v>122</v>
      </c>
      <c r="M1508" t="s">
        <v>118</v>
      </c>
    </row>
    <row r="1509" spans="2:13" x14ac:dyDescent="0.2">
      <c r="B1509">
        <v>3060</v>
      </c>
      <c r="C1509">
        <v>1</v>
      </c>
      <c r="D1509">
        <v>12.1</v>
      </c>
      <c r="E1509">
        <v>0.2</v>
      </c>
      <c r="F1509">
        <v>0.6</v>
      </c>
      <c r="G1509">
        <v>0.6</v>
      </c>
      <c r="H1509">
        <v>130</v>
      </c>
      <c r="I1509">
        <v>7</v>
      </c>
      <c r="J1509">
        <v>1</v>
      </c>
      <c r="K1509">
        <v>72.8</v>
      </c>
      <c r="L1509" t="s">
        <v>121</v>
      </c>
      <c r="M1509" t="s">
        <v>116</v>
      </c>
    </row>
    <row r="1510" spans="2:13" x14ac:dyDescent="0.2">
      <c r="B1510">
        <v>3060</v>
      </c>
      <c r="C1510">
        <v>1</v>
      </c>
      <c r="D1510">
        <v>18.100000000000001</v>
      </c>
      <c r="E1510">
        <v>0.3</v>
      </c>
      <c r="F1510">
        <v>0.6</v>
      </c>
      <c r="G1510">
        <v>0.6</v>
      </c>
      <c r="H1510">
        <v>195</v>
      </c>
      <c r="I1510">
        <v>12</v>
      </c>
      <c r="J1510">
        <v>1</v>
      </c>
      <c r="K1510">
        <v>73.599999999999994</v>
      </c>
      <c r="L1510" t="s">
        <v>115</v>
      </c>
      <c r="M1510" t="s">
        <v>116</v>
      </c>
    </row>
    <row r="1511" spans="2:13" x14ac:dyDescent="0.2">
      <c r="B1511">
        <v>3060</v>
      </c>
      <c r="C1511">
        <v>2</v>
      </c>
      <c r="D1511">
        <v>0</v>
      </c>
      <c r="E1511">
        <v>0</v>
      </c>
      <c r="F1511">
        <v>0.6</v>
      </c>
      <c r="G1511">
        <v>0.6</v>
      </c>
      <c r="H1511">
        <v>0</v>
      </c>
      <c r="I1511">
        <v>0</v>
      </c>
      <c r="J1511">
        <v>0</v>
      </c>
      <c r="K1511">
        <v>50</v>
      </c>
      <c r="L1511" t="s">
        <v>113</v>
      </c>
      <c r="M1511" t="s">
        <v>114</v>
      </c>
    </row>
    <row r="1512" spans="2:13" x14ac:dyDescent="0.2">
      <c r="B1512">
        <v>3060</v>
      </c>
      <c r="C1512">
        <v>2</v>
      </c>
      <c r="D1512">
        <v>5.5</v>
      </c>
      <c r="E1512">
        <v>0.09</v>
      </c>
      <c r="F1512">
        <v>0.6</v>
      </c>
      <c r="G1512">
        <v>0.6</v>
      </c>
      <c r="H1512">
        <v>60</v>
      </c>
      <c r="I1512">
        <v>0</v>
      </c>
      <c r="J1512">
        <v>1</v>
      </c>
      <c r="K1512">
        <v>40.1</v>
      </c>
      <c r="L1512" t="s">
        <v>117</v>
      </c>
      <c r="M1512" t="s">
        <v>118</v>
      </c>
    </row>
    <row r="1513" spans="2:13" x14ac:dyDescent="0.2">
      <c r="B1513">
        <v>3060</v>
      </c>
      <c r="C1513">
        <v>2</v>
      </c>
      <c r="D1513">
        <v>6</v>
      </c>
      <c r="E1513">
        <v>0.1</v>
      </c>
      <c r="F1513">
        <v>0.6</v>
      </c>
      <c r="G1513">
        <v>0.6</v>
      </c>
      <c r="H1513">
        <v>65</v>
      </c>
      <c r="I1513">
        <v>0</v>
      </c>
      <c r="J1513">
        <v>1</v>
      </c>
      <c r="K1513">
        <v>40.1</v>
      </c>
      <c r="L1513" t="s">
        <v>132</v>
      </c>
      <c r="M1513" t="s">
        <v>116</v>
      </c>
    </row>
    <row r="1514" spans="2:13" x14ac:dyDescent="0.2">
      <c r="B1514">
        <v>3060</v>
      </c>
      <c r="C1514">
        <v>2</v>
      </c>
      <c r="D1514">
        <v>10.199999999999999</v>
      </c>
      <c r="E1514">
        <v>0.17</v>
      </c>
      <c r="F1514">
        <v>0.6</v>
      </c>
      <c r="G1514">
        <v>0.6</v>
      </c>
      <c r="H1514">
        <v>110</v>
      </c>
      <c r="I1514">
        <v>2</v>
      </c>
      <c r="J1514">
        <v>2</v>
      </c>
      <c r="K1514">
        <v>56.6</v>
      </c>
      <c r="L1514" t="s">
        <v>119</v>
      </c>
      <c r="M1514" t="s">
        <v>118</v>
      </c>
    </row>
    <row r="1515" spans="2:13" x14ac:dyDescent="0.2">
      <c r="B1515">
        <v>3060</v>
      </c>
      <c r="C1515">
        <v>2</v>
      </c>
      <c r="D1515">
        <v>12.1</v>
      </c>
      <c r="E1515">
        <v>0.2</v>
      </c>
      <c r="F1515">
        <v>0.6</v>
      </c>
      <c r="G1515">
        <v>0.6</v>
      </c>
      <c r="H1515">
        <v>130</v>
      </c>
      <c r="I1515">
        <v>2</v>
      </c>
      <c r="J1515">
        <v>2</v>
      </c>
      <c r="K1515">
        <v>56.7</v>
      </c>
      <c r="L1515" t="s">
        <v>121</v>
      </c>
      <c r="M1515" t="s">
        <v>116</v>
      </c>
    </row>
    <row r="1516" spans="2:13" x14ac:dyDescent="0.2">
      <c r="B1516">
        <v>3060</v>
      </c>
      <c r="C1516">
        <v>2</v>
      </c>
      <c r="D1516">
        <v>18.100000000000001</v>
      </c>
      <c r="E1516">
        <v>0.3</v>
      </c>
      <c r="F1516">
        <v>0.6</v>
      </c>
      <c r="G1516">
        <v>0.7</v>
      </c>
      <c r="H1516">
        <v>195</v>
      </c>
      <c r="I1516">
        <v>5</v>
      </c>
      <c r="J1516">
        <v>2</v>
      </c>
      <c r="K1516">
        <v>70.3</v>
      </c>
      <c r="L1516" t="s">
        <v>128</v>
      </c>
      <c r="M1516" t="s">
        <v>116</v>
      </c>
    </row>
    <row r="1517" spans="2:13" x14ac:dyDescent="0.2">
      <c r="B1517">
        <v>3060</v>
      </c>
      <c r="C1517">
        <v>3</v>
      </c>
      <c r="D1517">
        <v>0</v>
      </c>
      <c r="E1517">
        <v>0</v>
      </c>
      <c r="F1517">
        <v>0.6</v>
      </c>
      <c r="G1517">
        <v>0.6</v>
      </c>
      <c r="H1517">
        <v>0</v>
      </c>
      <c r="I1517">
        <v>0</v>
      </c>
      <c r="J1517">
        <v>0</v>
      </c>
      <c r="K1517">
        <v>50</v>
      </c>
      <c r="L1517" t="s">
        <v>113</v>
      </c>
      <c r="M1517" t="s">
        <v>114</v>
      </c>
    </row>
    <row r="1518" spans="2:13" x14ac:dyDescent="0.2">
      <c r="B1518">
        <v>3060</v>
      </c>
      <c r="C1518">
        <v>3</v>
      </c>
      <c r="D1518">
        <v>6</v>
      </c>
      <c r="E1518">
        <v>0.1</v>
      </c>
      <c r="F1518">
        <v>0.6</v>
      </c>
      <c r="G1518">
        <v>0.6</v>
      </c>
      <c r="H1518">
        <v>65</v>
      </c>
      <c r="I1518">
        <v>1</v>
      </c>
      <c r="J1518">
        <v>0</v>
      </c>
      <c r="K1518">
        <v>90.1</v>
      </c>
      <c r="L1518" t="s">
        <v>115</v>
      </c>
      <c r="M1518" t="s">
        <v>116</v>
      </c>
    </row>
    <row r="1519" spans="2:13" x14ac:dyDescent="0.2">
      <c r="B1519">
        <v>3060</v>
      </c>
      <c r="C1519">
        <v>3</v>
      </c>
      <c r="D1519">
        <v>12.1</v>
      </c>
      <c r="E1519">
        <v>0.2</v>
      </c>
      <c r="F1519">
        <v>0.6</v>
      </c>
      <c r="G1519">
        <v>0.7</v>
      </c>
      <c r="H1519">
        <v>130</v>
      </c>
      <c r="I1519">
        <v>3</v>
      </c>
      <c r="J1519">
        <v>0</v>
      </c>
      <c r="K1519">
        <v>91.3</v>
      </c>
      <c r="L1519" t="s">
        <v>128</v>
      </c>
      <c r="M1519" t="s">
        <v>116</v>
      </c>
    </row>
    <row r="1520" spans="2:13" x14ac:dyDescent="0.2">
      <c r="B1520">
        <v>3060</v>
      </c>
      <c r="C1520">
        <v>4</v>
      </c>
      <c r="D1520">
        <v>0</v>
      </c>
      <c r="E1520">
        <v>0</v>
      </c>
      <c r="F1520">
        <v>0.6</v>
      </c>
      <c r="G1520">
        <v>0.6</v>
      </c>
      <c r="H1520">
        <v>0</v>
      </c>
      <c r="I1520">
        <v>0</v>
      </c>
      <c r="J1520">
        <v>0</v>
      </c>
      <c r="K1520">
        <v>50</v>
      </c>
      <c r="L1520" t="s">
        <v>113</v>
      </c>
      <c r="M1520" t="s">
        <v>114</v>
      </c>
    </row>
    <row r="1521" spans="2:13" x14ac:dyDescent="0.2">
      <c r="B1521">
        <v>3060</v>
      </c>
      <c r="C1521">
        <v>4</v>
      </c>
      <c r="D1521">
        <v>6</v>
      </c>
      <c r="E1521">
        <v>0.1</v>
      </c>
      <c r="F1521">
        <v>0.6</v>
      </c>
      <c r="G1521">
        <v>0.6</v>
      </c>
      <c r="H1521">
        <v>65</v>
      </c>
      <c r="I1521">
        <v>2</v>
      </c>
      <c r="J1521">
        <v>0</v>
      </c>
      <c r="K1521">
        <v>40.1</v>
      </c>
      <c r="L1521" t="s">
        <v>115</v>
      </c>
      <c r="M1521" t="s">
        <v>116</v>
      </c>
    </row>
    <row r="1522" spans="2:13" x14ac:dyDescent="0.2">
      <c r="B1522">
        <v>3060</v>
      </c>
      <c r="C1522">
        <v>4</v>
      </c>
      <c r="D1522">
        <v>10.4</v>
      </c>
      <c r="E1522">
        <v>0.17</v>
      </c>
      <c r="F1522">
        <v>0.6</v>
      </c>
      <c r="G1522">
        <v>0.6</v>
      </c>
      <c r="H1522">
        <v>112</v>
      </c>
      <c r="I1522">
        <v>4</v>
      </c>
      <c r="J1522">
        <v>1</v>
      </c>
      <c r="K1522">
        <v>41.1</v>
      </c>
      <c r="L1522" t="s">
        <v>122</v>
      </c>
      <c r="M1522" t="s">
        <v>118</v>
      </c>
    </row>
    <row r="1523" spans="2:13" x14ac:dyDescent="0.2">
      <c r="B1523">
        <v>3060</v>
      </c>
      <c r="C1523">
        <v>4</v>
      </c>
      <c r="D1523">
        <v>12.1</v>
      </c>
      <c r="E1523">
        <v>0.2</v>
      </c>
      <c r="F1523">
        <v>0.6</v>
      </c>
      <c r="G1523">
        <v>0.6</v>
      </c>
      <c r="H1523">
        <v>130</v>
      </c>
      <c r="I1523">
        <v>4</v>
      </c>
      <c r="J1523">
        <v>1</v>
      </c>
      <c r="K1523">
        <v>40.200000000000003</v>
      </c>
      <c r="L1523" t="s">
        <v>132</v>
      </c>
      <c r="M1523" t="s">
        <v>116</v>
      </c>
    </row>
    <row r="1524" spans="2:13" x14ac:dyDescent="0.2">
      <c r="B1524">
        <v>3060</v>
      </c>
      <c r="C1524">
        <v>4</v>
      </c>
      <c r="D1524">
        <v>12.4</v>
      </c>
      <c r="E1524">
        <v>0.21</v>
      </c>
      <c r="F1524">
        <v>0.6</v>
      </c>
      <c r="G1524">
        <v>0.6</v>
      </c>
      <c r="H1524">
        <v>133</v>
      </c>
      <c r="I1524">
        <v>4</v>
      </c>
      <c r="J1524">
        <v>2</v>
      </c>
      <c r="K1524">
        <v>40.1</v>
      </c>
      <c r="L1524" t="s">
        <v>127</v>
      </c>
      <c r="M1524" t="s">
        <v>118</v>
      </c>
    </row>
    <row r="1525" spans="2:13" x14ac:dyDescent="0.2">
      <c r="B1525">
        <v>3060</v>
      </c>
      <c r="C1525">
        <v>4</v>
      </c>
      <c r="D1525">
        <v>18.100000000000001</v>
      </c>
      <c r="E1525">
        <v>0.3</v>
      </c>
      <c r="F1525">
        <v>0.6</v>
      </c>
      <c r="G1525">
        <v>0.6</v>
      </c>
      <c r="H1525">
        <v>195</v>
      </c>
      <c r="I1525">
        <v>9</v>
      </c>
      <c r="J1525">
        <v>2</v>
      </c>
      <c r="K1525">
        <v>65.7</v>
      </c>
      <c r="L1525" t="s">
        <v>124</v>
      </c>
      <c r="M1525" t="s">
        <v>116</v>
      </c>
    </row>
    <row r="1526" spans="2:13" x14ac:dyDescent="0.2">
      <c r="B1526">
        <v>3060</v>
      </c>
      <c r="C1526">
        <v>5</v>
      </c>
      <c r="D1526">
        <v>0</v>
      </c>
      <c r="E1526">
        <v>0</v>
      </c>
      <c r="F1526">
        <v>0.6</v>
      </c>
      <c r="G1526">
        <v>0.6</v>
      </c>
      <c r="H1526">
        <v>0</v>
      </c>
      <c r="I1526">
        <v>0</v>
      </c>
      <c r="J1526">
        <v>0</v>
      </c>
      <c r="K1526">
        <v>50</v>
      </c>
      <c r="L1526" t="s">
        <v>113</v>
      </c>
      <c r="M1526" t="s">
        <v>114</v>
      </c>
    </row>
    <row r="1527" spans="2:13" x14ac:dyDescent="0.2">
      <c r="B1527">
        <v>3060</v>
      </c>
      <c r="C1527">
        <v>5</v>
      </c>
      <c r="D1527">
        <v>6</v>
      </c>
      <c r="E1527">
        <v>0.1</v>
      </c>
      <c r="F1527">
        <v>0.6</v>
      </c>
      <c r="G1527">
        <v>0.6</v>
      </c>
      <c r="H1527">
        <v>65</v>
      </c>
      <c r="I1527">
        <v>1</v>
      </c>
      <c r="J1527">
        <v>0</v>
      </c>
      <c r="K1527">
        <v>41.3</v>
      </c>
      <c r="L1527" t="s">
        <v>115</v>
      </c>
      <c r="M1527" t="s">
        <v>116</v>
      </c>
    </row>
    <row r="1528" spans="2:13" x14ac:dyDescent="0.2">
      <c r="B1528">
        <v>3060</v>
      </c>
      <c r="C1528">
        <v>5</v>
      </c>
      <c r="D1528">
        <v>6.6</v>
      </c>
      <c r="E1528">
        <v>0.11</v>
      </c>
      <c r="F1528">
        <v>0.6</v>
      </c>
      <c r="G1528">
        <v>0.6</v>
      </c>
      <c r="H1528">
        <v>72</v>
      </c>
      <c r="I1528">
        <v>1</v>
      </c>
      <c r="J1528">
        <v>1</v>
      </c>
      <c r="K1528">
        <v>41</v>
      </c>
      <c r="L1528" t="s">
        <v>122</v>
      </c>
      <c r="M1528" t="s">
        <v>118</v>
      </c>
    </row>
    <row r="1529" spans="2:13" x14ac:dyDescent="0.2">
      <c r="B1529">
        <v>3060</v>
      </c>
      <c r="C1529">
        <v>5</v>
      </c>
      <c r="D1529">
        <v>6.9</v>
      </c>
      <c r="E1529">
        <v>0.12</v>
      </c>
      <c r="F1529">
        <v>0.6</v>
      </c>
      <c r="G1529">
        <v>0.6</v>
      </c>
      <c r="H1529">
        <v>75</v>
      </c>
      <c r="I1529">
        <v>1</v>
      </c>
      <c r="J1529">
        <v>2</v>
      </c>
      <c r="K1529">
        <v>41</v>
      </c>
      <c r="L1529" t="s">
        <v>119</v>
      </c>
      <c r="M1529" t="s">
        <v>118</v>
      </c>
    </row>
    <row r="1530" spans="2:13" x14ac:dyDescent="0.2">
      <c r="B1530">
        <v>3060</v>
      </c>
      <c r="C1530">
        <v>5</v>
      </c>
      <c r="D1530">
        <v>8.9</v>
      </c>
      <c r="E1530">
        <v>0.15</v>
      </c>
      <c r="F1530">
        <v>0.6</v>
      </c>
      <c r="G1530">
        <v>0.6</v>
      </c>
      <c r="H1530">
        <v>96</v>
      </c>
      <c r="I1530">
        <v>4</v>
      </c>
      <c r="J1530">
        <v>3</v>
      </c>
      <c r="K1530">
        <v>52.9</v>
      </c>
      <c r="L1530" t="s">
        <v>125</v>
      </c>
      <c r="M1530" t="s">
        <v>118</v>
      </c>
    </row>
    <row r="1531" spans="2:13" x14ac:dyDescent="0.2">
      <c r="B1531">
        <v>3060</v>
      </c>
      <c r="C1531">
        <v>5</v>
      </c>
      <c r="D1531">
        <v>12.1</v>
      </c>
      <c r="E1531">
        <v>0.2</v>
      </c>
      <c r="F1531">
        <v>0.6</v>
      </c>
      <c r="G1531">
        <v>0.45</v>
      </c>
      <c r="H1531">
        <v>130</v>
      </c>
      <c r="I1531">
        <v>4</v>
      </c>
      <c r="J1531">
        <v>3</v>
      </c>
      <c r="K1531">
        <v>53.4</v>
      </c>
      <c r="L1531" t="s">
        <v>131</v>
      </c>
      <c r="M1531" t="s">
        <v>116</v>
      </c>
    </row>
    <row r="1532" spans="2:13" x14ac:dyDescent="0.2">
      <c r="B1532">
        <v>3060</v>
      </c>
      <c r="C1532">
        <v>5</v>
      </c>
      <c r="D1532">
        <v>18.100000000000001</v>
      </c>
      <c r="E1532">
        <v>0.3</v>
      </c>
      <c r="F1532">
        <v>0.45</v>
      </c>
      <c r="G1532">
        <v>0.55000000000000004</v>
      </c>
      <c r="H1532">
        <v>179</v>
      </c>
      <c r="I1532">
        <v>5</v>
      </c>
      <c r="J1532">
        <v>3</v>
      </c>
      <c r="K1532">
        <v>66.599999999999994</v>
      </c>
      <c r="L1532" t="s">
        <v>128</v>
      </c>
      <c r="M1532" t="s">
        <v>116</v>
      </c>
    </row>
    <row r="1533" spans="2:13" x14ac:dyDescent="0.2">
      <c r="B1533">
        <v>3061</v>
      </c>
      <c r="C1533">
        <v>1</v>
      </c>
      <c r="D1533">
        <v>0</v>
      </c>
      <c r="E1533">
        <v>0</v>
      </c>
      <c r="F1533">
        <v>0.6</v>
      </c>
      <c r="G1533">
        <v>0.6</v>
      </c>
      <c r="H1533">
        <v>0</v>
      </c>
      <c r="I1533">
        <v>0</v>
      </c>
      <c r="J1533">
        <v>0</v>
      </c>
      <c r="K1533">
        <v>50</v>
      </c>
      <c r="L1533" t="s">
        <v>113</v>
      </c>
      <c r="M1533" t="s">
        <v>114</v>
      </c>
    </row>
    <row r="1534" spans="2:13" x14ac:dyDescent="0.2">
      <c r="B1534">
        <v>3061</v>
      </c>
      <c r="C1534">
        <v>1</v>
      </c>
      <c r="D1534">
        <v>6</v>
      </c>
      <c r="E1534">
        <v>0.1</v>
      </c>
      <c r="F1534">
        <v>0.6</v>
      </c>
      <c r="G1534">
        <v>0.6</v>
      </c>
      <c r="H1534">
        <v>65</v>
      </c>
      <c r="I1534">
        <v>0</v>
      </c>
      <c r="J1534">
        <v>0</v>
      </c>
      <c r="K1534">
        <v>35.5</v>
      </c>
      <c r="L1534" t="s">
        <v>115</v>
      </c>
      <c r="M1534" t="s">
        <v>116</v>
      </c>
    </row>
    <row r="1535" spans="2:13" x14ac:dyDescent="0.2">
      <c r="B1535">
        <v>3061</v>
      </c>
      <c r="C1535">
        <v>1</v>
      </c>
      <c r="D1535">
        <v>9.4</v>
      </c>
      <c r="E1535">
        <v>0.16</v>
      </c>
      <c r="F1535">
        <v>0.6</v>
      </c>
      <c r="G1535">
        <v>0.6</v>
      </c>
      <c r="H1535">
        <v>102</v>
      </c>
      <c r="I1535">
        <v>1</v>
      </c>
      <c r="J1535">
        <v>1</v>
      </c>
      <c r="K1535">
        <v>61.2</v>
      </c>
      <c r="L1535" t="s">
        <v>122</v>
      </c>
      <c r="M1535" t="s">
        <v>118</v>
      </c>
    </row>
    <row r="1536" spans="2:13" x14ac:dyDescent="0.2">
      <c r="B1536">
        <v>3061</v>
      </c>
      <c r="C1536">
        <v>1</v>
      </c>
      <c r="D1536">
        <v>12.1</v>
      </c>
      <c r="E1536">
        <v>0.2</v>
      </c>
      <c r="F1536">
        <v>0.6</v>
      </c>
      <c r="G1536">
        <v>0.6</v>
      </c>
      <c r="H1536">
        <v>130</v>
      </c>
      <c r="I1536">
        <v>1</v>
      </c>
      <c r="J1536">
        <v>1</v>
      </c>
      <c r="K1536">
        <v>61.5</v>
      </c>
      <c r="L1536" t="s">
        <v>121</v>
      </c>
      <c r="M1536" t="s">
        <v>116</v>
      </c>
    </row>
    <row r="1537" spans="2:13" x14ac:dyDescent="0.2">
      <c r="B1537">
        <v>3061</v>
      </c>
      <c r="C1537">
        <v>1</v>
      </c>
      <c r="D1537">
        <v>13.2</v>
      </c>
      <c r="E1537">
        <v>0.22</v>
      </c>
      <c r="F1537">
        <v>0.6</v>
      </c>
      <c r="G1537">
        <v>0.6</v>
      </c>
      <c r="H1537">
        <v>143</v>
      </c>
      <c r="I1537">
        <v>2</v>
      </c>
      <c r="J1537">
        <v>2</v>
      </c>
      <c r="K1537">
        <v>61.2</v>
      </c>
      <c r="L1537" t="s">
        <v>127</v>
      </c>
      <c r="M1537" t="s">
        <v>118</v>
      </c>
    </row>
    <row r="1538" spans="2:13" x14ac:dyDescent="0.2">
      <c r="B1538">
        <v>3061</v>
      </c>
      <c r="C1538">
        <v>1</v>
      </c>
      <c r="D1538">
        <v>16.399999999999999</v>
      </c>
      <c r="E1538">
        <v>0.27</v>
      </c>
      <c r="F1538">
        <v>0.6</v>
      </c>
      <c r="G1538">
        <v>0.6</v>
      </c>
      <c r="H1538">
        <v>177</v>
      </c>
      <c r="I1538">
        <v>4</v>
      </c>
      <c r="J1538">
        <v>3</v>
      </c>
      <c r="K1538">
        <v>61.4</v>
      </c>
      <c r="L1538" t="s">
        <v>135</v>
      </c>
      <c r="M1538" t="s">
        <v>118</v>
      </c>
    </row>
    <row r="1539" spans="2:13" x14ac:dyDescent="0.2">
      <c r="B1539">
        <v>3061</v>
      </c>
      <c r="C1539">
        <v>1</v>
      </c>
      <c r="D1539">
        <v>18.100000000000001</v>
      </c>
      <c r="E1539">
        <v>0.3</v>
      </c>
      <c r="F1539">
        <v>0.6</v>
      </c>
      <c r="G1539">
        <v>0.6</v>
      </c>
      <c r="H1539">
        <v>195</v>
      </c>
      <c r="I1539">
        <v>4</v>
      </c>
      <c r="J1539">
        <v>3</v>
      </c>
      <c r="K1539">
        <v>62</v>
      </c>
      <c r="L1539" t="s">
        <v>121</v>
      </c>
      <c r="M1539" t="s">
        <v>116</v>
      </c>
    </row>
    <row r="1540" spans="2:13" x14ac:dyDescent="0.2">
      <c r="B1540">
        <v>3061</v>
      </c>
      <c r="C1540">
        <v>2</v>
      </c>
      <c r="D1540">
        <v>0</v>
      </c>
      <c r="E1540">
        <v>0</v>
      </c>
      <c r="F1540">
        <v>0.6</v>
      </c>
      <c r="G1540">
        <v>0.6</v>
      </c>
      <c r="H1540">
        <v>0</v>
      </c>
      <c r="I1540">
        <v>0</v>
      </c>
      <c r="J1540">
        <v>0</v>
      </c>
      <c r="K1540">
        <v>50</v>
      </c>
      <c r="L1540" t="s">
        <v>113</v>
      </c>
      <c r="M1540" t="s">
        <v>114</v>
      </c>
    </row>
    <row r="1541" spans="2:13" x14ac:dyDescent="0.2">
      <c r="B1541">
        <v>3061</v>
      </c>
      <c r="C1541">
        <v>2</v>
      </c>
      <c r="D1541">
        <v>5.8</v>
      </c>
      <c r="E1541">
        <v>0.1</v>
      </c>
      <c r="F1541">
        <v>0.6</v>
      </c>
      <c r="G1541">
        <v>0.6</v>
      </c>
      <c r="H1541">
        <v>63</v>
      </c>
      <c r="I1541">
        <v>1</v>
      </c>
      <c r="J1541">
        <v>1</v>
      </c>
      <c r="K1541">
        <v>37.1</v>
      </c>
      <c r="L1541" t="s">
        <v>117</v>
      </c>
      <c r="M1541" t="s">
        <v>118</v>
      </c>
    </row>
    <row r="1542" spans="2:13" x14ac:dyDescent="0.2">
      <c r="B1542">
        <v>3061</v>
      </c>
      <c r="C1542">
        <v>2</v>
      </c>
      <c r="D1542">
        <v>6</v>
      </c>
      <c r="E1542">
        <v>0.1</v>
      </c>
      <c r="F1542">
        <v>0.6</v>
      </c>
      <c r="G1542">
        <v>0.6</v>
      </c>
      <c r="H1542">
        <v>65</v>
      </c>
      <c r="I1542">
        <v>2</v>
      </c>
      <c r="J1542">
        <v>1</v>
      </c>
      <c r="K1542">
        <v>37.200000000000003</v>
      </c>
      <c r="L1542" t="s">
        <v>132</v>
      </c>
      <c r="M1542" t="s">
        <v>116</v>
      </c>
    </row>
    <row r="1543" spans="2:13" x14ac:dyDescent="0.2">
      <c r="B1543">
        <v>3061</v>
      </c>
      <c r="C1543">
        <v>2</v>
      </c>
      <c r="D1543">
        <v>12.1</v>
      </c>
      <c r="E1543">
        <v>0.2</v>
      </c>
      <c r="F1543">
        <v>0.6</v>
      </c>
      <c r="G1543">
        <v>0.6</v>
      </c>
      <c r="H1543">
        <v>130</v>
      </c>
      <c r="I1543">
        <v>4</v>
      </c>
      <c r="J1543">
        <v>1</v>
      </c>
      <c r="K1543">
        <v>39</v>
      </c>
      <c r="L1543" t="s">
        <v>115</v>
      </c>
      <c r="M1543" t="s">
        <v>116</v>
      </c>
    </row>
    <row r="1544" spans="2:13" x14ac:dyDescent="0.2">
      <c r="B1544">
        <v>3061</v>
      </c>
      <c r="C1544">
        <v>2</v>
      </c>
      <c r="D1544">
        <v>17.100000000000001</v>
      </c>
      <c r="E1544">
        <v>0.28999999999999998</v>
      </c>
      <c r="F1544">
        <v>0.6</v>
      </c>
      <c r="G1544">
        <v>0.6</v>
      </c>
      <c r="H1544">
        <v>185</v>
      </c>
      <c r="I1544">
        <v>7</v>
      </c>
      <c r="J1544">
        <v>2</v>
      </c>
      <c r="K1544">
        <v>39.6</v>
      </c>
      <c r="L1544" t="s">
        <v>133</v>
      </c>
      <c r="M1544" t="s">
        <v>118</v>
      </c>
    </row>
    <row r="1545" spans="2:13" x14ac:dyDescent="0.2">
      <c r="B1545">
        <v>3061</v>
      </c>
      <c r="C1545">
        <v>2</v>
      </c>
      <c r="D1545">
        <v>17.3</v>
      </c>
      <c r="E1545">
        <v>0.28999999999999998</v>
      </c>
      <c r="F1545">
        <v>0.6</v>
      </c>
      <c r="G1545">
        <v>0.6</v>
      </c>
      <c r="H1545">
        <v>187</v>
      </c>
      <c r="I1545">
        <v>7</v>
      </c>
      <c r="J1545">
        <v>3</v>
      </c>
      <c r="K1545">
        <v>39.5</v>
      </c>
      <c r="L1545" t="s">
        <v>134</v>
      </c>
      <c r="M1545" t="s">
        <v>118</v>
      </c>
    </row>
    <row r="1546" spans="2:13" x14ac:dyDescent="0.2">
      <c r="B1546">
        <v>3061</v>
      </c>
      <c r="C1546">
        <v>2</v>
      </c>
      <c r="D1546">
        <v>18.100000000000001</v>
      </c>
      <c r="E1546">
        <v>0.3</v>
      </c>
      <c r="F1546">
        <v>0.6</v>
      </c>
      <c r="G1546">
        <v>0.45</v>
      </c>
      <c r="H1546">
        <v>195</v>
      </c>
      <c r="I1546">
        <v>8</v>
      </c>
      <c r="J1546">
        <v>3</v>
      </c>
      <c r="K1546">
        <v>39.6</v>
      </c>
      <c r="L1546" t="s">
        <v>126</v>
      </c>
      <c r="M1546" t="s">
        <v>116</v>
      </c>
    </row>
    <row r="1547" spans="2:13" x14ac:dyDescent="0.2">
      <c r="B1547">
        <v>3061</v>
      </c>
      <c r="C1547">
        <v>3</v>
      </c>
      <c r="D1547">
        <v>0</v>
      </c>
      <c r="E1547">
        <v>0</v>
      </c>
      <c r="F1547">
        <v>0.6</v>
      </c>
      <c r="G1547">
        <v>0.6</v>
      </c>
      <c r="H1547">
        <v>0</v>
      </c>
      <c r="I1547">
        <v>0</v>
      </c>
      <c r="J1547">
        <v>0</v>
      </c>
      <c r="K1547">
        <v>50</v>
      </c>
      <c r="L1547" t="s">
        <v>113</v>
      </c>
      <c r="M1547" t="s">
        <v>114</v>
      </c>
    </row>
    <row r="1548" spans="2:13" x14ac:dyDescent="0.2">
      <c r="B1548">
        <v>3061</v>
      </c>
      <c r="C1548">
        <v>3</v>
      </c>
      <c r="D1548">
        <v>6</v>
      </c>
      <c r="E1548">
        <v>0.1</v>
      </c>
      <c r="F1548">
        <v>0.6</v>
      </c>
      <c r="G1548">
        <v>0.6</v>
      </c>
      <c r="H1548">
        <v>65</v>
      </c>
      <c r="I1548">
        <v>0</v>
      </c>
      <c r="J1548">
        <v>0</v>
      </c>
      <c r="K1548">
        <v>40.9</v>
      </c>
      <c r="L1548" t="s">
        <v>115</v>
      </c>
      <c r="M1548" t="s">
        <v>116</v>
      </c>
    </row>
    <row r="1549" spans="2:13" x14ac:dyDescent="0.2">
      <c r="B1549">
        <v>3061</v>
      </c>
      <c r="C1549">
        <v>3</v>
      </c>
      <c r="D1549">
        <v>9.3000000000000007</v>
      </c>
      <c r="E1549">
        <v>0.15</v>
      </c>
      <c r="F1549">
        <v>0.6</v>
      </c>
      <c r="G1549">
        <v>0.6</v>
      </c>
      <c r="H1549">
        <v>100</v>
      </c>
      <c r="I1549">
        <v>1</v>
      </c>
      <c r="J1549">
        <v>1</v>
      </c>
      <c r="K1549">
        <v>65.3</v>
      </c>
      <c r="L1549" t="s">
        <v>122</v>
      </c>
      <c r="M1549" t="s">
        <v>118</v>
      </c>
    </row>
    <row r="1550" spans="2:13" x14ac:dyDescent="0.2">
      <c r="B1550">
        <v>3061</v>
      </c>
      <c r="C1550">
        <v>3</v>
      </c>
      <c r="D1550">
        <v>12.1</v>
      </c>
      <c r="E1550">
        <v>0.2</v>
      </c>
      <c r="F1550">
        <v>0.6</v>
      </c>
      <c r="G1550">
        <v>0.6</v>
      </c>
      <c r="H1550">
        <v>130</v>
      </c>
      <c r="I1550">
        <v>2</v>
      </c>
      <c r="J1550">
        <v>1</v>
      </c>
      <c r="K1550">
        <v>63.8</v>
      </c>
      <c r="L1550" t="s">
        <v>121</v>
      </c>
      <c r="M1550" t="s">
        <v>116</v>
      </c>
    </row>
    <row r="1551" spans="2:13" x14ac:dyDescent="0.2">
      <c r="B1551">
        <v>3061</v>
      </c>
      <c r="C1551">
        <v>3</v>
      </c>
      <c r="D1551">
        <v>15</v>
      </c>
      <c r="E1551">
        <v>0.25</v>
      </c>
      <c r="F1551">
        <v>0.6</v>
      </c>
      <c r="G1551">
        <v>0.6</v>
      </c>
      <c r="H1551">
        <v>161</v>
      </c>
      <c r="I1551">
        <v>5</v>
      </c>
      <c r="J1551">
        <v>2</v>
      </c>
      <c r="K1551">
        <v>54.8</v>
      </c>
      <c r="L1551" t="s">
        <v>119</v>
      </c>
      <c r="M1551" t="s">
        <v>118</v>
      </c>
    </row>
    <row r="1552" spans="2:13" x14ac:dyDescent="0.2">
      <c r="B1552">
        <v>3061</v>
      </c>
      <c r="C1552">
        <v>3</v>
      </c>
      <c r="D1552">
        <v>18.100000000000001</v>
      </c>
      <c r="E1552">
        <v>0.3</v>
      </c>
      <c r="F1552">
        <v>0.6</v>
      </c>
      <c r="G1552">
        <v>0.6</v>
      </c>
      <c r="H1552">
        <v>195</v>
      </c>
      <c r="I1552">
        <v>7</v>
      </c>
      <c r="J1552">
        <v>2</v>
      </c>
      <c r="K1552">
        <v>63.5</v>
      </c>
      <c r="L1552" t="s">
        <v>121</v>
      </c>
      <c r="M1552" t="s">
        <v>116</v>
      </c>
    </row>
    <row r="1553" spans="2:13" x14ac:dyDescent="0.2">
      <c r="B1553">
        <v>3061</v>
      </c>
      <c r="C1553">
        <v>4</v>
      </c>
      <c r="D1553">
        <v>0</v>
      </c>
      <c r="E1553">
        <v>0</v>
      </c>
      <c r="F1553">
        <v>0.6</v>
      </c>
      <c r="G1553">
        <v>0.6</v>
      </c>
      <c r="H1553">
        <v>0</v>
      </c>
      <c r="I1553">
        <v>0</v>
      </c>
      <c r="J1553">
        <v>0</v>
      </c>
      <c r="K1553">
        <v>50</v>
      </c>
      <c r="L1553" t="s">
        <v>113</v>
      </c>
      <c r="M1553" t="s">
        <v>114</v>
      </c>
    </row>
    <row r="1554" spans="2:13" x14ac:dyDescent="0.2">
      <c r="B1554">
        <v>3061</v>
      </c>
      <c r="C1554">
        <v>4</v>
      </c>
      <c r="D1554">
        <v>6</v>
      </c>
      <c r="E1554">
        <v>0.1</v>
      </c>
      <c r="F1554">
        <v>0.6</v>
      </c>
      <c r="G1554">
        <v>0.6</v>
      </c>
      <c r="H1554">
        <v>65</v>
      </c>
      <c r="I1554">
        <v>0</v>
      </c>
      <c r="J1554">
        <v>0</v>
      </c>
      <c r="K1554">
        <v>87.2</v>
      </c>
      <c r="L1554" t="s">
        <v>115</v>
      </c>
      <c r="M1554" t="s">
        <v>116</v>
      </c>
    </row>
    <row r="1555" spans="2:13" x14ac:dyDescent="0.2">
      <c r="B1555">
        <v>3061</v>
      </c>
      <c r="C1555">
        <v>4</v>
      </c>
      <c r="D1555">
        <v>10.7</v>
      </c>
      <c r="E1555">
        <v>0.18</v>
      </c>
      <c r="F1555">
        <v>0.6</v>
      </c>
      <c r="G1555">
        <v>0.6</v>
      </c>
      <c r="H1555">
        <v>116</v>
      </c>
      <c r="I1555">
        <v>1</v>
      </c>
      <c r="J1555">
        <v>1</v>
      </c>
      <c r="K1555">
        <v>72.599999999999994</v>
      </c>
      <c r="L1555" t="s">
        <v>129</v>
      </c>
      <c r="M1555" t="s">
        <v>118</v>
      </c>
    </row>
    <row r="1556" spans="2:13" x14ac:dyDescent="0.2">
      <c r="B1556">
        <v>3061</v>
      </c>
      <c r="C1556">
        <v>4</v>
      </c>
      <c r="D1556">
        <v>12.1</v>
      </c>
      <c r="E1556">
        <v>0.2</v>
      </c>
      <c r="F1556">
        <v>0.6</v>
      </c>
      <c r="G1556">
        <v>0.6</v>
      </c>
      <c r="H1556">
        <v>130</v>
      </c>
      <c r="I1556">
        <v>2</v>
      </c>
      <c r="J1556">
        <v>1</v>
      </c>
      <c r="K1556">
        <v>72.099999999999994</v>
      </c>
      <c r="L1556" t="s">
        <v>121</v>
      </c>
      <c r="M1556" t="s">
        <v>116</v>
      </c>
    </row>
    <row r="1557" spans="2:13" x14ac:dyDescent="0.2">
      <c r="B1557">
        <v>3061</v>
      </c>
      <c r="C1557">
        <v>4</v>
      </c>
      <c r="D1557">
        <v>14.2</v>
      </c>
      <c r="E1557">
        <v>0.24</v>
      </c>
      <c r="F1557">
        <v>0.6</v>
      </c>
      <c r="G1557">
        <v>0.6</v>
      </c>
      <c r="H1557">
        <v>153</v>
      </c>
      <c r="I1557">
        <v>2</v>
      </c>
      <c r="J1557">
        <v>2</v>
      </c>
      <c r="K1557">
        <v>68.900000000000006</v>
      </c>
      <c r="L1557" t="s">
        <v>119</v>
      </c>
      <c r="M1557" t="s">
        <v>118</v>
      </c>
    </row>
    <row r="1558" spans="2:13" x14ac:dyDescent="0.2">
      <c r="B1558">
        <v>3061</v>
      </c>
      <c r="C1558">
        <v>4</v>
      </c>
      <c r="D1558">
        <v>18.100000000000001</v>
      </c>
      <c r="E1558">
        <v>0.3</v>
      </c>
      <c r="F1558">
        <v>0.6</v>
      </c>
      <c r="G1558">
        <v>0.6</v>
      </c>
      <c r="H1558">
        <v>195</v>
      </c>
      <c r="I1558">
        <v>5</v>
      </c>
      <c r="J1558">
        <v>2</v>
      </c>
      <c r="K1558">
        <v>72.400000000000006</v>
      </c>
      <c r="L1558" t="s">
        <v>124</v>
      </c>
      <c r="M1558" t="s">
        <v>116</v>
      </c>
    </row>
    <row r="1559" spans="2:13" x14ac:dyDescent="0.2">
      <c r="B1559">
        <v>3061</v>
      </c>
      <c r="C1559">
        <v>5</v>
      </c>
      <c r="D1559">
        <v>0</v>
      </c>
      <c r="E1559">
        <v>0</v>
      </c>
      <c r="F1559">
        <v>0.6</v>
      </c>
      <c r="G1559">
        <v>0.6</v>
      </c>
      <c r="H1559">
        <v>0</v>
      </c>
      <c r="I1559">
        <v>0</v>
      </c>
      <c r="J1559">
        <v>0</v>
      </c>
      <c r="K1559">
        <v>50</v>
      </c>
      <c r="L1559" t="s">
        <v>113</v>
      </c>
      <c r="M1559" t="s">
        <v>114</v>
      </c>
    </row>
    <row r="1560" spans="2:13" x14ac:dyDescent="0.2">
      <c r="B1560">
        <v>3061</v>
      </c>
      <c r="C1560">
        <v>5</v>
      </c>
      <c r="D1560">
        <v>6</v>
      </c>
      <c r="E1560">
        <v>0.1</v>
      </c>
      <c r="F1560">
        <v>0.6</v>
      </c>
      <c r="G1560">
        <v>0.6</v>
      </c>
      <c r="H1560">
        <v>65</v>
      </c>
      <c r="I1560">
        <v>1</v>
      </c>
      <c r="J1560">
        <v>0</v>
      </c>
      <c r="K1560">
        <v>38.4</v>
      </c>
      <c r="L1560" t="s">
        <v>115</v>
      </c>
      <c r="M1560" t="s">
        <v>116</v>
      </c>
    </row>
    <row r="1561" spans="2:13" x14ac:dyDescent="0.2">
      <c r="B1561">
        <v>3061</v>
      </c>
      <c r="C1561">
        <v>5</v>
      </c>
      <c r="D1561">
        <v>12.1</v>
      </c>
      <c r="E1561">
        <v>0.2</v>
      </c>
      <c r="F1561">
        <v>0.6</v>
      </c>
      <c r="G1561">
        <v>0.7</v>
      </c>
      <c r="H1561">
        <v>130</v>
      </c>
      <c r="I1561">
        <v>7</v>
      </c>
      <c r="J1561">
        <v>0</v>
      </c>
      <c r="K1561">
        <v>87.6</v>
      </c>
      <c r="L1561" t="s">
        <v>128</v>
      </c>
      <c r="M1561" t="s">
        <v>116</v>
      </c>
    </row>
    <row r="1562" spans="2:13" x14ac:dyDescent="0.2">
      <c r="B1562">
        <v>3061</v>
      </c>
      <c r="C1562">
        <v>5</v>
      </c>
      <c r="D1562">
        <v>16.3</v>
      </c>
      <c r="E1562">
        <v>0.27</v>
      </c>
      <c r="F1562">
        <v>0.7</v>
      </c>
      <c r="G1562">
        <v>0.7</v>
      </c>
      <c r="H1562">
        <v>183</v>
      </c>
      <c r="I1562">
        <v>9</v>
      </c>
      <c r="J1562">
        <v>1</v>
      </c>
      <c r="K1562">
        <v>76.099999999999994</v>
      </c>
      <c r="L1562" t="s">
        <v>117</v>
      </c>
      <c r="M1562" t="s">
        <v>118</v>
      </c>
    </row>
    <row r="1563" spans="2:13" x14ac:dyDescent="0.2">
      <c r="B1563">
        <v>3062</v>
      </c>
      <c r="C1563">
        <v>1</v>
      </c>
      <c r="D1563">
        <v>0</v>
      </c>
      <c r="E1563">
        <v>0</v>
      </c>
      <c r="F1563">
        <v>0.6</v>
      </c>
      <c r="G1563">
        <v>0.6</v>
      </c>
      <c r="H1563">
        <v>0</v>
      </c>
      <c r="I1563">
        <v>0</v>
      </c>
      <c r="J1563">
        <v>0</v>
      </c>
      <c r="K1563">
        <v>50</v>
      </c>
      <c r="L1563" t="s">
        <v>113</v>
      </c>
      <c r="M1563" t="s">
        <v>114</v>
      </c>
    </row>
    <row r="1564" spans="2:13" x14ac:dyDescent="0.2">
      <c r="B1564">
        <v>3062</v>
      </c>
      <c r="C1564">
        <v>1</v>
      </c>
      <c r="D1564">
        <v>6</v>
      </c>
      <c r="E1564">
        <v>0.1</v>
      </c>
      <c r="F1564">
        <v>0.6</v>
      </c>
      <c r="G1564">
        <v>0.6</v>
      </c>
      <c r="H1564">
        <v>65</v>
      </c>
      <c r="I1564">
        <v>0</v>
      </c>
      <c r="J1564">
        <v>0</v>
      </c>
      <c r="K1564">
        <v>41.7</v>
      </c>
      <c r="L1564" t="s">
        <v>115</v>
      </c>
      <c r="M1564" t="s">
        <v>116</v>
      </c>
    </row>
    <row r="1565" spans="2:13" x14ac:dyDescent="0.2">
      <c r="B1565">
        <v>3062</v>
      </c>
      <c r="C1565">
        <v>1</v>
      </c>
      <c r="D1565">
        <v>12.1</v>
      </c>
      <c r="E1565">
        <v>0.2</v>
      </c>
      <c r="F1565">
        <v>0.6</v>
      </c>
      <c r="G1565">
        <v>0.7</v>
      </c>
      <c r="H1565">
        <v>130</v>
      </c>
      <c r="I1565">
        <v>4</v>
      </c>
      <c r="J1565">
        <v>0</v>
      </c>
      <c r="K1565">
        <v>89.6</v>
      </c>
      <c r="L1565" t="s">
        <v>128</v>
      </c>
      <c r="M1565" t="s">
        <v>116</v>
      </c>
    </row>
    <row r="1566" spans="2:13" x14ac:dyDescent="0.2">
      <c r="B1566">
        <v>3062</v>
      </c>
      <c r="C1566">
        <v>2</v>
      </c>
      <c r="D1566">
        <v>0</v>
      </c>
      <c r="E1566">
        <v>0</v>
      </c>
      <c r="F1566">
        <v>0.6</v>
      </c>
      <c r="G1566">
        <v>0.6</v>
      </c>
      <c r="H1566">
        <v>0</v>
      </c>
      <c r="I1566">
        <v>0</v>
      </c>
      <c r="J1566">
        <v>0</v>
      </c>
      <c r="K1566">
        <v>50</v>
      </c>
      <c r="L1566" t="s">
        <v>113</v>
      </c>
      <c r="M1566" t="s">
        <v>114</v>
      </c>
    </row>
    <row r="1567" spans="2:13" x14ac:dyDescent="0.2">
      <c r="B1567">
        <v>3062</v>
      </c>
      <c r="C1567">
        <v>2</v>
      </c>
      <c r="D1567">
        <v>6</v>
      </c>
      <c r="E1567">
        <v>0.1</v>
      </c>
      <c r="F1567">
        <v>0.6</v>
      </c>
      <c r="G1567">
        <v>0.6</v>
      </c>
      <c r="H1567">
        <v>65</v>
      </c>
      <c r="I1567">
        <v>0</v>
      </c>
      <c r="J1567">
        <v>0</v>
      </c>
      <c r="K1567">
        <v>40.9</v>
      </c>
      <c r="L1567" t="s">
        <v>115</v>
      </c>
      <c r="M1567" t="s">
        <v>116</v>
      </c>
    </row>
    <row r="1568" spans="2:13" x14ac:dyDescent="0.2">
      <c r="B1568">
        <v>3062</v>
      </c>
      <c r="C1568">
        <v>2</v>
      </c>
      <c r="D1568">
        <v>12.1</v>
      </c>
      <c r="E1568">
        <v>0.2</v>
      </c>
      <c r="F1568">
        <v>0.6</v>
      </c>
      <c r="G1568">
        <v>0.7</v>
      </c>
      <c r="H1568">
        <v>130</v>
      </c>
      <c r="I1568">
        <v>3</v>
      </c>
      <c r="J1568">
        <v>0</v>
      </c>
      <c r="K1568">
        <v>89.8</v>
      </c>
      <c r="L1568" t="s">
        <v>128</v>
      </c>
      <c r="M1568" t="s">
        <v>116</v>
      </c>
    </row>
    <row r="1569" spans="2:13" x14ac:dyDescent="0.2">
      <c r="B1569">
        <v>3062</v>
      </c>
      <c r="C1569">
        <v>2</v>
      </c>
      <c r="D1569">
        <v>16.8</v>
      </c>
      <c r="E1569">
        <v>0.28000000000000003</v>
      </c>
      <c r="F1569">
        <v>0.7</v>
      </c>
      <c r="G1569">
        <v>0.7</v>
      </c>
      <c r="H1569">
        <v>190</v>
      </c>
      <c r="I1569">
        <v>5</v>
      </c>
      <c r="J1569">
        <v>1</v>
      </c>
      <c r="K1569">
        <v>80.8</v>
      </c>
      <c r="L1569" t="s">
        <v>122</v>
      </c>
      <c r="M1569" t="s">
        <v>118</v>
      </c>
    </row>
    <row r="1570" spans="2:13" x14ac:dyDescent="0.2">
      <c r="B1570">
        <v>3062</v>
      </c>
      <c r="C1570">
        <v>3</v>
      </c>
      <c r="D1570">
        <v>0</v>
      </c>
      <c r="E1570">
        <v>0</v>
      </c>
      <c r="F1570">
        <v>0.6</v>
      </c>
      <c r="G1570">
        <v>0.6</v>
      </c>
      <c r="H1570">
        <v>0</v>
      </c>
      <c r="I1570">
        <v>0</v>
      </c>
      <c r="J1570">
        <v>0</v>
      </c>
      <c r="K1570">
        <v>50</v>
      </c>
      <c r="L1570" t="s">
        <v>113</v>
      </c>
      <c r="M1570" t="s">
        <v>114</v>
      </c>
    </row>
    <row r="1571" spans="2:13" x14ac:dyDescent="0.2">
      <c r="B1571">
        <v>3062</v>
      </c>
      <c r="C1571">
        <v>3</v>
      </c>
      <c r="D1571">
        <v>6</v>
      </c>
      <c r="E1571">
        <v>0.1</v>
      </c>
      <c r="F1571">
        <v>0.6</v>
      </c>
      <c r="G1571">
        <v>0.6</v>
      </c>
      <c r="H1571">
        <v>65</v>
      </c>
      <c r="I1571">
        <v>0</v>
      </c>
      <c r="J1571">
        <v>0</v>
      </c>
      <c r="K1571">
        <v>40.9</v>
      </c>
      <c r="L1571" t="s">
        <v>115</v>
      </c>
      <c r="M1571" t="s">
        <v>116</v>
      </c>
    </row>
    <row r="1572" spans="2:13" x14ac:dyDescent="0.2">
      <c r="B1572">
        <v>3062</v>
      </c>
      <c r="C1572">
        <v>3</v>
      </c>
      <c r="D1572">
        <v>9.1</v>
      </c>
      <c r="E1572">
        <v>0.15</v>
      </c>
      <c r="F1572">
        <v>0.6</v>
      </c>
      <c r="G1572">
        <v>0.6</v>
      </c>
      <c r="H1572">
        <v>98</v>
      </c>
      <c r="I1572">
        <v>2</v>
      </c>
      <c r="J1572">
        <v>1</v>
      </c>
      <c r="K1572">
        <v>73.400000000000006</v>
      </c>
      <c r="L1572" t="s">
        <v>117</v>
      </c>
      <c r="M1572" t="s">
        <v>118</v>
      </c>
    </row>
    <row r="1573" spans="2:13" x14ac:dyDescent="0.2">
      <c r="B1573">
        <v>3062</v>
      </c>
      <c r="C1573">
        <v>3</v>
      </c>
      <c r="D1573">
        <v>12.1</v>
      </c>
      <c r="E1573">
        <v>0.2</v>
      </c>
      <c r="F1573">
        <v>0.6</v>
      </c>
      <c r="G1573">
        <v>0.6</v>
      </c>
      <c r="H1573">
        <v>130</v>
      </c>
      <c r="I1573">
        <v>2</v>
      </c>
      <c r="J1573">
        <v>1</v>
      </c>
      <c r="K1573">
        <v>76.900000000000006</v>
      </c>
      <c r="L1573" t="s">
        <v>136</v>
      </c>
      <c r="M1573" t="s">
        <v>116</v>
      </c>
    </row>
    <row r="1574" spans="2:13" x14ac:dyDescent="0.2">
      <c r="B1574">
        <v>3062</v>
      </c>
      <c r="C1574">
        <v>3</v>
      </c>
      <c r="D1574">
        <v>17.3</v>
      </c>
      <c r="E1574">
        <v>0.28999999999999998</v>
      </c>
      <c r="F1574">
        <v>0.6</v>
      </c>
      <c r="G1574">
        <v>0.6</v>
      </c>
      <c r="H1574">
        <v>187</v>
      </c>
      <c r="I1574">
        <v>5</v>
      </c>
      <c r="J1574">
        <v>2</v>
      </c>
      <c r="K1574">
        <v>72.099999999999994</v>
      </c>
      <c r="L1574" t="s">
        <v>119</v>
      </c>
      <c r="M1574" t="s">
        <v>118</v>
      </c>
    </row>
    <row r="1575" spans="2:13" x14ac:dyDescent="0.2">
      <c r="B1575">
        <v>3062</v>
      </c>
      <c r="C1575">
        <v>3</v>
      </c>
      <c r="D1575">
        <v>18.100000000000001</v>
      </c>
      <c r="E1575">
        <v>0.3</v>
      </c>
      <c r="F1575">
        <v>0.6</v>
      </c>
      <c r="G1575">
        <v>0.6</v>
      </c>
      <c r="H1575">
        <v>195</v>
      </c>
      <c r="I1575">
        <v>5</v>
      </c>
      <c r="J1575">
        <v>2</v>
      </c>
      <c r="K1575">
        <v>74.2</v>
      </c>
      <c r="L1575" t="s">
        <v>124</v>
      </c>
      <c r="M1575" t="s">
        <v>116</v>
      </c>
    </row>
    <row r="1576" spans="2:13" x14ac:dyDescent="0.2">
      <c r="B1576">
        <v>3062</v>
      </c>
      <c r="C1576">
        <v>4</v>
      </c>
      <c r="D1576">
        <v>0</v>
      </c>
      <c r="E1576">
        <v>0</v>
      </c>
      <c r="F1576">
        <v>0.6</v>
      </c>
      <c r="G1576">
        <v>0.6</v>
      </c>
      <c r="H1576">
        <v>0</v>
      </c>
      <c r="I1576">
        <v>0</v>
      </c>
      <c r="J1576">
        <v>0</v>
      </c>
      <c r="K1576">
        <v>50</v>
      </c>
      <c r="L1576" t="s">
        <v>113</v>
      </c>
      <c r="M1576" t="s">
        <v>114</v>
      </c>
    </row>
    <row r="1577" spans="2:13" x14ac:dyDescent="0.2">
      <c r="B1577">
        <v>3062</v>
      </c>
      <c r="C1577">
        <v>4</v>
      </c>
      <c r="D1577">
        <v>6</v>
      </c>
      <c r="E1577">
        <v>0.1</v>
      </c>
      <c r="F1577">
        <v>0.6</v>
      </c>
      <c r="G1577">
        <v>0.6</v>
      </c>
      <c r="H1577">
        <v>65</v>
      </c>
      <c r="I1577">
        <v>0</v>
      </c>
      <c r="J1577">
        <v>0</v>
      </c>
      <c r="K1577">
        <v>92.1</v>
      </c>
      <c r="L1577" t="s">
        <v>115</v>
      </c>
      <c r="M1577" t="s">
        <v>116</v>
      </c>
    </row>
    <row r="1578" spans="2:13" x14ac:dyDescent="0.2">
      <c r="B1578">
        <v>3062</v>
      </c>
      <c r="C1578">
        <v>4</v>
      </c>
      <c r="D1578">
        <v>9.8000000000000007</v>
      </c>
      <c r="E1578">
        <v>0.16</v>
      </c>
      <c r="F1578">
        <v>0.6</v>
      </c>
      <c r="G1578">
        <v>0.6</v>
      </c>
      <c r="H1578">
        <v>105</v>
      </c>
      <c r="I1578">
        <v>1</v>
      </c>
      <c r="J1578">
        <v>1</v>
      </c>
      <c r="K1578">
        <v>66.3</v>
      </c>
      <c r="L1578" t="s">
        <v>122</v>
      </c>
      <c r="M1578" t="s">
        <v>118</v>
      </c>
    </row>
    <row r="1579" spans="2:13" x14ac:dyDescent="0.2">
      <c r="B1579">
        <v>3062</v>
      </c>
      <c r="C1579">
        <v>4</v>
      </c>
      <c r="D1579">
        <v>12.1</v>
      </c>
      <c r="E1579">
        <v>0.2</v>
      </c>
      <c r="F1579">
        <v>0.6</v>
      </c>
      <c r="G1579">
        <v>0.6</v>
      </c>
      <c r="H1579">
        <v>130</v>
      </c>
      <c r="I1579">
        <v>2</v>
      </c>
      <c r="J1579">
        <v>1</v>
      </c>
      <c r="K1579">
        <v>66.5</v>
      </c>
      <c r="L1579" t="s">
        <v>132</v>
      </c>
      <c r="M1579" t="s">
        <v>116</v>
      </c>
    </row>
    <row r="1580" spans="2:13" x14ac:dyDescent="0.2">
      <c r="B1580">
        <v>3062</v>
      </c>
      <c r="C1580">
        <v>4</v>
      </c>
      <c r="D1580">
        <v>18.100000000000001</v>
      </c>
      <c r="E1580">
        <v>0.3</v>
      </c>
      <c r="F1580">
        <v>0.6</v>
      </c>
      <c r="G1580">
        <v>0.6</v>
      </c>
      <c r="H1580">
        <v>195</v>
      </c>
      <c r="I1580">
        <v>3</v>
      </c>
      <c r="J1580">
        <v>1</v>
      </c>
      <c r="K1580">
        <v>74.7</v>
      </c>
      <c r="L1580" t="s">
        <v>115</v>
      </c>
      <c r="M1580" t="s">
        <v>116</v>
      </c>
    </row>
    <row r="1581" spans="2:13" x14ac:dyDescent="0.2">
      <c r="B1581">
        <v>3062</v>
      </c>
      <c r="C1581">
        <v>5</v>
      </c>
      <c r="D1581">
        <v>0</v>
      </c>
      <c r="E1581">
        <v>0</v>
      </c>
      <c r="F1581">
        <v>0.6</v>
      </c>
      <c r="G1581">
        <v>0.6</v>
      </c>
      <c r="H1581">
        <v>0</v>
      </c>
      <c r="I1581">
        <v>0</v>
      </c>
      <c r="J1581">
        <v>0</v>
      </c>
      <c r="K1581">
        <v>50</v>
      </c>
      <c r="L1581" t="s">
        <v>113</v>
      </c>
      <c r="M1581" t="s">
        <v>114</v>
      </c>
    </row>
    <row r="1582" spans="2:13" x14ac:dyDescent="0.2">
      <c r="B1582">
        <v>3062</v>
      </c>
      <c r="C1582">
        <v>5</v>
      </c>
      <c r="D1582">
        <v>6</v>
      </c>
      <c r="E1582">
        <v>0.1</v>
      </c>
      <c r="F1582">
        <v>0.6</v>
      </c>
      <c r="G1582">
        <v>0.6</v>
      </c>
      <c r="H1582">
        <v>65</v>
      </c>
      <c r="I1582">
        <v>0</v>
      </c>
      <c r="J1582">
        <v>0</v>
      </c>
      <c r="K1582">
        <v>40.5</v>
      </c>
      <c r="L1582" t="s">
        <v>115</v>
      </c>
      <c r="M1582" t="s">
        <v>116</v>
      </c>
    </row>
    <row r="1583" spans="2:13" x14ac:dyDescent="0.2">
      <c r="B1583">
        <v>3062</v>
      </c>
      <c r="C1583">
        <v>5</v>
      </c>
      <c r="D1583">
        <v>7.5</v>
      </c>
      <c r="E1583">
        <v>0.12</v>
      </c>
      <c r="F1583">
        <v>0.6</v>
      </c>
      <c r="G1583">
        <v>0.6</v>
      </c>
      <c r="H1583">
        <v>81</v>
      </c>
      <c r="I1583">
        <v>1</v>
      </c>
      <c r="J1583">
        <v>1</v>
      </c>
      <c r="K1583">
        <v>40.299999999999997</v>
      </c>
      <c r="L1583" t="s">
        <v>142</v>
      </c>
      <c r="M1583" t="s">
        <v>118</v>
      </c>
    </row>
    <row r="1584" spans="2:13" x14ac:dyDescent="0.2">
      <c r="B1584">
        <v>3062</v>
      </c>
      <c r="C1584">
        <v>5</v>
      </c>
      <c r="D1584">
        <v>10.7</v>
      </c>
      <c r="E1584">
        <v>0.18</v>
      </c>
      <c r="F1584">
        <v>0.6</v>
      </c>
      <c r="G1584">
        <v>0.6</v>
      </c>
      <c r="H1584">
        <v>115</v>
      </c>
      <c r="I1584">
        <v>3</v>
      </c>
      <c r="J1584">
        <v>2</v>
      </c>
      <c r="K1584">
        <v>39.9</v>
      </c>
      <c r="L1584" t="s">
        <v>119</v>
      </c>
      <c r="M1584" t="s">
        <v>118</v>
      </c>
    </row>
    <row r="1585" spans="2:13" x14ac:dyDescent="0.2">
      <c r="B1585">
        <v>3062</v>
      </c>
      <c r="C1585">
        <v>5</v>
      </c>
      <c r="D1585">
        <v>12.1</v>
      </c>
      <c r="E1585">
        <v>0.2</v>
      </c>
      <c r="F1585">
        <v>0.6</v>
      </c>
      <c r="G1585">
        <v>0.45</v>
      </c>
      <c r="H1585">
        <v>130</v>
      </c>
      <c r="I1585">
        <v>3</v>
      </c>
      <c r="J1585">
        <v>2</v>
      </c>
      <c r="K1585">
        <v>40</v>
      </c>
      <c r="L1585" t="s">
        <v>126</v>
      </c>
      <c r="M1585" t="s">
        <v>116</v>
      </c>
    </row>
    <row r="1586" spans="2:13" x14ac:dyDescent="0.2">
      <c r="B1586">
        <v>3062</v>
      </c>
      <c r="C1586">
        <v>5</v>
      </c>
      <c r="D1586">
        <v>13.5</v>
      </c>
      <c r="E1586">
        <v>0.23</v>
      </c>
      <c r="F1586">
        <v>0.45</v>
      </c>
      <c r="G1586">
        <v>0.45</v>
      </c>
      <c r="H1586">
        <v>142</v>
      </c>
      <c r="I1586">
        <v>3</v>
      </c>
      <c r="J1586">
        <v>3</v>
      </c>
      <c r="K1586">
        <v>40.200000000000003</v>
      </c>
      <c r="L1586" t="s">
        <v>125</v>
      </c>
      <c r="M1586" t="s">
        <v>118</v>
      </c>
    </row>
    <row r="1587" spans="2:13" x14ac:dyDescent="0.2">
      <c r="B1587">
        <v>3062</v>
      </c>
      <c r="C1587">
        <v>5</v>
      </c>
      <c r="D1587">
        <v>18.100000000000001</v>
      </c>
      <c r="E1587">
        <v>0.3</v>
      </c>
      <c r="F1587">
        <v>0.45</v>
      </c>
      <c r="G1587">
        <v>0.45</v>
      </c>
      <c r="H1587">
        <v>179</v>
      </c>
      <c r="I1587">
        <v>7</v>
      </c>
      <c r="J1587">
        <v>3</v>
      </c>
      <c r="K1587">
        <v>40</v>
      </c>
      <c r="L1587" t="s">
        <v>132</v>
      </c>
      <c r="M1587" t="s">
        <v>116</v>
      </c>
    </row>
    <row r="1588" spans="2:13" x14ac:dyDescent="0.2">
      <c r="B1588">
        <v>3063</v>
      </c>
      <c r="C1588">
        <v>1</v>
      </c>
      <c r="D1588">
        <v>0</v>
      </c>
      <c r="E1588">
        <v>0</v>
      </c>
      <c r="F1588">
        <v>0.6</v>
      </c>
      <c r="G1588">
        <v>0.6</v>
      </c>
      <c r="H1588">
        <v>0</v>
      </c>
      <c r="I1588">
        <v>0</v>
      </c>
      <c r="J1588">
        <v>0</v>
      </c>
      <c r="K1588">
        <v>50</v>
      </c>
      <c r="L1588" t="s">
        <v>113</v>
      </c>
      <c r="M1588" t="s">
        <v>114</v>
      </c>
    </row>
    <row r="1589" spans="2:13" x14ac:dyDescent="0.2">
      <c r="B1589">
        <v>3063</v>
      </c>
      <c r="C1589">
        <v>1</v>
      </c>
      <c r="D1589">
        <v>6</v>
      </c>
      <c r="E1589">
        <v>0.1</v>
      </c>
      <c r="F1589">
        <v>0.6</v>
      </c>
      <c r="G1589">
        <v>0.6</v>
      </c>
      <c r="H1589">
        <v>65</v>
      </c>
      <c r="I1589">
        <v>0</v>
      </c>
      <c r="J1589">
        <v>0</v>
      </c>
      <c r="K1589">
        <v>36.799999999999997</v>
      </c>
      <c r="L1589" t="s">
        <v>115</v>
      </c>
      <c r="M1589" t="s">
        <v>116</v>
      </c>
    </row>
    <row r="1590" spans="2:13" x14ac:dyDescent="0.2">
      <c r="B1590">
        <v>3063</v>
      </c>
      <c r="C1590">
        <v>1</v>
      </c>
      <c r="D1590">
        <v>12.1</v>
      </c>
      <c r="E1590">
        <v>0.2</v>
      </c>
      <c r="F1590">
        <v>0.6</v>
      </c>
      <c r="G1590">
        <v>0.6</v>
      </c>
      <c r="H1590">
        <v>130</v>
      </c>
      <c r="I1590">
        <v>4</v>
      </c>
      <c r="J1590">
        <v>0</v>
      </c>
      <c r="K1590">
        <v>88.4</v>
      </c>
      <c r="L1590" t="s">
        <v>115</v>
      </c>
      <c r="M1590" t="s">
        <v>116</v>
      </c>
    </row>
    <row r="1591" spans="2:13" x14ac:dyDescent="0.2">
      <c r="B1591">
        <v>3063</v>
      </c>
      <c r="C1591">
        <v>1</v>
      </c>
      <c r="D1591">
        <v>16.2</v>
      </c>
      <c r="E1591">
        <v>0.27</v>
      </c>
      <c r="F1591">
        <v>0.6</v>
      </c>
      <c r="G1591">
        <v>0.6</v>
      </c>
      <c r="H1591">
        <v>175</v>
      </c>
      <c r="I1591">
        <v>6</v>
      </c>
      <c r="J1591">
        <v>1</v>
      </c>
      <c r="K1591">
        <v>75.900000000000006</v>
      </c>
      <c r="L1591" t="s">
        <v>117</v>
      </c>
      <c r="M1591" t="s">
        <v>118</v>
      </c>
    </row>
    <row r="1592" spans="2:13" x14ac:dyDescent="0.2">
      <c r="B1592">
        <v>3063</v>
      </c>
      <c r="C1592">
        <v>1</v>
      </c>
      <c r="D1592">
        <v>18.100000000000001</v>
      </c>
      <c r="E1592">
        <v>0.3</v>
      </c>
      <c r="F1592">
        <v>0.6</v>
      </c>
      <c r="G1592">
        <v>0.6</v>
      </c>
      <c r="H1592">
        <v>195</v>
      </c>
      <c r="I1592">
        <v>6</v>
      </c>
      <c r="J1592">
        <v>1</v>
      </c>
      <c r="K1592">
        <v>76.099999999999994</v>
      </c>
      <c r="L1592" t="s">
        <v>124</v>
      </c>
      <c r="M1592" t="s">
        <v>116</v>
      </c>
    </row>
    <row r="1593" spans="2:13" x14ac:dyDescent="0.2">
      <c r="B1593">
        <v>3063</v>
      </c>
      <c r="C1593">
        <v>2</v>
      </c>
      <c r="D1593">
        <v>0</v>
      </c>
      <c r="E1593">
        <v>0</v>
      </c>
      <c r="F1593">
        <v>0.6</v>
      </c>
      <c r="G1593">
        <v>0.6</v>
      </c>
      <c r="H1593">
        <v>0</v>
      </c>
      <c r="I1593">
        <v>0</v>
      </c>
      <c r="J1593">
        <v>0</v>
      </c>
      <c r="K1593">
        <v>50</v>
      </c>
      <c r="L1593" t="s">
        <v>113</v>
      </c>
      <c r="M1593" t="s">
        <v>114</v>
      </c>
    </row>
    <row r="1594" spans="2:13" x14ac:dyDescent="0.2">
      <c r="B1594">
        <v>3063</v>
      </c>
      <c r="C1594">
        <v>2</v>
      </c>
      <c r="D1594">
        <v>6</v>
      </c>
      <c r="E1594">
        <v>0.1</v>
      </c>
      <c r="F1594">
        <v>0.6</v>
      </c>
      <c r="G1594">
        <v>0.6</v>
      </c>
      <c r="H1594">
        <v>65</v>
      </c>
      <c r="I1594">
        <v>0</v>
      </c>
      <c r="J1594">
        <v>0</v>
      </c>
      <c r="K1594">
        <v>39.299999999999997</v>
      </c>
      <c r="L1594" t="s">
        <v>115</v>
      </c>
      <c r="M1594" t="s">
        <v>116</v>
      </c>
    </row>
    <row r="1595" spans="2:13" x14ac:dyDescent="0.2">
      <c r="B1595">
        <v>3063</v>
      </c>
      <c r="C1595">
        <v>2</v>
      </c>
      <c r="D1595">
        <v>6.1</v>
      </c>
      <c r="E1595">
        <v>0.1</v>
      </c>
      <c r="F1595">
        <v>0.6</v>
      </c>
      <c r="G1595">
        <v>0.6</v>
      </c>
      <c r="H1595">
        <v>66</v>
      </c>
      <c r="I1595">
        <v>0</v>
      </c>
      <c r="J1595">
        <v>1</v>
      </c>
      <c r="K1595">
        <v>39.4</v>
      </c>
      <c r="L1595" t="s">
        <v>117</v>
      </c>
      <c r="M1595" t="s">
        <v>118</v>
      </c>
    </row>
    <row r="1596" spans="2:13" x14ac:dyDescent="0.2">
      <c r="B1596">
        <v>3063</v>
      </c>
      <c r="C1596">
        <v>2</v>
      </c>
      <c r="D1596">
        <v>11.6</v>
      </c>
      <c r="E1596">
        <v>0.19</v>
      </c>
      <c r="F1596">
        <v>0.6</v>
      </c>
      <c r="G1596">
        <v>0.6</v>
      </c>
      <c r="H1596">
        <v>125</v>
      </c>
      <c r="I1596">
        <v>2</v>
      </c>
      <c r="J1596">
        <v>2</v>
      </c>
      <c r="K1596">
        <v>56.3</v>
      </c>
      <c r="L1596" t="s">
        <v>119</v>
      </c>
      <c r="M1596" t="s">
        <v>118</v>
      </c>
    </row>
    <row r="1597" spans="2:13" x14ac:dyDescent="0.2">
      <c r="B1597">
        <v>3063</v>
      </c>
      <c r="C1597">
        <v>2</v>
      </c>
      <c r="D1597">
        <v>12.1</v>
      </c>
      <c r="E1597">
        <v>0.2</v>
      </c>
      <c r="F1597">
        <v>0.6</v>
      </c>
      <c r="G1597">
        <v>0.45</v>
      </c>
      <c r="H1597">
        <v>130</v>
      </c>
      <c r="I1597">
        <v>3</v>
      </c>
      <c r="J1597">
        <v>2</v>
      </c>
      <c r="K1597">
        <v>56.1</v>
      </c>
      <c r="L1597" t="s">
        <v>120</v>
      </c>
      <c r="M1597" t="s">
        <v>116</v>
      </c>
    </row>
    <row r="1598" spans="2:13" x14ac:dyDescent="0.2">
      <c r="B1598">
        <v>3063</v>
      </c>
      <c r="C1598">
        <v>2</v>
      </c>
      <c r="D1598">
        <v>18.100000000000001</v>
      </c>
      <c r="E1598">
        <v>0.3</v>
      </c>
      <c r="F1598">
        <v>0.45</v>
      </c>
      <c r="G1598">
        <v>0.45</v>
      </c>
      <c r="H1598">
        <v>179</v>
      </c>
      <c r="I1598">
        <v>3</v>
      </c>
      <c r="J1598">
        <v>2</v>
      </c>
      <c r="K1598">
        <v>63.8</v>
      </c>
      <c r="L1598" t="s">
        <v>115</v>
      </c>
      <c r="M1598" t="s">
        <v>116</v>
      </c>
    </row>
    <row r="1599" spans="2:13" x14ac:dyDescent="0.2">
      <c r="B1599">
        <v>3063</v>
      </c>
      <c r="C1599">
        <v>3</v>
      </c>
      <c r="D1599">
        <v>0</v>
      </c>
      <c r="E1599">
        <v>0</v>
      </c>
      <c r="F1599">
        <v>0.6</v>
      </c>
      <c r="G1599">
        <v>0.6</v>
      </c>
      <c r="H1599">
        <v>0</v>
      </c>
      <c r="I1599">
        <v>0</v>
      </c>
      <c r="J1599">
        <v>0</v>
      </c>
      <c r="K1599">
        <v>50</v>
      </c>
      <c r="L1599" t="s">
        <v>113</v>
      </c>
      <c r="M1599" t="s">
        <v>114</v>
      </c>
    </row>
    <row r="1600" spans="2:13" x14ac:dyDescent="0.2">
      <c r="B1600">
        <v>3063</v>
      </c>
      <c r="C1600">
        <v>3</v>
      </c>
      <c r="D1600">
        <v>6</v>
      </c>
      <c r="E1600">
        <v>0.1</v>
      </c>
      <c r="F1600">
        <v>0.6</v>
      </c>
      <c r="G1600">
        <v>0.6</v>
      </c>
      <c r="H1600">
        <v>65</v>
      </c>
      <c r="I1600">
        <v>0</v>
      </c>
      <c r="J1600">
        <v>0</v>
      </c>
      <c r="K1600">
        <v>86.8</v>
      </c>
      <c r="L1600" t="s">
        <v>115</v>
      </c>
      <c r="M1600" t="s">
        <v>116</v>
      </c>
    </row>
    <row r="1601" spans="2:13" x14ac:dyDescent="0.2">
      <c r="B1601">
        <v>3063</v>
      </c>
      <c r="C1601">
        <v>3</v>
      </c>
      <c r="D1601">
        <v>6.1</v>
      </c>
      <c r="E1601">
        <v>0.1</v>
      </c>
      <c r="F1601">
        <v>0.6</v>
      </c>
      <c r="G1601">
        <v>0.6</v>
      </c>
      <c r="H1601">
        <v>66</v>
      </c>
      <c r="I1601">
        <v>0</v>
      </c>
      <c r="J1601">
        <v>1</v>
      </c>
      <c r="K1601">
        <v>61.9</v>
      </c>
      <c r="L1601" t="s">
        <v>117</v>
      </c>
      <c r="M1601" t="s">
        <v>118</v>
      </c>
    </row>
    <row r="1602" spans="2:13" x14ac:dyDescent="0.2">
      <c r="B1602">
        <v>3063</v>
      </c>
      <c r="C1602">
        <v>3</v>
      </c>
      <c r="D1602">
        <v>12.1</v>
      </c>
      <c r="E1602">
        <v>0.2</v>
      </c>
      <c r="F1602">
        <v>0.6</v>
      </c>
      <c r="G1602">
        <v>0.6</v>
      </c>
      <c r="H1602">
        <v>130</v>
      </c>
      <c r="I1602">
        <v>5</v>
      </c>
      <c r="J1602">
        <v>1</v>
      </c>
      <c r="K1602">
        <v>63.6</v>
      </c>
      <c r="L1602" t="s">
        <v>132</v>
      </c>
      <c r="M1602" t="s">
        <v>116</v>
      </c>
    </row>
    <row r="1603" spans="2:13" x14ac:dyDescent="0.2">
      <c r="B1603">
        <v>3063</v>
      </c>
      <c r="C1603">
        <v>3</v>
      </c>
      <c r="D1603">
        <v>17.100000000000001</v>
      </c>
      <c r="E1603">
        <v>0.28999999999999998</v>
      </c>
      <c r="F1603">
        <v>0.6</v>
      </c>
      <c r="G1603">
        <v>0.6</v>
      </c>
      <c r="H1603">
        <v>185</v>
      </c>
      <c r="I1603">
        <v>7</v>
      </c>
      <c r="J1603">
        <v>2</v>
      </c>
      <c r="K1603">
        <v>56.6</v>
      </c>
      <c r="L1603" t="s">
        <v>119</v>
      </c>
      <c r="M1603" t="s">
        <v>118</v>
      </c>
    </row>
    <row r="1604" spans="2:13" x14ac:dyDescent="0.2">
      <c r="B1604">
        <v>3063</v>
      </c>
      <c r="C1604">
        <v>3</v>
      </c>
      <c r="D1604">
        <v>18.100000000000001</v>
      </c>
      <c r="E1604">
        <v>0.3</v>
      </c>
      <c r="F1604">
        <v>0.6</v>
      </c>
      <c r="G1604">
        <v>0.6</v>
      </c>
      <c r="H1604">
        <v>195</v>
      </c>
      <c r="I1604">
        <v>7</v>
      </c>
      <c r="J1604">
        <v>2</v>
      </c>
      <c r="K1604">
        <v>56.3</v>
      </c>
      <c r="L1604" t="s">
        <v>132</v>
      </c>
      <c r="M1604" t="s">
        <v>116</v>
      </c>
    </row>
    <row r="1605" spans="2:13" x14ac:dyDescent="0.2">
      <c r="B1605">
        <v>3063</v>
      </c>
      <c r="C1605">
        <v>4</v>
      </c>
      <c r="D1605">
        <v>0</v>
      </c>
      <c r="E1605">
        <v>0</v>
      </c>
      <c r="F1605">
        <v>0.6</v>
      </c>
      <c r="G1605">
        <v>0.6</v>
      </c>
      <c r="H1605">
        <v>0</v>
      </c>
      <c r="I1605">
        <v>0</v>
      </c>
      <c r="J1605">
        <v>0</v>
      </c>
      <c r="K1605">
        <v>50</v>
      </c>
      <c r="L1605" t="s">
        <v>113</v>
      </c>
      <c r="M1605" t="s">
        <v>114</v>
      </c>
    </row>
    <row r="1606" spans="2:13" x14ac:dyDescent="0.2">
      <c r="B1606">
        <v>3063</v>
      </c>
      <c r="C1606">
        <v>4</v>
      </c>
      <c r="D1606">
        <v>6</v>
      </c>
      <c r="E1606">
        <v>0.1</v>
      </c>
      <c r="F1606">
        <v>0.6</v>
      </c>
      <c r="G1606">
        <v>0.6</v>
      </c>
      <c r="H1606">
        <v>65</v>
      </c>
      <c r="I1606">
        <v>1</v>
      </c>
      <c r="J1606">
        <v>0</v>
      </c>
      <c r="K1606">
        <v>86.8</v>
      </c>
      <c r="L1606" t="s">
        <v>115</v>
      </c>
      <c r="M1606" t="s">
        <v>116</v>
      </c>
    </row>
    <row r="1607" spans="2:13" x14ac:dyDescent="0.2">
      <c r="B1607">
        <v>3063</v>
      </c>
      <c r="C1607">
        <v>4</v>
      </c>
      <c r="D1607">
        <v>11</v>
      </c>
      <c r="E1607">
        <v>0.18</v>
      </c>
      <c r="F1607">
        <v>0.6</v>
      </c>
      <c r="G1607">
        <v>0.6</v>
      </c>
      <c r="H1607">
        <v>119</v>
      </c>
      <c r="I1607">
        <v>4</v>
      </c>
      <c r="J1607">
        <v>1</v>
      </c>
      <c r="K1607">
        <v>63.9</v>
      </c>
      <c r="L1607" t="s">
        <v>122</v>
      </c>
      <c r="M1607" t="s">
        <v>118</v>
      </c>
    </row>
    <row r="1608" spans="2:13" x14ac:dyDescent="0.2">
      <c r="B1608">
        <v>3063</v>
      </c>
      <c r="C1608">
        <v>4</v>
      </c>
      <c r="D1608">
        <v>12.1</v>
      </c>
      <c r="E1608">
        <v>0.2</v>
      </c>
      <c r="F1608">
        <v>0.6</v>
      </c>
      <c r="G1608">
        <v>0.6</v>
      </c>
      <c r="H1608">
        <v>130</v>
      </c>
      <c r="I1608">
        <v>5</v>
      </c>
      <c r="J1608">
        <v>1</v>
      </c>
      <c r="K1608">
        <v>64.400000000000006</v>
      </c>
      <c r="L1608" t="s">
        <v>132</v>
      </c>
      <c r="M1608" t="s">
        <v>116</v>
      </c>
    </row>
    <row r="1609" spans="2:13" x14ac:dyDescent="0.2">
      <c r="B1609">
        <v>3063</v>
      </c>
      <c r="C1609">
        <v>4</v>
      </c>
      <c r="D1609">
        <v>13.5</v>
      </c>
      <c r="E1609">
        <v>0.23</v>
      </c>
      <c r="F1609">
        <v>0.6</v>
      </c>
      <c r="G1609">
        <v>0.6</v>
      </c>
      <c r="H1609">
        <v>146</v>
      </c>
      <c r="I1609">
        <v>5</v>
      </c>
      <c r="J1609">
        <v>2</v>
      </c>
      <c r="K1609">
        <v>56.1</v>
      </c>
      <c r="L1609" t="s">
        <v>119</v>
      </c>
      <c r="M1609" t="s">
        <v>118</v>
      </c>
    </row>
    <row r="1610" spans="2:13" x14ac:dyDescent="0.2">
      <c r="B1610">
        <v>3063</v>
      </c>
      <c r="C1610">
        <v>4</v>
      </c>
      <c r="D1610">
        <v>18.100000000000001</v>
      </c>
      <c r="E1610">
        <v>0.3</v>
      </c>
      <c r="F1610">
        <v>0.6</v>
      </c>
      <c r="G1610">
        <v>0.6</v>
      </c>
      <c r="H1610">
        <v>195</v>
      </c>
      <c r="I1610">
        <v>6</v>
      </c>
      <c r="J1610">
        <v>2</v>
      </c>
      <c r="K1610">
        <v>56.4</v>
      </c>
      <c r="L1610" t="s">
        <v>132</v>
      </c>
      <c r="M1610" t="s">
        <v>116</v>
      </c>
    </row>
    <row r="1611" spans="2:13" x14ac:dyDescent="0.2">
      <c r="B1611">
        <v>3063</v>
      </c>
      <c r="C1611">
        <v>6</v>
      </c>
      <c r="D1611">
        <v>0</v>
      </c>
      <c r="E1611">
        <v>0</v>
      </c>
      <c r="F1611">
        <v>0.6</v>
      </c>
      <c r="G1611">
        <v>0.6</v>
      </c>
      <c r="H1611">
        <v>0</v>
      </c>
      <c r="I1611">
        <v>0</v>
      </c>
      <c r="J1611">
        <v>0</v>
      </c>
      <c r="K1611">
        <v>50</v>
      </c>
      <c r="L1611" t="s">
        <v>113</v>
      </c>
      <c r="M1611" t="s">
        <v>114</v>
      </c>
    </row>
    <row r="1612" spans="2:13" x14ac:dyDescent="0.2">
      <c r="B1612">
        <v>3063</v>
      </c>
      <c r="C1612">
        <v>6</v>
      </c>
      <c r="D1612">
        <v>6</v>
      </c>
      <c r="E1612">
        <v>0.1</v>
      </c>
      <c r="F1612">
        <v>0.6</v>
      </c>
      <c r="G1612">
        <v>0.6</v>
      </c>
      <c r="H1612">
        <v>65</v>
      </c>
      <c r="I1612">
        <v>0</v>
      </c>
      <c r="J1612">
        <v>0</v>
      </c>
      <c r="K1612">
        <v>39.700000000000003</v>
      </c>
      <c r="L1612" t="s">
        <v>115</v>
      </c>
      <c r="M1612" t="s">
        <v>116</v>
      </c>
    </row>
    <row r="1613" spans="2:13" x14ac:dyDescent="0.2">
      <c r="B1613">
        <v>3063</v>
      </c>
      <c r="C1613">
        <v>6</v>
      </c>
      <c r="D1613">
        <v>12.1</v>
      </c>
      <c r="E1613">
        <v>0.2</v>
      </c>
      <c r="F1613">
        <v>0.6</v>
      </c>
      <c r="G1613">
        <v>0.6</v>
      </c>
      <c r="H1613">
        <v>130</v>
      </c>
      <c r="I1613">
        <v>3</v>
      </c>
      <c r="J1613">
        <v>0</v>
      </c>
      <c r="K1613">
        <v>41.3</v>
      </c>
      <c r="L1613" t="s">
        <v>115</v>
      </c>
      <c r="M1613" t="s">
        <v>116</v>
      </c>
    </row>
    <row r="1614" spans="2:13" x14ac:dyDescent="0.2">
      <c r="B1614">
        <v>3063</v>
      </c>
      <c r="C1614">
        <v>6</v>
      </c>
      <c r="D1614">
        <v>12.6</v>
      </c>
      <c r="E1614">
        <v>0.21</v>
      </c>
      <c r="F1614">
        <v>0.6</v>
      </c>
      <c r="G1614">
        <v>0.6</v>
      </c>
      <c r="H1614">
        <v>136</v>
      </c>
      <c r="I1614">
        <v>3</v>
      </c>
      <c r="J1614">
        <v>1</v>
      </c>
      <c r="K1614">
        <v>40.799999999999997</v>
      </c>
      <c r="L1614" t="s">
        <v>117</v>
      </c>
      <c r="M1614" t="s">
        <v>118</v>
      </c>
    </row>
    <row r="1615" spans="2:13" x14ac:dyDescent="0.2">
      <c r="B1615">
        <v>3063</v>
      </c>
      <c r="C1615">
        <v>6</v>
      </c>
      <c r="D1615">
        <v>18.100000000000001</v>
      </c>
      <c r="E1615">
        <v>0.3</v>
      </c>
      <c r="F1615">
        <v>0.6</v>
      </c>
      <c r="G1615">
        <v>0.6</v>
      </c>
      <c r="H1615">
        <v>195</v>
      </c>
      <c r="I1615">
        <v>4</v>
      </c>
      <c r="J1615">
        <v>1</v>
      </c>
      <c r="K1615">
        <v>66</v>
      </c>
      <c r="L1615" t="s">
        <v>121</v>
      </c>
      <c r="M1615" t="s">
        <v>116</v>
      </c>
    </row>
    <row r="1616" spans="2:13" x14ac:dyDescent="0.2">
      <c r="B1616">
        <v>3063</v>
      </c>
      <c r="C1616">
        <v>7</v>
      </c>
      <c r="D1616">
        <v>0</v>
      </c>
      <c r="E1616">
        <v>0</v>
      </c>
      <c r="F1616">
        <v>0.6</v>
      </c>
      <c r="G1616">
        <v>0.6</v>
      </c>
      <c r="H1616">
        <v>0</v>
      </c>
      <c r="I1616">
        <v>0</v>
      </c>
      <c r="J1616">
        <v>0</v>
      </c>
      <c r="K1616">
        <v>50</v>
      </c>
      <c r="L1616" t="s">
        <v>113</v>
      </c>
      <c r="M1616" t="s">
        <v>114</v>
      </c>
    </row>
    <row r="1617" spans="2:13" x14ac:dyDescent="0.2">
      <c r="B1617">
        <v>3063</v>
      </c>
      <c r="C1617">
        <v>7</v>
      </c>
      <c r="D1617">
        <v>6</v>
      </c>
      <c r="E1617">
        <v>0.1</v>
      </c>
      <c r="F1617">
        <v>0.6</v>
      </c>
      <c r="G1617">
        <v>0.6</v>
      </c>
      <c r="H1617">
        <v>65</v>
      </c>
      <c r="I1617">
        <v>0</v>
      </c>
      <c r="J1617">
        <v>0</v>
      </c>
      <c r="K1617">
        <v>40.1</v>
      </c>
      <c r="L1617" t="s">
        <v>115</v>
      </c>
      <c r="M1617" t="s">
        <v>116</v>
      </c>
    </row>
    <row r="1618" spans="2:13" x14ac:dyDescent="0.2">
      <c r="B1618">
        <v>3063</v>
      </c>
      <c r="C1618">
        <v>7</v>
      </c>
      <c r="D1618">
        <v>6.8</v>
      </c>
      <c r="E1618">
        <v>0.11</v>
      </c>
      <c r="F1618">
        <v>0.6</v>
      </c>
      <c r="G1618">
        <v>0.6</v>
      </c>
      <c r="H1618">
        <v>74</v>
      </c>
      <c r="I1618">
        <v>0</v>
      </c>
      <c r="J1618">
        <v>1</v>
      </c>
      <c r="K1618">
        <v>39.4</v>
      </c>
      <c r="L1618" t="s">
        <v>117</v>
      </c>
      <c r="M1618" t="s">
        <v>118</v>
      </c>
    </row>
    <row r="1619" spans="2:13" x14ac:dyDescent="0.2">
      <c r="B1619">
        <v>3063</v>
      </c>
      <c r="C1619">
        <v>7</v>
      </c>
      <c r="D1619">
        <v>12.1</v>
      </c>
      <c r="E1619">
        <v>0.2</v>
      </c>
      <c r="F1619">
        <v>0.6</v>
      </c>
      <c r="G1619">
        <v>0.6</v>
      </c>
      <c r="H1619">
        <v>130</v>
      </c>
      <c r="I1619">
        <v>7</v>
      </c>
      <c r="J1619">
        <v>1</v>
      </c>
      <c r="K1619">
        <v>40.5</v>
      </c>
      <c r="L1619" t="s">
        <v>132</v>
      </c>
      <c r="M1619" t="s">
        <v>116</v>
      </c>
    </row>
    <row r="1620" spans="2:13" x14ac:dyDescent="0.2">
      <c r="B1620">
        <v>3063</v>
      </c>
      <c r="C1620">
        <v>7</v>
      </c>
      <c r="D1620">
        <v>18.100000000000001</v>
      </c>
      <c r="E1620">
        <v>0.3</v>
      </c>
      <c r="F1620">
        <v>0.6</v>
      </c>
      <c r="G1620">
        <v>0.7</v>
      </c>
      <c r="H1620">
        <v>195</v>
      </c>
      <c r="I1620">
        <v>9</v>
      </c>
      <c r="J1620">
        <v>1</v>
      </c>
      <c r="K1620">
        <v>77.900000000000006</v>
      </c>
      <c r="L1620" t="s">
        <v>128</v>
      </c>
      <c r="M1620" t="s">
        <v>116</v>
      </c>
    </row>
    <row r="1621" spans="2:13" x14ac:dyDescent="0.2">
      <c r="B1621">
        <v>3064</v>
      </c>
      <c r="C1621">
        <v>1</v>
      </c>
      <c r="D1621">
        <v>0</v>
      </c>
      <c r="E1621">
        <v>0</v>
      </c>
      <c r="F1621">
        <v>0.6</v>
      </c>
      <c r="G1621">
        <v>0.6</v>
      </c>
      <c r="H1621">
        <v>0</v>
      </c>
      <c r="I1621">
        <v>0</v>
      </c>
      <c r="J1621">
        <v>0</v>
      </c>
      <c r="K1621">
        <v>50</v>
      </c>
      <c r="L1621" t="s">
        <v>113</v>
      </c>
      <c r="M1621" t="s">
        <v>114</v>
      </c>
    </row>
    <row r="1622" spans="2:13" x14ac:dyDescent="0.2">
      <c r="B1622">
        <v>3064</v>
      </c>
      <c r="C1622">
        <v>1</v>
      </c>
      <c r="D1622">
        <v>6</v>
      </c>
      <c r="E1622">
        <v>0.1</v>
      </c>
      <c r="F1622">
        <v>0.6</v>
      </c>
      <c r="G1622">
        <v>0.6</v>
      </c>
      <c r="H1622">
        <v>65</v>
      </c>
      <c r="I1622">
        <v>1</v>
      </c>
      <c r="J1622">
        <v>0</v>
      </c>
      <c r="K1622">
        <v>38.799999999999997</v>
      </c>
      <c r="L1622" t="s">
        <v>115</v>
      </c>
      <c r="M1622" t="s">
        <v>116</v>
      </c>
    </row>
    <row r="1623" spans="2:13" x14ac:dyDescent="0.2">
      <c r="B1623">
        <v>3064</v>
      </c>
      <c r="C1623">
        <v>1</v>
      </c>
      <c r="D1623">
        <v>12.1</v>
      </c>
      <c r="E1623">
        <v>0.2</v>
      </c>
      <c r="F1623">
        <v>0.6</v>
      </c>
      <c r="G1623">
        <v>0.7</v>
      </c>
      <c r="H1623">
        <v>130</v>
      </c>
      <c r="I1623">
        <v>8</v>
      </c>
      <c r="J1623">
        <v>0</v>
      </c>
      <c r="K1623">
        <v>86.9</v>
      </c>
      <c r="L1623" t="s">
        <v>128</v>
      </c>
      <c r="M1623" t="s">
        <v>116</v>
      </c>
    </row>
    <row r="1624" spans="2:13" x14ac:dyDescent="0.2">
      <c r="B1624">
        <v>3064</v>
      </c>
      <c r="C1624">
        <v>1</v>
      </c>
      <c r="D1624">
        <v>14.4</v>
      </c>
      <c r="E1624">
        <v>0.24</v>
      </c>
      <c r="F1624">
        <v>0.7</v>
      </c>
      <c r="G1624">
        <v>0.7</v>
      </c>
      <c r="H1624">
        <v>159</v>
      </c>
      <c r="I1624">
        <v>10</v>
      </c>
      <c r="J1624">
        <v>1</v>
      </c>
      <c r="K1624">
        <v>75</v>
      </c>
      <c r="L1624" t="s">
        <v>117</v>
      </c>
      <c r="M1624" t="s">
        <v>118</v>
      </c>
    </row>
    <row r="1625" spans="2:13" x14ac:dyDescent="0.2">
      <c r="B1625">
        <v>3064</v>
      </c>
      <c r="C1625">
        <v>2</v>
      </c>
      <c r="D1625">
        <v>0</v>
      </c>
      <c r="E1625">
        <v>0</v>
      </c>
      <c r="F1625">
        <v>0.6</v>
      </c>
      <c r="G1625">
        <v>0.6</v>
      </c>
      <c r="H1625">
        <v>0</v>
      </c>
      <c r="I1625">
        <v>0</v>
      </c>
      <c r="J1625">
        <v>0</v>
      </c>
      <c r="K1625">
        <v>50</v>
      </c>
      <c r="L1625" t="s">
        <v>113</v>
      </c>
      <c r="M1625" t="s">
        <v>114</v>
      </c>
    </row>
    <row r="1626" spans="2:13" x14ac:dyDescent="0.2">
      <c r="B1626">
        <v>3064</v>
      </c>
      <c r="C1626">
        <v>2</v>
      </c>
      <c r="D1626">
        <v>6</v>
      </c>
      <c r="E1626">
        <v>0.1</v>
      </c>
      <c r="F1626">
        <v>0.6</v>
      </c>
      <c r="G1626">
        <v>0.6</v>
      </c>
      <c r="H1626">
        <v>65</v>
      </c>
      <c r="I1626">
        <v>0</v>
      </c>
      <c r="J1626">
        <v>0</v>
      </c>
      <c r="K1626">
        <v>37.6</v>
      </c>
      <c r="L1626" t="s">
        <v>115</v>
      </c>
      <c r="M1626" t="s">
        <v>116</v>
      </c>
    </row>
    <row r="1627" spans="2:13" x14ac:dyDescent="0.2">
      <c r="B1627">
        <v>3064</v>
      </c>
      <c r="C1627">
        <v>2</v>
      </c>
      <c r="D1627">
        <v>7.9</v>
      </c>
      <c r="E1627">
        <v>0.13</v>
      </c>
      <c r="F1627">
        <v>0.6</v>
      </c>
      <c r="G1627">
        <v>0.6</v>
      </c>
      <c r="H1627">
        <v>86</v>
      </c>
      <c r="I1627">
        <v>1</v>
      </c>
      <c r="J1627">
        <v>1</v>
      </c>
      <c r="K1627">
        <v>63.1</v>
      </c>
      <c r="L1627" t="s">
        <v>117</v>
      </c>
      <c r="M1627" t="s">
        <v>118</v>
      </c>
    </row>
    <row r="1628" spans="2:13" x14ac:dyDescent="0.2">
      <c r="B1628">
        <v>3064</v>
      </c>
      <c r="C1628">
        <v>2</v>
      </c>
      <c r="D1628">
        <v>12.1</v>
      </c>
      <c r="E1628">
        <v>0.2</v>
      </c>
      <c r="F1628">
        <v>0.6</v>
      </c>
      <c r="G1628">
        <v>0.6</v>
      </c>
      <c r="H1628">
        <v>130</v>
      </c>
      <c r="I1628">
        <v>2</v>
      </c>
      <c r="J1628">
        <v>1</v>
      </c>
      <c r="K1628">
        <v>62.8</v>
      </c>
      <c r="L1628" t="s">
        <v>121</v>
      </c>
      <c r="M1628" t="s">
        <v>116</v>
      </c>
    </row>
    <row r="1629" spans="2:13" x14ac:dyDescent="0.2">
      <c r="B1629">
        <v>3064</v>
      </c>
      <c r="C1629">
        <v>2</v>
      </c>
      <c r="D1629">
        <v>14.3</v>
      </c>
      <c r="E1629">
        <v>0.24</v>
      </c>
      <c r="F1629">
        <v>0.6</v>
      </c>
      <c r="G1629">
        <v>0.6</v>
      </c>
      <c r="H1629">
        <v>154</v>
      </c>
      <c r="I1629">
        <v>4</v>
      </c>
      <c r="J1629">
        <v>2</v>
      </c>
      <c r="K1629">
        <v>63.5</v>
      </c>
      <c r="L1629" t="s">
        <v>149</v>
      </c>
      <c r="M1629" t="s">
        <v>118</v>
      </c>
    </row>
    <row r="1630" spans="2:13" x14ac:dyDescent="0.2">
      <c r="B1630">
        <v>3064</v>
      </c>
      <c r="C1630">
        <v>2</v>
      </c>
      <c r="D1630">
        <v>18.100000000000001</v>
      </c>
      <c r="E1630">
        <v>0.3</v>
      </c>
      <c r="F1630">
        <v>0.6</v>
      </c>
      <c r="G1630">
        <v>0.6</v>
      </c>
      <c r="H1630">
        <v>195</v>
      </c>
      <c r="I1630">
        <v>6</v>
      </c>
      <c r="J1630">
        <v>2</v>
      </c>
      <c r="K1630">
        <v>68.400000000000006</v>
      </c>
      <c r="L1630" t="s">
        <v>124</v>
      </c>
      <c r="M1630" t="s">
        <v>116</v>
      </c>
    </row>
    <row r="1631" spans="2:13" x14ac:dyDescent="0.2">
      <c r="B1631">
        <v>3064</v>
      </c>
      <c r="C1631">
        <v>3</v>
      </c>
      <c r="D1631">
        <v>0</v>
      </c>
      <c r="E1631">
        <v>0</v>
      </c>
      <c r="F1631">
        <v>0.6</v>
      </c>
      <c r="G1631">
        <v>0.6</v>
      </c>
      <c r="H1631">
        <v>0</v>
      </c>
      <c r="I1631">
        <v>0</v>
      </c>
      <c r="J1631">
        <v>0</v>
      </c>
      <c r="K1631">
        <v>50</v>
      </c>
      <c r="L1631" t="s">
        <v>113</v>
      </c>
      <c r="M1631" t="s">
        <v>114</v>
      </c>
    </row>
    <row r="1632" spans="2:13" x14ac:dyDescent="0.2">
      <c r="B1632">
        <v>3064</v>
      </c>
      <c r="C1632">
        <v>3</v>
      </c>
      <c r="D1632">
        <v>6</v>
      </c>
      <c r="E1632">
        <v>0.1</v>
      </c>
      <c r="F1632">
        <v>0.6</v>
      </c>
      <c r="G1632">
        <v>0.6</v>
      </c>
      <c r="H1632">
        <v>65</v>
      </c>
      <c r="I1632">
        <v>1</v>
      </c>
      <c r="J1632">
        <v>0</v>
      </c>
      <c r="K1632">
        <v>42.1</v>
      </c>
      <c r="L1632" t="s">
        <v>115</v>
      </c>
      <c r="M1632" t="s">
        <v>116</v>
      </c>
    </row>
    <row r="1633" spans="2:13" x14ac:dyDescent="0.2">
      <c r="B1633">
        <v>3064</v>
      </c>
      <c r="C1633">
        <v>3</v>
      </c>
      <c r="D1633">
        <v>7.2</v>
      </c>
      <c r="E1633">
        <v>0.12</v>
      </c>
      <c r="F1633">
        <v>0.6</v>
      </c>
      <c r="G1633">
        <v>0.6</v>
      </c>
      <c r="H1633">
        <v>78</v>
      </c>
      <c r="I1633">
        <v>1</v>
      </c>
      <c r="J1633">
        <v>1</v>
      </c>
      <c r="K1633">
        <v>42.4</v>
      </c>
      <c r="L1633" t="s">
        <v>117</v>
      </c>
      <c r="M1633" t="s">
        <v>118</v>
      </c>
    </row>
    <row r="1634" spans="2:13" x14ac:dyDescent="0.2">
      <c r="B1634">
        <v>3064</v>
      </c>
      <c r="C1634">
        <v>3</v>
      </c>
      <c r="D1634">
        <v>12.1</v>
      </c>
      <c r="E1634">
        <v>0.2</v>
      </c>
      <c r="F1634">
        <v>0.6</v>
      </c>
      <c r="G1634">
        <v>0.6</v>
      </c>
      <c r="H1634">
        <v>130</v>
      </c>
      <c r="I1634">
        <v>6</v>
      </c>
      <c r="J1634">
        <v>1</v>
      </c>
      <c r="K1634">
        <v>40</v>
      </c>
      <c r="L1634" t="s">
        <v>132</v>
      </c>
      <c r="M1634" t="s">
        <v>116</v>
      </c>
    </row>
    <row r="1635" spans="2:13" x14ac:dyDescent="0.2">
      <c r="B1635">
        <v>3064</v>
      </c>
      <c r="C1635">
        <v>3</v>
      </c>
      <c r="D1635">
        <v>18.100000000000001</v>
      </c>
      <c r="E1635">
        <v>0.3</v>
      </c>
      <c r="F1635">
        <v>0.6</v>
      </c>
      <c r="G1635">
        <v>0.6</v>
      </c>
      <c r="H1635">
        <v>195</v>
      </c>
      <c r="I1635">
        <v>8</v>
      </c>
      <c r="J1635">
        <v>1</v>
      </c>
      <c r="K1635">
        <v>64.900000000000006</v>
      </c>
      <c r="L1635" t="s">
        <v>115</v>
      </c>
      <c r="M1635" t="s">
        <v>116</v>
      </c>
    </row>
    <row r="1636" spans="2:13" x14ac:dyDescent="0.2">
      <c r="B1636">
        <v>3064</v>
      </c>
      <c r="C1636">
        <v>4</v>
      </c>
      <c r="D1636">
        <v>0</v>
      </c>
      <c r="E1636">
        <v>0</v>
      </c>
      <c r="F1636">
        <v>0.6</v>
      </c>
      <c r="G1636">
        <v>0.6</v>
      </c>
      <c r="H1636">
        <v>0</v>
      </c>
      <c r="I1636">
        <v>0</v>
      </c>
      <c r="J1636">
        <v>0</v>
      </c>
      <c r="K1636">
        <v>50</v>
      </c>
      <c r="L1636" t="s">
        <v>113</v>
      </c>
      <c r="M1636" t="s">
        <v>114</v>
      </c>
    </row>
    <row r="1637" spans="2:13" x14ac:dyDescent="0.2">
      <c r="B1637">
        <v>3064</v>
      </c>
      <c r="C1637">
        <v>4</v>
      </c>
      <c r="D1637">
        <v>6</v>
      </c>
      <c r="E1637">
        <v>0.1</v>
      </c>
      <c r="F1637">
        <v>0.6</v>
      </c>
      <c r="G1637">
        <v>0.6</v>
      </c>
      <c r="H1637">
        <v>65</v>
      </c>
      <c r="I1637">
        <v>0</v>
      </c>
      <c r="J1637">
        <v>0</v>
      </c>
      <c r="K1637">
        <v>39.299999999999997</v>
      </c>
      <c r="L1637" t="s">
        <v>115</v>
      </c>
      <c r="M1637" t="s">
        <v>116</v>
      </c>
    </row>
    <row r="1638" spans="2:13" x14ac:dyDescent="0.2">
      <c r="B1638">
        <v>3064</v>
      </c>
      <c r="C1638">
        <v>4</v>
      </c>
      <c r="D1638">
        <v>12.1</v>
      </c>
      <c r="E1638">
        <v>0.2</v>
      </c>
      <c r="F1638">
        <v>0.6</v>
      </c>
      <c r="G1638">
        <v>0.7</v>
      </c>
      <c r="H1638">
        <v>130</v>
      </c>
      <c r="I1638">
        <v>3</v>
      </c>
      <c r="J1638">
        <v>0</v>
      </c>
      <c r="K1638">
        <v>90.2</v>
      </c>
      <c r="L1638" t="s">
        <v>128</v>
      </c>
      <c r="M1638" t="s">
        <v>116</v>
      </c>
    </row>
    <row r="1639" spans="2:13" x14ac:dyDescent="0.2">
      <c r="B1639">
        <v>3064</v>
      </c>
      <c r="C1639">
        <v>5</v>
      </c>
      <c r="D1639">
        <v>0</v>
      </c>
      <c r="E1639">
        <v>0</v>
      </c>
      <c r="F1639">
        <v>0.6</v>
      </c>
      <c r="G1639">
        <v>0.6</v>
      </c>
      <c r="H1639">
        <v>0</v>
      </c>
      <c r="I1639">
        <v>0</v>
      </c>
      <c r="J1639">
        <v>0</v>
      </c>
      <c r="K1639">
        <v>50</v>
      </c>
      <c r="L1639" t="s">
        <v>113</v>
      </c>
      <c r="M1639" t="s">
        <v>114</v>
      </c>
    </row>
    <row r="1640" spans="2:13" x14ac:dyDescent="0.2">
      <c r="B1640">
        <v>3064</v>
      </c>
      <c r="C1640">
        <v>5</v>
      </c>
      <c r="D1640">
        <v>6</v>
      </c>
      <c r="E1640">
        <v>0.1</v>
      </c>
      <c r="F1640">
        <v>0.6</v>
      </c>
      <c r="G1640">
        <v>0.6</v>
      </c>
      <c r="H1640">
        <v>65</v>
      </c>
      <c r="I1640">
        <v>0</v>
      </c>
      <c r="J1640">
        <v>0</v>
      </c>
      <c r="K1640">
        <v>38.799999999999997</v>
      </c>
      <c r="L1640" t="s">
        <v>115</v>
      </c>
      <c r="M1640" t="s">
        <v>116</v>
      </c>
    </row>
    <row r="1641" spans="2:13" x14ac:dyDescent="0.2">
      <c r="B1641">
        <v>3064</v>
      </c>
      <c r="C1641">
        <v>5</v>
      </c>
      <c r="D1641">
        <v>8.5</v>
      </c>
      <c r="E1641">
        <v>0.14000000000000001</v>
      </c>
      <c r="F1641">
        <v>0.6</v>
      </c>
      <c r="G1641">
        <v>0.6</v>
      </c>
      <c r="H1641">
        <v>92</v>
      </c>
      <c r="I1641">
        <v>1</v>
      </c>
      <c r="J1641">
        <v>1</v>
      </c>
      <c r="K1641">
        <v>62.7</v>
      </c>
      <c r="L1641" t="s">
        <v>117</v>
      </c>
      <c r="M1641" t="s">
        <v>118</v>
      </c>
    </row>
    <row r="1642" spans="2:13" x14ac:dyDescent="0.2">
      <c r="B1642">
        <v>3064</v>
      </c>
      <c r="C1642">
        <v>5</v>
      </c>
      <c r="D1642">
        <v>12.1</v>
      </c>
      <c r="E1642">
        <v>0.2</v>
      </c>
      <c r="F1642">
        <v>0.6</v>
      </c>
      <c r="G1642">
        <v>0.6</v>
      </c>
      <c r="H1642">
        <v>130</v>
      </c>
      <c r="I1642">
        <v>3</v>
      </c>
      <c r="J1642">
        <v>1</v>
      </c>
      <c r="K1642">
        <v>72.3</v>
      </c>
      <c r="L1642" t="s">
        <v>124</v>
      </c>
      <c r="M1642" t="s">
        <v>116</v>
      </c>
    </row>
    <row r="1643" spans="2:13" x14ac:dyDescent="0.2">
      <c r="B1643">
        <v>3064</v>
      </c>
      <c r="C1643">
        <v>5</v>
      </c>
      <c r="D1643">
        <v>16.5</v>
      </c>
      <c r="E1643">
        <v>0.27</v>
      </c>
      <c r="F1643">
        <v>0.6</v>
      </c>
      <c r="G1643">
        <v>0.6</v>
      </c>
      <c r="H1643">
        <v>178</v>
      </c>
      <c r="I1643">
        <v>9</v>
      </c>
      <c r="J1643">
        <v>2</v>
      </c>
      <c r="K1643">
        <v>70.099999999999994</v>
      </c>
      <c r="L1643" t="s">
        <v>119</v>
      </c>
      <c r="M1643" t="s">
        <v>118</v>
      </c>
    </row>
    <row r="1644" spans="2:13" x14ac:dyDescent="0.2">
      <c r="B1644">
        <v>3064</v>
      </c>
      <c r="C1644">
        <v>5</v>
      </c>
      <c r="D1644">
        <v>18.100000000000001</v>
      </c>
      <c r="E1644">
        <v>0.3</v>
      </c>
      <c r="F1644">
        <v>0.6</v>
      </c>
      <c r="G1644">
        <v>0.6</v>
      </c>
      <c r="H1644">
        <v>195</v>
      </c>
      <c r="I1644">
        <v>13</v>
      </c>
      <c r="J1644">
        <v>2</v>
      </c>
      <c r="K1644">
        <v>69.900000000000006</v>
      </c>
      <c r="L1644" t="s">
        <v>121</v>
      </c>
      <c r="M1644" t="s">
        <v>116</v>
      </c>
    </row>
    <row r="1645" spans="2:13" x14ac:dyDescent="0.2">
      <c r="B1645">
        <v>3065</v>
      </c>
      <c r="C1645">
        <v>1</v>
      </c>
      <c r="D1645">
        <v>0</v>
      </c>
      <c r="E1645">
        <v>0</v>
      </c>
      <c r="F1645">
        <v>0.6</v>
      </c>
      <c r="G1645">
        <v>0.6</v>
      </c>
      <c r="H1645">
        <v>0</v>
      </c>
      <c r="I1645">
        <v>0</v>
      </c>
      <c r="J1645">
        <v>0</v>
      </c>
      <c r="K1645">
        <v>50</v>
      </c>
      <c r="L1645" t="s">
        <v>113</v>
      </c>
      <c r="M1645" t="s">
        <v>114</v>
      </c>
    </row>
    <row r="1646" spans="2:13" x14ac:dyDescent="0.2">
      <c r="B1646">
        <v>3065</v>
      </c>
      <c r="C1646">
        <v>1</v>
      </c>
      <c r="D1646">
        <v>6</v>
      </c>
      <c r="E1646">
        <v>0.1</v>
      </c>
      <c r="F1646">
        <v>0.6</v>
      </c>
      <c r="G1646">
        <v>0.6</v>
      </c>
      <c r="H1646">
        <v>65</v>
      </c>
      <c r="I1646">
        <v>0</v>
      </c>
      <c r="J1646">
        <v>0</v>
      </c>
      <c r="K1646">
        <v>36.799999999999997</v>
      </c>
      <c r="L1646" t="s">
        <v>115</v>
      </c>
      <c r="M1646" t="s">
        <v>116</v>
      </c>
    </row>
    <row r="1647" spans="2:13" x14ac:dyDescent="0.2">
      <c r="B1647">
        <v>3065</v>
      </c>
      <c r="C1647">
        <v>1</v>
      </c>
      <c r="D1647">
        <v>7.4</v>
      </c>
      <c r="E1647">
        <v>0.12</v>
      </c>
      <c r="F1647">
        <v>0.6</v>
      </c>
      <c r="G1647">
        <v>0.6</v>
      </c>
      <c r="H1647">
        <v>80</v>
      </c>
      <c r="I1647">
        <v>0</v>
      </c>
      <c r="J1647">
        <v>1</v>
      </c>
      <c r="K1647">
        <v>61.2</v>
      </c>
      <c r="L1647" t="s">
        <v>117</v>
      </c>
      <c r="M1647" t="s">
        <v>118</v>
      </c>
    </row>
    <row r="1648" spans="2:13" x14ac:dyDescent="0.2">
      <c r="B1648">
        <v>3065</v>
      </c>
      <c r="C1648">
        <v>1</v>
      </c>
      <c r="D1648">
        <v>11.6</v>
      </c>
      <c r="E1648">
        <v>0.19</v>
      </c>
      <c r="F1648">
        <v>0.6</v>
      </c>
      <c r="G1648">
        <v>0.6</v>
      </c>
      <c r="H1648">
        <v>125</v>
      </c>
      <c r="I1648">
        <v>2</v>
      </c>
      <c r="J1648">
        <v>2</v>
      </c>
      <c r="K1648">
        <v>51.4</v>
      </c>
      <c r="L1648" t="s">
        <v>119</v>
      </c>
      <c r="M1648" t="s">
        <v>118</v>
      </c>
    </row>
    <row r="1649" spans="2:13" x14ac:dyDescent="0.2">
      <c r="B1649">
        <v>3065</v>
      </c>
      <c r="C1649">
        <v>1</v>
      </c>
      <c r="D1649">
        <v>12.1</v>
      </c>
      <c r="E1649">
        <v>0.2</v>
      </c>
      <c r="F1649">
        <v>0.6</v>
      </c>
      <c r="G1649">
        <v>0.45</v>
      </c>
      <c r="H1649">
        <v>130</v>
      </c>
      <c r="I1649">
        <v>2</v>
      </c>
      <c r="J1649">
        <v>2</v>
      </c>
      <c r="K1649">
        <v>51.3</v>
      </c>
      <c r="L1649" t="s">
        <v>120</v>
      </c>
      <c r="M1649" t="s">
        <v>116</v>
      </c>
    </row>
    <row r="1650" spans="2:13" x14ac:dyDescent="0.2">
      <c r="B1650">
        <v>3065</v>
      </c>
      <c r="C1650">
        <v>1</v>
      </c>
      <c r="D1650">
        <v>18.100000000000001</v>
      </c>
      <c r="E1650">
        <v>0.3</v>
      </c>
      <c r="F1650">
        <v>0.45</v>
      </c>
      <c r="G1650">
        <v>0.45</v>
      </c>
      <c r="H1650">
        <v>179</v>
      </c>
      <c r="I1650">
        <v>4</v>
      </c>
      <c r="J1650">
        <v>2</v>
      </c>
      <c r="K1650">
        <v>60</v>
      </c>
      <c r="L1650" t="s">
        <v>115</v>
      </c>
      <c r="M1650" t="s">
        <v>116</v>
      </c>
    </row>
    <row r="1651" spans="2:13" x14ac:dyDescent="0.2">
      <c r="B1651">
        <v>3066</v>
      </c>
      <c r="C1651">
        <v>1</v>
      </c>
      <c r="D1651">
        <v>0</v>
      </c>
      <c r="E1651">
        <v>0</v>
      </c>
      <c r="F1651">
        <v>0.6</v>
      </c>
      <c r="G1651">
        <v>0.6</v>
      </c>
      <c r="H1651">
        <v>0</v>
      </c>
      <c r="I1651">
        <v>0</v>
      </c>
      <c r="J1651">
        <v>0</v>
      </c>
      <c r="K1651">
        <v>50</v>
      </c>
      <c r="L1651" t="s">
        <v>113</v>
      </c>
      <c r="M1651" t="s">
        <v>114</v>
      </c>
    </row>
    <row r="1652" spans="2:13" x14ac:dyDescent="0.2">
      <c r="B1652">
        <v>3066</v>
      </c>
      <c r="C1652">
        <v>1</v>
      </c>
      <c r="D1652">
        <v>6</v>
      </c>
      <c r="E1652">
        <v>0.1</v>
      </c>
      <c r="F1652">
        <v>0.6</v>
      </c>
      <c r="G1652">
        <v>0.6</v>
      </c>
      <c r="H1652">
        <v>65</v>
      </c>
      <c r="I1652">
        <v>0</v>
      </c>
      <c r="J1652">
        <v>0</v>
      </c>
      <c r="K1652">
        <v>37.6</v>
      </c>
      <c r="L1652" t="s">
        <v>115</v>
      </c>
      <c r="M1652" t="s">
        <v>116</v>
      </c>
    </row>
    <row r="1653" spans="2:13" x14ac:dyDescent="0.2">
      <c r="B1653">
        <v>3066</v>
      </c>
      <c r="C1653">
        <v>1</v>
      </c>
      <c r="D1653">
        <v>6.2</v>
      </c>
      <c r="E1653">
        <v>0.1</v>
      </c>
      <c r="F1653">
        <v>0.6</v>
      </c>
      <c r="G1653">
        <v>0.6</v>
      </c>
      <c r="H1653">
        <v>67</v>
      </c>
      <c r="I1653">
        <v>0</v>
      </c>
      <c r="J1653">
        <v>1</v>
      </c>
      <c r="K1653">
        <v>37.6</v>
      </c>
      <c r="L1653" t="s">
        <v>122</v>
      </c>
      <c r="M1653" t="s">
        <v>118</v>
      </c>
    </row>
    <row r="1654" spans="2:13" x14ac:dyDescent="0.2">
      <c r="B1654">
        <v>3066</v>
      </c>
      <c r="C1654">
        <v>1</v>
      </c>
      <c r="D1654">
        <v>10.1</v>
      </c>
      <c r="E1654">
        <v>0.17</v>
      </c>
      <c r="F1654">
        <v>0.6</v>
      </c>
      <c r="G1654">
        <v>0.6</v>
      </c>
      <c r="H1654">
        <v>109</v>
      </c>
      <c r="I1654">
        <v>2</v>
      </c>
      <c r="J1654">
        <v>2</v>
      </c>
      <c r="K1654">
        <v>38.6</v>
      </c>
      <c r="L1654" t="s">
        <v>119</v>
      </c>
      <c r="M1654" t="s">
        <v>118</v>
      </c>
    </row>
    <row r="1655" spans="2:13" x14ac:dyDescent="0.2">
      <c r="B1655">
        <v>3066</v>
      </c>
      <c r="C1655">
        <v>1</v>
      </c>
      <c r="D1655">
        <v>12.1</v>
      </c>
      <c r="E1655">
        <v>0.2</v>
      </c>
      <c r="F1655">
        <v>0.6</v>
      </c>
      <c r="G1655">
        <v>0.45</v>
      </c>
      <c r="H1655">
        <v>130</v>
      </c>
      <c r="I1655">
        <v>2</v>
      </c>
      <c r="J1655">
        <v>2</v>
      </c>
      <c r="K1655">
        <v>37.6</v>
      </c>
      <c r="L1655" t="s">
        <v>126</v>
      </c>
      <c r="M1655" t="s">
        <v>116</v>
      </c>
    </row>
    <row r="1656" spans="2:13" x14ac:dyDescent="0.2">
      <c r="B1656">
        <v>3066</v>
      </c>
      <c r="C1656">
        <v>1</v>
      </c>
      <c r="D1656">
        <v>18.100000000000001</v>
      </c>
      <c r="E1656">
        <v>0.3</v>
      </c>
      <c r="F1656">
        <v>0.45</v>
      </c>
      <c r="G1656">
        <v>0.55000000000000004</v>
      </c>
      <c r="H1656">
        <v>179</v>
      </c>
      <c r="I1656">
        <v>6</v>
      </c>
      <c r="J1656">
        <v>2</v>
      </c>
      <c r="K1656">
        <v>66</v>
      </c>
      <c r="L1656" t="s">
        <v>128</v>
      </c>
      <c r="M1656" t="s">
        <v>116</v>
      </c>
    </row>
    <row r="1657" spans="2:13" x14ac:dyDescent="0.2">
      <c r="B1657">
        <v>3066</v>
      </c>
      <c r="C1657">
        <v>1</v>
      </c>
      <c r="D1657">
        <v>19.2</v>
      </c>
      <c r="E1657">
        <v>0.32</v>
      </c>
      <c r="F1657">
        <v>0.55000000000000004</v>
      </c>
      <c r="G1657">
        <v>0.55000000000000004</v>
      </c>
      <c r="H1657">
        <v>190</v>
      </c>
      <c r="I1657">
        <v>6</v>
      </c>
      <c r="J1657">
        <v>3</v>
      </c>
      <c r="K1657">
        <v>60.5</v>
      </c>
      <c r="L1657" t="s">
        <v>144</v>
      </c>
      <c r="M1657" t="s">
        <v>118</v>
      </c>
    </row>
    <row r="1658" spans="2:13" x14ac:dyDescent="0.2">
      <c r="B1658">
        <v>3066</v>
      </c>
      <c r="C1658">
        <v>2</v>
      </c>
      <c r="D1658">
        <v>0</v>
      </c>
      <c r="E1658">
        <v>0</v>
      </c>
      <c r="F1658">
        <v>0.6</v>
      </c>
      <c r="G1658">
        <v>0.6</v>
      </c>
      <c r="H1658">
        <v>0</v>
      </c>
      <c r="I1658">
        <v>0</v>
      </c>
      <c r="J1658">
        <v>0</v>
      </c>
      <c r="K1658">
        <v>50</v>
      </c>
      <c r="L1658" t="s">
        <v>113</v>
      </c>
      <c r="M1658" t="s">
        <v>114</v>
      </c>
    </row>
    <row r="1659" spans="2:13" x14ac:dyDescent="0.2">
      <c r="B1659">
        <v>3066</v>
      </c>
      <c r="C1659">
        <v>2</v>
      </c>
      <c r="D1659">
        <v>6</v>
      </c>
      <c r="E1659">
        <v>0.1</v>
      </c>
      <c r="F1659">
        <v>0.6</v>
      </c>
      <c r="G1659">
        <v>0.6</v>
      </c>
      <c r="H1659">
        <v>65</v>
      </c>
      <c r="I1659">
        <v>0</v>
      </c>
      <c r="J1659">
        <v>0</v>
      </c>
      <c r="K1659">
        <v>34.700000000000003</v>
      </c>
      <c r="L1659" t="s">
        <v>115</v>
      </c>
      <c r="M1659" t="s">
        <v>116</v>
      </c>
    </row>
    <row r="1660" spans="2:13" x14ac:dyDescent="0.2">
      <c r="B1660">
        <v>3066</v>
      </c>
      <c r="C1660">
        <v>2</v>
      </c>
      <c r="D1660">
        <v>7.4</v>
      </c>
      <c r="E1660">
        <v>0.12</v>
      </c>
      <c r="F1660">
        <v>0.6</v>
      </c>
      <c r="G1660">
        <v>0.6</v>
      </c>
      <c r="H1660">
        <v>80</v>
      </c>
      <c r="I1660">
        <v>2</v>
      </c>
      <c r="J1660">
        <v>1</v>
      </c>
      <c r="K1660">
        <v>34.799999999999997</v>
      </c>
      <c r="L1660" t="s">
        <v>117</v>
      </c>
      <c r="M1660" t="s">
        <v>118</v>
      </c>
    </row>
    <row r="1661" spans="2:13" x14ac:dyDescent="0.2">
      <c r="B1661">
        <v>3066</v>
      </c>
      <c r="C1661">
        <v>2</v>
      </c>
      <c r="D1661">
        <v>12.1</v>
      </c>
      <c r="E1661">
        <v>0.2</v>
      </c>
      <c r="F1661">
        <v>0.6</v>
      </c>
      <c r="G1661">
        <v>0.6</v>
      </c>
      <c r="H1661">
        <v>130</v>
      </c>
      <c r="I1661">
        <v>4</v>
      </c>
      <c r="J1661">
        <v>1</v>
      </c>
      <c r="K1661">
        <v>35.700000000000003</v>
      </c>
      <c r="L1661" t="s">
        <v>132</v>
      </c>
      <c r="M1661" t="s">
        <v>116</v>
      </c>
    </row>
    <row r="1662" spans="2:13" x14ac:dyDescent="0.2">
      <c r="B1662">
        <v>3066</v>
      </c>
      <c r="C1662">
        <v>2</v>
      </c>
      <c r="D1662">
        <v>18.100000000000001</v>
      </c>
      <c r="E1662">
        <v>0.3</v>
      </c>
      <c r="F1662">
        <v>0.6</v>
      </c>
      <c r="G1662">
        <v>0.6</v>
      </c>
      <c r="H1662">
        <v>195</v>
      </c>
      <c r="I1662">
        <v>8</v>
      </c>
      <c r="J1662">
        <v>1</v>
      </c>
      <c r="K1662">
        <v>59.9</v>
      </c>
      <c r="L1662" t="s">
        <v>115</v>
      </c>
      <c r="M1662" t="s">
        <v>116</v>
      </c>
    </row>
    <row r="1663" spans="2:13" x14ac:dyDescent="0.2">
      <c r="B1663">
        <v>3066</v>
      </c>
      <c r="C1663">
        <v>2</v>
      </c>
      <c r="D1663">
        <v>18.399999999999999</v>
      </c>
      <c r="E1663">
        <v>0.31</v>
      </c>
      <c r="F1663">
        <v>0.6</v>
      </c>
      <c r="G1663">
        <v>0.6</v>
      </c>
      <c r="H1663">
        <v>199</v>
      </c>
      <c r="I1663">
        <v>8</v>
      </c>
      <c r="J1663">
        <v>2</v>
      </c>
      <c r="K1663">
        <v>51.6</v>
      </c>
      <c r="L1663" t="s">
        <v>133</v>
      </c>
      <c r="M1663" t="s">
        <v>118</v>
      </c>
    </row>
    <row r="1664" spans="2:13" x14ac:dyDescent="0.2">
      <c r="B1664">
        <v>3066</v>
      </c>
      <c r="C1664">
        <v>3</v>
      </c>
      <c r="D1664">
        <v>0</v>
      </c>
      <c r="E1664">
        <v>0</v>
      </c>
      <c r="F1664">
        <v>0.6</v>
      </c>
      <c r="G1664">
        <v>0.6</v>
      </c>
      <c r="H1664">
        <v>0</v>
      </c>
      <c r="I1664">
        <v>0</v>
      </c>
      <c r="J1664">
        <v>0</v>
      </c>
      <c r="K1664">
        <v>50</v>
      </c>
      <c r="L1664" t="s">
        <v>113</v>
      </c>
      <c r="M1664" t="s">
        <v>114</v>
      </c>
    </row>
    <row r="1665" spans="2:13" x14ac:dyDescent="0.2">
      <c r="B1665">
        <v>3066</v>
      </c>
      <c r="C1665">
        <v>3</v>
      </c>
      <c r="D1665">
        <v>6</v>
      </c>
      <c r="E1665">
        <v>0.1</v>
      </c>
      <c r="F1665">
        <v>0.6</v>
      </c>
      <c r="G1665">
        <v>0.6</v>
      </c>
      <c r="H1665">
        <v>65</v>
      </c>
      <c r="I1665">
        <v>0</v>
      </c>
      <c r="J1665">
        <v>0</v>
      </c>
      <c r="K1665">
        <v>33.9</v>
      </c>
      <c r="L1665" t="s">
        <v>115</v>
      </c>
      <c r="M1665" t="s">
        <v>116</v>
      </c>
    </row>
    <row r="1666" spans="2:13" x14ac:dyDescent="0.2">
      <c r="B1666">
        <v>3066</v>
      </c>
      <c r="C1666">
        <v>3</v>
      </c>
      <c r="D1666">
        <v>12.1</v>
      </c>
      <c r="E1666">
        <v>0.2</v>
      </c>
      <c r="F1666">
        <v>0.6</v>
      </c>
      <c r="G1666">
        <v>0.7</v>
      </c>
      <c r="H1666">
        <v>130</v>
      </c>
      <c r="I1666">
        <v>1</v>
      </c>
      <c r="J1666">
        <v>0</v>
      </c>
      <c r="K1666">
        <v>84.4</v>
      </c>
      <c r="L1666" t="s">
        <v>128</v>
      </c>
      <c r="M1666" t="s">
        <v>116</v>
      </c>
    </row>
    <row r="1667" spans="2:13" x14ac:dyDescent="0.2">
      <c r="B1667">
        <v>3066</v>
      </c>
      <c r="C1667">
        <v>3</v>
      </c>
      <c r="D1667">
        <v>16.5</v>
      </c>
      <c r="E1667">
        <v>0.28000000000000003</v>
      </c>
      <c r="F1667">
        <v>0.7</v>
      </c>
      <c r="G1667">
        <v>0.7</v>
      </c>
      <c r="H1667">
        <v>186</v>
      </c>
      <c r="I1667">
        <v>4</v>
      </c>
      <c r="J1667">
        <v>1</v>
      </c>
      <c r="K1667">
        <v>74.2</v>
      </c>
      <c r="L1667" t="s">
        <v>117</v>
      </c>
      <c r="M1667" t="s">
        <v>118</v>
      </c>
    </row>
    <row r="1668" spans="2:13" x14ac:dyDescent="0.2">
      <c r="B1668">
        <v>3066</v>
      </c>
      <c r="C1668">
        <v>4</v>
      </c>
      <c r="D1668">
        <v>0</v>
      </c>
      <c r="E1668">
        <v>0</v>
      </c>
      <c r="F1668">
        <v>0.6</v>
      </c>
      <c r="G1668">
        <v>0.6</v>
      </c>
      <c r="H1668">
        <v>0</v>
      </c>
      <c r="I1668">
        <v>0</v>
      </c>
      <c r="J1668">
        <v>0</v>
      </c>
      <c r="K1668">
        <v>50</v>
      </c>
      <c r="L1668" t="s">
        <v>113</v>
      </c>
      <c r="M1668" t="s">
        <v>114</v>
      </c>
    </row>
    <row r="1669" spans="2:13" x14ac:dyDescent="0.2">
      <c r="B1669">
        <v>3066</v>
      </c>
      <c r="C1669">
        <v>4</v>
      </c>
      <c r="D1669">
        <v>6</v>
      </c>
      <c r="E1669">
        <v>0.1</v>
      </c>
      <c r="F1669">
        <v>0.6</v>
      </c>
      <c r="G1669">
        <v>0.6</v>
      </c>
      <c r="H1669">
        <v>65</v>
      </c>
      <c r="I1669">
        <v>0</v>
      </c>
      <c r="J1669">
        <v>1</v>
      </c>
      <c r="K1669">
        <v>35.5</v>
      </c>
      <c r="L1669" t="s">
        <v>122</v>
      </c>
      <c r="M1669" t="s">
        <v>118</v>
      </c>
    </row>
    <row r="1670" spans="2:13" x14ac:dyDescent="0.2">
      <c r="B1670">
        <v>3066</v>
      </c>
      <c r="C1670">
        <v>4</v>
      </c>
      <c r="D1670">
        <v>6</v>
      </c>
      <c r="E1670">
        <v>0.1</v>
      </c>
      <c r="F1670">
        <v>0.6</v>
      </c>
      <c r="G1670">
        <v>0.6</v>
      </c>
      <c r="H1670">
        <v>65</v>
      </c>
      <c r="I1670">
        <v>1</v>
      </c>
      <c r="J1670">
        <v>1</v>
      </c>
      <c r="K1670">
        <v>35.5</v>
      </c>
      <c r="L1670" t="s">
        <v>132</v>
      </c>
      <c r="M1670" t="s">
        <v>116</v>
      </c>
    </row>
    <row r="1671" spans="2:13" x14ac:dyDescent="0.2">
      <c r="B1671">
        <v>3066</v>
      </c>
      <c r="C1671">
        <v>4</v>
      </c>
      <c r="D1671">
        <v>12.1</v>
      </c>
      <c r="E1671">
        <v>0.2</v>
      </c>
      <c r="F1671">
        <v>0.6</v>
      </c>
      <c r="G1671">
        <v>0.6</v>
      </c>
      <c r="H1671">
        <v>130</v>
      </c>
      <c r="I1671">
        <v>4</v>
      </c>
      <c r="J1671">
        <v>1</v>
      </c>
      <c r="K1671">
        <v>62.6</v>
      </c>
      <c r="L1671" t="s">
        <v>115</v>
      </c>
      <c r="M1671" t="s">
        <v>116</v>
      </c>
    </row>
    <row r="1672" spans="2:13" x14ac:dyDescent="0.2">
      <c r="B1672">
        <v>3066</v>
      </c>
      <c r="C1672">
        <v>4</v>
      </c>
      <c r="D1672">
        <v>13.9</v>
      </c>
      <c r="E1672">
        <v>0.23</v>
      </c>
      <c r="F1672">
        <v>0.6</v>
      </c>
      <c r="G1672">
        <v>0.6</v>
      </c>
      <c r="H1672">
        <v>150</v>
      </c>
      <c r="I1672">
        <v>5</v>
      </c>
      <c r="J1672">
        <v>2</v>
      </c>
      <c r="K1672">
        <v>54.6</v>
      </c>
      <c r="L1672" t="s">
        <v>151</v>
      </c>
      <c r="M1672" t="s">
        <v>118</v>
      </c>
    </row>
    <row r="1673" spans="2:13" x14ac:dyDescent="0.2">
      <c r="B1673">
        <v>3066</v>
      </c>
      <c r="C1673">
        <v>4</v>
      </c>
      <c r="D1673">
        <v>18.100000000000001</v>
      </c>
      <c r="E1673">
        <v>0.3</v>
      </c>
      <c r="F1673">
        <v>0.6</v>
      </c>
      <c r="G1673">
        <v>0.6</v>
      </c>
      <c r="H1673">
        <v>195</v>
      </c>
      <c r="I1673">
        <v>8</v>
      </c>
      <c r="J1673">
        <v>2</v>
      </c>
      <c r="K1673">
        <v>68</v>
      </c>
      <c r="L1673" t="s">
        <v>124</v>
      </c>
      <c r="M1673" t="s">
        <v>116</v>
      </c>
    </row>
    <row r="1674" spans="2:13" x14ac:dyDescent="0.2">
      <c r="B1674">
        <v>3066</v>
      </c>
      <c r="C1674">
        <v>5</v>
      </c>
      <c r="D1674">
        <v>0</v>
      </c>
      <c r="E1674">
        <v>0</v>
      </c>
      <c r="F1674">
        <v>0.6</v>
      </c>
      <c r="G1674">
        <v>0.6</v>
      </c>
      <c r="H1674">
        <v>0</v>
      </c>
      <c r="I1674">
        <v>0</v>
      </c>
      <c r="J1674">
        <v>0</v>
      </c>
      <c r="K1674">
        <v>50</v>
      </c>
      <c r="L1674" t="s">
        <v>113</v>
      </c>
      <c r="M1674" t="s">
        <v>114</v>
      </c>
    </row>
    <row r="1675" spans="2:13" x14ac:dyDescent="0.2">
      <c r="B1675">
        <v>3066</v>
      </c>
      <c r="C1675">
        <v>5</v>
      </c>
      <c r="D1675">
        <v>6</v>
      </c>
      <c r="E1675">
        <v>0.1</v>
      </c>
      <c r="F1675">
        <v>0.6</v>
      </c>
      <c r="G1675">
        <v>0.6</v>
      </c>
      <c r="H1675">
        <v>65</v>
      </c>
      <c r="I1675">
        <v>0</v>
      </c>
      <c r="J1675">
        <v>0</v>
      </c>
      <c r="K1675">
        <v>37.200000000000003</v>
      </c>
      <c r="L1675" t="s">
        <v>115</v>
      </c>
      <c r="M1675" t="s">
        <v>116</v>
      </c>
    </row>
    <row r="1676" spans="2:13" x14ac:dyDescent="0.2">
      <c r="B1676">
        <v>3066</v>
      </c>
      <c r="C1676">
        <v>5</v>
      </c>
      <c r="D1676">
        <v>6.5</v>
      </c>
      <c r="E1676">
        <v>0.11</v>
      </c>
      <c r="F1676">
        <v>0.6</v>
      </c>
      <c r="G1676">
        <v>0.6</v>
      </c>
      <c r="H1676">
        <v>71</v>
      </c>
      <c r="I1676">
        <v>0</v>
      </c>
      <c r="J1676">
        <v>1</v>
      </c>
      <c r="K1676">
        <v>38.200000000000003</v>
      </c>
      <c r="L1676" t="s">
        <v>129</v>
      </c>
      <c r="M1676" t="s">
        <v>118</v>
      </c>
    </row>
    <row r="1677" spans="2:13" x14ac:dyDescent="0.2">
      <c r="B1677">
        <v>3066</v>
      </c>
      <c r="C1677">
        <v>5</v>
      </c>
      <c r="D1677">
        <v>8.3000000000000007</v>
      </c>
      <c r="E1677">
        <v>0.14000000000000001</v>
      </c>
      <c r="F1677">
        <v>0.6</v>
      </c>
      <c r="G1677">
        <v>0.6</v>
      </c>
      <c r="H1677">
        <v>90</v>
      </c>
      <c r="I1677">
        <v>0</v>
      </c>
      <c r="J1677">
        <v>2</v>
      </c>
      <c r="K1677">
        <v>54.1</v>
      </c>
      <c r="L1677" t="s">
        <v>119</v>
      </c>
      <c r="M1677" t="s">
        <v>118</v>
      </c>
    </row>
    <row r="1678" spans="2:13" x14ac:dyDescent="0.2">
      <c r="B1678">
        <v>3066</v>
      </c>
      <c r="C1678">
        <v>5</v>
      </c>
      <c r="D1678">
        <v>12.1</v>
      </c>
      <c r="E1678">
        <v>0.2</v>
      </c>
      <c r="F1678">
        <v>0.6</v>
      </c>
      <c r="G1678">
        <v>0.45</v>
      </c>
      <c r="H1678">
        <v>130</v>
      </c>
      <c r="I1678">
        <v>4</v>
      </c>
      <c r="J1678">
        <v>2</v>
      </c>
      <c r="K1678">
        <v>54.6</v>
      </c>
      <c r="L1678" t="s">
        <v>120</v>
      </c>
      <c r="M1678" t="s">
        <v>116</v>
      </c>
    </row>
    <row r="1679" spans="2:13" x14ac:dyDescent="0.2">
      <c r="B1679">
        <v>3066</v>
      </c>
      <c r="C1679">
        <v>5</v>
      </c>
      <c r="D1679">
        <v>18.100000000000001</v>
      </c>
      <c r="E1679">
        <v>0.3</v>
      </c>
      <c r="F1679">
        <v>0.45</v>
      </c>
      <c r="G1679">
        <v>0.55000000000000004</v>
      </c>
      <c r="H1679">
        <v>179</v>
      </c>
      <c r="I1679">
        <v>6</v>
      </c>
      <c r="J1679">
        <v>2</v>
      </c>
      <c r="K1679">
        <v>68.099999999999994</v>
      </c>
      <c r="L1679" t="s">
        <v>128</v>
      </c>
      <c r="M1679" t="s">
        <v>116</v>
      </c>
    </row>
    <row r="1680" spans="2:13" x14ac:dyDescent="0.2">
      <c r="B1680">
        <v>3067</v>
      </c>
      <c r="C1680">
        <v>1</v>
      </c>
      <c r="D1680">
        <v>0</v>
      </c>
      <c r="E1680">
        <v>0</v>
      </c>
      <c r="F1680">
        <v>0.6</v>
      </c>
      <c r="G1680">
        <v>0.6</v>
      </c>
      <c r="H1680">
        <v>0</v>
      </c>
      <c r="I1680">
        <v>0</v>
      </c>
      <c r="J1680">
        <v>0</v>
      </c>
      <c r="K1680">
        <v>50</v>
      </c>
      <c r="L1680" t="s">
        <v>113</v>
      </c>
      <c r="M1680" t="s">
        <v>114</v>
      </c>
    </row>
    <row r="1681" spans="2:13" x14ac:dyDescent="0.2">
      <c r="B1681">
        <v>3067</v>
      </c>
      <c r="C1681">
        <v>1</v>
      </c>
      <c r="D1681">
        <v>6</v>
      </c>
      <c r="E1681">
        <v>0.1</v>
      </c>
      <c r="F1681">
        <v>0.6</v>
      </c>
      <c r="G1681">
        <v>0.6</v>
      </c>
      <c r="H1681">
        <v>65</v>
      </c>
      <c r="I1681">
        <v>1</v>
      </c>
      <c r="J1681">
        <v>0</v>
      </c>
      <c r="K1681">
        <v>38.4</v>
      </c>
      <c r="L1681" t="s">
        <v>115</v>
      </c>
      <c r="M1681" t="s">
        <v>116</v>
      </c>
    </row>
    <row r="1682" spans="2:13" x14ac:dyDescent="0.2">
      <c r="B1682">
        <v>3067</v>
      </c>
      <c r="C1682">
        <v>1</v>
      </c>
      <c r="D1682">
        <v>8.9</v>
      </c>
      <c r="E1682">
        <v>0.15</v>
      </c>
      <c r="F1682">
        <v>0.6</v>
      </c>
      <c r="G1682">
        <v>0.6</v>
      </c>
      <c r="H1682">
        <v>97</v>
      </c>
      <c r="I1682">
        <v>2</v>
      </c>
      <c r="J1682">
        <v>1</v>
      </c>
      <c r="K1682">
        <v>61.3</v>
      </c>
      <c r="L1682" t="s">
        <v>122</v>
      </c>
      <c r="M1682" t="s">
        <v>118</v>
      </c>
    </row>
    <row r="1683" spans="2:13" x14ac:dyDescent="0.2">
      <c r="B1683">
        <v>3067</v>
      </c>
      <c r="C1683">
        <v>1</v>
      </c>
      <c r="D1683">
        <v>11.1</v>
      </c>
      <c r="E1683">
        <v>0.18</v>
      </c>
      <c r="F1683">
        <v>0.6</v>
      </c>
      <c r="G1683">
        <v>0.6</v>
      </c>
      <c r="H1683">
        <v>119</v>
      </c>
      <c r="I1683">
        <v>2</v>
      </c>
      <c r="J1683">
        <v>2</v>
      </c>
      <c r="K1683">
        <v>52.4</v>
      </c>
      <c r="L1683" t="s">
        <v>141</v>
      </c>
      <c r="M1683" t="s">
        <v>118</v>
      </c>
    </row>
    <row r="1684" spans="2:13" x14ac:dyDescent="0.2">
      <c r="B1684">
        <v>3067</v>
      </c>
      <c r="C1684">
        <v>1</v>
      </c>
      <c r="D1684">
        <v>12.1</v>
      </c>
      <c r="E1684">
        <v>0.2</v>
      </c>
      <c r="F1684">
        <v>0.6</v>
      </c>
      <c r="G1684">
        <v>0.45</v>
      </c>
      <c r="H1684">
        <v>130</v>
      </c>
      <c r="I1684">
        <v>2</v>
      </c>
      <c r="J1684">
        <v>2</v>
      </c>
      <c r="K1684">
        <v>52.1</v>
      </c>
      <c r="L1684" t="s">
        <v>120</v>
      </c>
      <c r="M1684" t="s">
        <v>116</v>
      </c>
    </row>
    <row r="1685" spans="2:13" x14ac:dyDescent="0.2">
      <c r="B1685">
        <v>3067</v>
      </c>
      <c r="C1685">
        <v>1</v>
      </c>
      <c r="D1685">
        <v>18.100000000000001</v>
      </c>
      <c r="E1685">
        <v>0.3</v>
      </c>
      <c r="F1685">
        <v>0.45</v>
      </c>
      <c r="G1685">
        <v>0.45</v>
      </c>
      <c r="H1685">
        <v>179</v>
      </c>
      <c r="I1685">
        <v>3</v>
      </c>
      <c r="J1685">
        <v>2</v>
      </c>
      <c r="K1685">
        <v>52.5</v>
      </c>
      <c r="L1685" t="s">
        <v>115</v>
      </c>
      <c r="M1685" t="s">
        <v>116</v>
      </c>
    </row>
    <row r="1686" spans="2:13" x14ac:dyDescent="0.2">
      <c r="B1686">
        <v>3067</v>
      </c>
      <c r="C1686">
        <v>2</v>
      </c>
      <c r="D1686">
        <v>0</v>
      </c>
      <c r="E1686">
        <v>0</v>
      </c>
      <c r="F1686">
        <v>0.6</v>
      </c>
      <c r="G1686">
        <v>0.6</v>
      </c>
      <c r="H1686">
        <v>0</v>
      </c>
      <c r="I1686">
        <v>0</v>
      </c>
      <c r="J1686">
        <v>0</v>
      </c>
      <c r="K1686">
        <v>50</v>
      </c>
      <c r="L1686" t="s">
        <v>113</v>
      </c>
      <c r="M1686" t="s">
        <v>114</v>
      </c>
    </row>
    <row r="1687" spans="2:13" x14ac:dyDescent="0.2">
      <c r="B1687">
        <v>3067</v>
      </c>
      <c r="C1687">
        <v>2</v>
      </c>
      <c r="D1687">
        <v>6</v>
      </c>
      <c r="E1687">
        <v>0.1</v>
      </c>
      <c r="F1687">
        <v>0.6</v>
      </c>
      <c r="G1687">
        <v>0.6</v>
      </c>
      <c r="H1687">
        <v>65</v>
      </c>
      <c r="I1687">
        <v>0</v>
      </c>
      <c r="J1687">
        <v>0</v>
      </c>
      <c r="K1687">
        <v>39.299999999999997</v>
      </c>
      <c r="L1687" t="s">
        <v>115</v>
      </c>
      <c r="M1687" t="s">
        <v>116</v>
      </c>
    </row>
    <row r="1688" spans="2:13" x14ac:dyDescent="0.2">
      <c r="B1688">
        <v>3067</v>
      </c>
      <c r="C1688">
        <v>2</v>
      </c>
      <c r="D1688">
        <v>12.1</v>
      </c>
      <c r="E1688">
        <v>0.2</v>
      </c>
      <c r="F1688">
        <v>0.6</v>
      </c>
      <c r="G1688">
        <v>0.6</v>
      </c>
      <c r="H1688">
        <v>130</v>
      </c>
      <c r="I1688">
        <v>5</v>
      </c>
      <c r="J1688">
        <v>0</v>
      </c>
      <c r="K1688">
        <v>39.200000000000003</v>
      </c>
      <c r="L1688" t="s">
        <v>115</v>
      </c>
      <c r="M1688" t="s">
        <v>116</v>
      </c>
    </row>
    <row r="1689" spans="2:13" x14ac:dyDescent="0.2">
      <c r="B1689">
        <v>3067</v>
      </c>
      <c r="C1689">
        <v>2</v>
      </c>
      <c r="D1689">
        <v>17.100000000000001</v>
      </c>
      <c r="E1689">
        <v>0.28000000000000003</v>
      </c>
      <c r="F1689">
        <v>0.6</v>
      </c>
      <c r="G1689">
        <v>0.6</v>
      </c>
      <c r="H1689">
        <v>184</v>
      </c>
      <c r="I1689">
        <v>7</v>
      </c>
      <c r="J1689">
        <v>1</v>
      </c>
      <c r="K1689">
        <v>73.099999999999994</v>
      </c>
      <c r="L1689" t="s">
        <v>122</v>
      </c>
      <c r="M1689" t="s">
        <v>118</v>
      </c>
    </row>
    <row r="1690" spans="2:13" x14ac:dyDescent="0.2">
      <c r="B1690">
        <v>3067</v>
      </c>
      <c r="C1690">
        <v>2</v>
      </c>
      <c r="D1690">
        <v>18.100000000000001</v>
      </c>
      <c r="E1690">
        <v>0.3</v>
      </c>
      <c r="F1690">
        <v>0.6</v>
      </c>
      <c r="G1690">
        <v>0.6</v>
      </c>
      <c r="H1690">
        <v>195</v>
      </c>
      <c r="I1690">
        <v>9</v>
      </c>
      <c r="J1690">
        <v>1</v>
      </c>
      <c r="K1690">
        <v>72.5</v>
      </c>
      <c r="L1690" t="s">
        <v>124</v>
      </c>
      <c r="M1690" t="s">
        <v>116</v>
      </c>
    </row>
    <row r="1691" spans="2:13" x14ac:dyDescent="0.2">
      <c r="B1691">
        <v>3067</v>
      </c>
      <c r="C1691">
        <v>3</v>
      </c>
      <c r="D1691">
        <v>0</v>
      </c>
      <c r="E1691">
        <v>0</v>
      </c>
      <c r="F1691">
        <v>0.6</v>
      </c>
      <c r="G1691">
        <v>0.6</v>
      </c>
      <c r="H1691">
        <v>0</v>
      </c>
      <c r="I1691">
        <v>0</v>
      </c>
      <c r="J1691">
        <v>0</v>
      </c>
      <c r="K1691">
        <v>50</v>
      </c>
      <c r="L1691" t="s">
        <v>113</v>
      </c>
      <c r="M1691" t="s">
        <v>114</v>
      </c>
    </row>
    <row r="1692" spans="2:13" x14ac:dyDescent="0.2">
      <c r="B1692">
        <v>3067</v>
      </c>
      <c r="C1692">
        <v>3</v>
      </c>
      <c r="D1692">
        <v>6</v>
      </c>
      <c r="E1692">
        <v>0.1</v>
      </c>
      <c r="F1692">
        <v>0.6</v>
      </c>
      <c r="G1692">
        <v>0.6</v>
      </c>
      <c r="H1692">
        <v>65</v>
      </c>
      <c r="I1692">
        <v>0</v>
      </c>
      <c r="J1692">
        <v>0</v>
      </c>
      <c r="K1692">
        <v>38</v>
      </c>
      <c r="L1692" t="s">
        <v>115</v>
      </c>
      <c r="M1692" t="s">
        <v>116</v>
      </c>
    </row>
    <row r="1693" spans="2:13" x14ac:dyDescent="0.2">
      <c r="B1693">
        <v>3067</v>
      </c>
      <c r="C1693">
        <v>3</v>
      </c>
      <c r="D1693">
        <v>6.7</v>
      </c>
      <c r="E1693">
        <v>0.11</v>
      </c>
      <c r="F1693">
        <v>0.6</v>
      </c>
      <c r="G1693">
        <v>0.6</v>
      </c>
      <c r="H1693">
        <v>73</v>
      </c>
      <c r="I1693">
        <v>0</v>
      </c>
      <c r="J1693">
        <v>1</v>
      </c>
      <c r="K1693">
        <v>38.1</v>
      </c>
      <c r="L1693" t="s">
        <v>117</v>
      </c>
      <c r="M1693" t="s">
        <v>118</v>
      </c>
    </row>
    <row r="1694" spans="2:13" x14ac:dyDescent="0.2">
      <c r="B1694">
        <v>3067</v>
      </c>
      <c r="C1694">
        <v>3</v>
      </c>
      <c r="D1694">
        <v>12.1</v>
      </c>
      <c r="E1694">
        <v>0.2</v>
      </c>
      <c r="F1694">
        <v>0.6</v>
      </c>
      <c r="G1694">
        <v>0.6</v>
      </c>
      <c r="H1694">
        <v>130</v>
      </c>
      <c r="I1694">
        <v>3</v>
      </c>
      <c r="J1694">
        <v>1</v>
      </c>
      <c r="K1694">
        <v>38.4</v>
      </c>
      <c r="L1694" t="s">
        <v>132</v>
      </c>
      <c r="M1694" t="s">
        <v>116</v>
      </c>
    </row>
    <row r="1695" spans="2:13" x14ac:dyDescent="0.2">
      <c r="B1695">
        <v>3067</v>
      </c>
      <c r="C1695">
        <v>3</v>
      </c>
      <c r="D1695">
        <v>12.6</v>
      </c>
      <c r="E1695">
        <v>0.21</v>
      </c>
      <c r="F1695">
        <v>0.6</v>
      </c>
      <c r="G1695">
        <v>0.6</v>
      </c>
      <c r="H1695">
        <v>136</v>
      </c>
      <c r="I1695">
        <v>3</v>
      </c>
      <c r="J1695">
        <v>2</v>
      </c>
      <c r="K1695">
        <v>38.9</v>
      </c>
      <c r="L1695" t="s">
        <v>127</v>
      </c>
      <c r="M1695" t="s">
        <v>118</v>
      </c>
    </row>
    <row r="1696" spans="2:13" x14ac:dyDescent="0.2">
      <c r="B1696">
        <v>3067</v>
      </c>
      <c r="C1696">
        <v>3</v>
      </c>
      <c r="D1696">
        <v>18.100000000000001</v>
      </c>
      <c r="E1696">
        <v>0.3</v>
      </c>
      <c r="F1696">
        <v>0.6</v>
      </c>
      <c r="G1696">
        <v>0.6</v>
      </c>
      <c r="H1696">
        <v>195</v>
      </c>
      <c r="I1696">
        <v>4</v>
      </c>
      <c r="J1696">
        <v>2</v>
      </c>
      <c r="K1696">
        <v>63.4</v>
      </c>
      <c r="L1696" t="s">
        <v>124</v>
      </c>
      <c r="M1696" t="s">
        <v>116</v>
      </c>
    </row>
    <row r="1697" spans="2:13" x14ac:dyDescent="0.2">
      <c r="B1697">
        <v>3067</v>
      </c>
      <c r="C1697">
        <v>4</v>
      </c>
      <c r="D1697">
        <v>0</v>
      </c>
      <c r="E1697">
        <v>0</v>
      </c>
      <c r="F1697">
        <v>0.6</v>
      </c>
      <c r="G1697">
        <v>0.6</v>
      </c>
      <c r="H1697">
        <v>0</v>
      </c>
      <c r="I1697">
        <v>0</v>
      </c>
      <c r="J1697">
        <v>0</v>
      </c>
      <c r="K1697">
        <v>50</v>
      </c>
      <c r="L1697" t="s">
        <v>113</v>
      </c>
      <c r="M1697" t="s">
        <v>114</v>
      </c>
    </row>
    <row r="1698" spans="2:13" x14ac:dyDescent="0.2">
      <c r="B1698">
        <v>3067</v>
      </c>
      <c r="C1698">
        <v>4</v>
      </c>
      <c r="D1698">
        <v>6</v>
      </c>
      <c r="E1698">
        <v>0.1</v>
      </c>
      <c r="F1698">
        <v>0.6</v>
      </c>
      <c r="G1698">
        <v>0.6</v>
      </c>
      <c r="H1698">
        <v>65</v>
      </c>
      <c r="I1698">
        <v>1</v>
      </c>
      <c r="J1698">
        <v>0</v>
      </c>
      <c r="K1698">
        <v>41.7</v>
      </c>
      <c r="L1698" t="s">
        <v>115</v>
      </c>
      <c r="M1698" t="s">
        <v>116</v>
      </c>
    </row>
    <row r="1699" spans="2:13" x14ac:dyDescent="0.2">
      <c r="B1699">
        <v>3067</v>
      </c>
      <c r="C1699">
        <v>4</v>
      </c>
      <c r="D1699">
        <v>7.7</v>
      </c>
      <c r="E1699">
        <v>0.13</v>
      </c>
      <c r="F1699">
        <v>0.6</v>
      </c>
      <c r="G1699">
        <v>0.6</v>
      </c>
      <c r="H1699">
        <v>83</v>
      </c>
      <c r="I1699">
        <v>1</v>
      </c>
      <c r="J1699">
        <v>1</v>
      </c>
      <c r="K1699">
        <v>40.6</v>
      </c>
      <c r="L1699" t="s">
        <v>117</v>
      </c>
      <c r="M1699" t="s">
        <v>118</v>
      </c>
    </row>
    <row r="1700" spans="2:13" x14ac:dyDescent="0.2">
      <c r="B1700">
        <v>3067</v>
      </c>
      <c r="C1700">
        <v>4</v>
      </c>
      <c r="D1700">
        <v>12.1</v>
      </c>
      <c r="E1700">
        <v>0.2</v>
      </c>
      <c r="F1700">
        <v>0.6</v>
      </c>
      <c r="G1700">
        <v>0.6</v>
      </c>
      <c r="H1700">
        <v>130</v>
      </c>
      <c r="I1700">
        <v>3</v>
      </c>
      <c r="J1700">
        <v>1</v>
      </c>
      <c r="K1700">
        <v>65.7</v>
      </c>
      <c r="L1700" t="s">
        <v>121</v>
      </c>
      <c r="M1700" t="s">
        <v>116</v>
      </c>
    </row>
    <row r="1701" spans="2:13" x14ac:dyDescent="0.2">
      <c r="B1701">
        <v>3067</v>
      </c>
      <c r="C1701">
        <v>4</v>
      </c>
      <c r="D1701">
        <v>18.100000000000001</v>
      </c>
      <c r="E1701">
        <v>0.3</v>
      </c>
      <c r="F1701">
        <v>0.6</v>
      </c>
      <c r="G1701">
        <v>0.6</v>
      </c>
      <c r="H1701">
        <v>195</v>
      </c>
      <c r="I1701">
        <v>6</v>
      </c>
      <c r="J1701">
        <v>1</v>
      </c>
      <c r="K1701">
        <v>74.900000000000006</v>
      </c>
      <c r="L1701" t="s">
        <v>115</v>
      </c>
      <c r="M1701" t="s">
        <v>116</v>
      </c>
    </row>
    <row r="1702" spans="2:13" x14ac:dyDescent="0.2">
      <c r="B1702">
        <v>3067</v>
      </c>
      <c r="C1702">
        <v>5</v>
      </c>
      <c r="D1702">
        <v>0</v>
      </c>
      <c r="E1702">
        <v>0</v>
      </c>
      <c r="F1702">
        <v>0.6</v>
      </c>
      <c r="G1702">
        <v>0.6</v>
      </c>
      <c r="H1702">
        <v>0</v>
      </c>
      <c r="I1702">
        <v>0</v>
      </c>
      <c r="J1702">
        <v>0</v>
      </c>
      <c r="K1702">
        <v>50</v>
      </c>
      <c r="L1702" t="s">
        <v>113</v>
      </c>
      <c r="M1702" t="s">
        <v>114</v>
      </c>
    </row>
    <row r="1703" spans="2:13" x14ac:dyDescent="0.2">
      <c r="B1703">
        <v>3067</v>
      </c>
      <c r="C1703">
        <v>5</v>
      </c>
      <c r="D1703">
        <v>6</v>
      </c>
      <c r="E1703">
        <v>0.1</v>
      </c>
      <c r="F1703">
        <v>0.6</v>
      </c>
      <c r="G1703">
        <v>0.6</v>
      </c>
      <c r="H1703">
        <v>65</v>
      </c>
      <c r="I1703">
        <v>1</v>
      </c>
      <c r="J1703">
        <v>0</v>
      </c>
      <c r="K1703">
        <v>38.799999999999997</v>
      </c>
      <c r="L1703" t="s">
        <v>115</v>
      </c>
      <c r="M1703" t="s">
        <v>116</v>
      </c>
    </row>
    <row r="1704" spans="2:13" x14ac:dyDescent="0.2">
      <c r="B1704">
        <v>3067</v>
      </c>
      <c r="C1704">
        <v>5</v>
      </c>
      <c r="D1704">
        <v>12.1</v>
      </c>
      <c r="E1704">
        <v>0.2</v>
      </c>
      <c r="F1704">
        <v>0.6</v>
      </c>
      <c r="G1704">
        <v>0.7</v>
      </c>
      <c r="H1704">
        <v>130</v>
      </c>
      <c r="I1704">
        <v>2</v>
      </c>
      <c r="J1704">
        <v>0</v>
      </c>
      <c r="K1704">
        <v>88.4</v>
      </c>
      <c r="L1704" t="s">
        <v>128</v>
      </c>
      <c r="M1704" t="s">
        <v>116</v>
      </c>
    </row>
    <row r="1705" spans="2:13" x14ac:dyDescent="0.2">
      <c r="B1705">
        <v>3067</v>
      </c>
      <c r="C1705">
        <v>5</v>
      </c>
      <c r="D1705">
        <v>13.7</v>
      </c>
      <c r="E1705">
        <v>0.23</v>
      </c>
      <c r="F1705">
        <v>0.7</v>
      </c>
      <c r="G1705">
        <v>0.7</v>
      </c>
      <c r="H1705">
        <v>150</v>
      </c>
      <c r="I1705">
        <v>2</v>
      </c>
      <c r="J1705">
        <v>1</v>
      </c>
      <c r="K1705">
        <v>75.8</v>
      </c>
      <c r="L1705" t="s">
        <v>129</v>
      </c>
      <c r="M1705" t="s">
        <v>118</v>
      </c>
    </row>
    <row r="1706" spans="2:13" x14ac:dyDescent="0.2">
      <c r="B1706">
        <v>3067</v>
      </c>
      <c r="C1706">
        <v>5</v>
      </c>
      <c r="D1706">
        <v>13.7</v>
      </c>
      <c r="E1706">
        <v>0.23</v>
      </c>
      <c r="F1706">
        <v>0.7</v>
      </c>
      <c r="G1706">
        <v>0.7</v>
      </c>
      <c r="H1706">
        <v>151</v>
      </c>
      <c r="I1706">
        <v>2</v>
      </c>
      <c r="J1706">
        <v>2</v>
      </c>
      <c r="K1706">
        <v>68.3</v>
      </c>
      <c r="L1706" t="s">
        <v>119</v>
      </c>
      <c r="M1706" t="s">
        <v>118</v>
      </c>
    </row>
    <row r="1707" spans="2:13" x14ac:dyDescent="0.2">
      <c r="B1707">
        <v>3068</v>
      </c>
      <c r="C1707">
        <v>1</v>
      </c>
      <c r="D1707">
        <v>0</v>
      </c>
      <c r="E1707">
        <v>0</v>
      </c>
      <c r="F1707">
        <v>0.6</v>
      </c>
      <c r="G1707">
        <v>0.6</v>
      </c>
      <c r="H1707">
        <v>0</v>
      </c>
      <c r="I1707">
        <v>0</v>
      </c>
      <c r="J1707">
        <v>0</v>
      </c>
      <c r="K1707">
        <v>50</v>
      </c>
      <c r="L1707" t="s">
        <v>113</v>
      </c>
      <c r="M1707" t="s">
        <v>114</v>
      </c>
    </row>
    <row r="1708" spans="2:13" x14ac:dyDescent="0.2">
      <c r="B1708">
        <v>3068</v>
      </c>
      <c r="C1708">
        <v>1</v>
      </c>
      <c r="D1708">
        <v>6</v>
      </c>
      <c r="E1708">
        <v>0.1</v>
      </c>
      <c r="F1708">
        <v>0.6</v>
      </c>
      <c r="G1708">
        <v>0.6</v>
      </c>
      <c r="H1708">
        <v>65</v>
      </c>
      <c r="I1708">
        <v>0</v>
      </c>
      <c r="J1708">
        <v>0</v>
      </c>
      <c r="K1708">
        <v>43.8</v>
      </c>
      <c r="L1708" t="s">
        <v>115</v>
      </c>
      <c r="M1708" t="s">
        <v>116</v>
      </c>
    </row>
    <row r="1709" spans="2:13" x14ac:dyDescent="0.2">
      <c r="B1709">
        <v>3068</v>
      </c>
      <c r="C1709">
        <v>1</v>
      </c>
      <c r="D1709">
        <v>10.5</v>
      </c>
      <c r="E1709">
        <v>0.18</v>
      </c>
      <c r="F1709">
        <v>0.6</v>
      </c>
      <c r="G1709">
        <v>0.6</v>
      </c>
      <c r="H1709">
        <v>113</v>
      </c>
      <c r="I1709">
        <v>3</v>
      </c>
      <c r="J1709">
        <v>1</v>
      </c>
      <c r="K1709">
        <v>44.3</v>
      </c>
      <c r="L1709" t="s">
        <v>122</v>
      </c>
      <c r="M1709" t="s">
        <v>118</v>
      </c>
    </row>
    <row r="1710" spans="2:13" x14ac:dyDescent="0.2">
      <c r="B1710">
        <v>3068</v>
      </c>
      <c r="C1710">
        <v>1</v>
      </c>
      <c r="D1710">
        <v>12.1</v>
      </c>
      <c r="E1710">
        <v>0.2</v>
      </c>
      <c r="F1710">
        <v>0.6</v>
      </c>
      <c r="G1710">
        <v>0.6</v>
      </c>
      <c r="H1710">
        <v>130</v>
      </c>
      <c r="I1710">
        <v>4</v>
      </c>
      <c r="J1710">
        <v>1</v>
      </c>
      <c r="K1710">
        <v>43.8</v>
      </c>
      <c r="L1710" t="s">
        <v>132</v>
      </c>
      <c r="M1710" t="s">
        <v>116</v>
      </c>
    </row>
    <row r="1711" spans="2:13" x14ac:dyDescent="0.2">
      <c r="B1711">
        <v>3068</v>
      </c>
      <c r="C1711">
        <v>1</v>
      </c>
      <c r="D1711">
        <v>18.100000000000001</v>
      </c>
      <c r="E1711">
        <v>0.3</v>
      </c>
      <c r="F1711">
        <v>0.6</v>
      </c>
      <c r="G1711">
        <v>0.7</v>
      </c>
      <c r="H1711">
        <v>195</v>
      </c>
      <c r="I1711">
        <v>9</v>
      </c>
      <c r="J1711">
        <v>1</v>
      </c>
      <c r="K1711">
        <v>77.2</v>
      </c>
      <c r="L1711" t="s">
        <v>128</v>
      </c>
      <c r="M1711" t="s">
        <v>116</v>
      </c>
    </row>
    <row r="1712" spans="2:13" x14ac:dyDescent="0.2">
      <c r="B1712">
        <v>3068</v>
      </c>
      <c r="C1712">
        <v>2</v>
      </c>
      <c r="D1712">
        <v>0</v>
      </c>
      <c r="E1712">
        <v>0</v>
      </c>
      <c r="F1712">
        <v>0.6</v>
      </c>
      <c r="G1712">
        <v>0.6</v>
      </c>
      <c r="H1712">
        <v>0</v>
      </c>
      <c r="I1712">
        <v>0</v>
      </c>
      <c r="J1712">
        <v>0</v>
      </c>
      <c r="K1712">
        <v>50</v>
      </c>
      <c r="L1712" t="s">
        <v>113</v>
      </c>
      <c r="M1712" t="s">
        <v>114</v>
      </c>
    </row>
    <row r="1713" spans="2:13" x14ac:dyDescent="0.2">
      <c r="B1713">
        <v>3068</v>
      </c>
      <c r="C1713">
        <v>2</v>
      </c>
      <c r="D1713">
        <v>6</v>
      </c>
      <c r="E1713">
        <v>0.1</v>
      </c>
      <c r="F1713">
        <v>0.6</v>
      </c>
      <c r="G1713">
        <v>0.6</v>
      </c>
      <c r="H1713">
        <v>65</v>
      </c>
      <c r="I1713">
        <v>1</v>
      </c>
      <c r="J1713">
        <v>0</v>
      </c>
      <c r="K1713">
        <v>42.6</v>
      </c>
      <c r="L1713" t="s">
        <v>115</v>
      </c>
      <c r="M1713" t="s">
        <v>116</v>
      </c>
    </row>
    <row r="1714" spans="2:13" x14ac:dyDescent="0.2">
      <c r="B1714">
        <v>3068</v>
      </c>
      <c r="C1714">
        <v>2</v>
      </c>
      <c r="D1714">
        <v>6.6</v>
      </c>
      <c r="E1714">
        <v>0.11</v>
      </c>
      <c r="F1714">
        <v>0.6</v>
      </c>
      <c r="G1714">
        <v>0.6</v>
      </c>
      <c r="H1714">
        <v>71</v>
      </c>
      <c r="I1714">
        <v>2</v>
      </c>
      <c r="J1714">
        <v>1</v>
      </c>
      <c r="K1714">
        <v>42.4</v>
      </c>
      <c r="L1714" t="s">
        <v>122</v>
      </c>
      <c r="M1714" t="s">
        <v>118</v>
      </c>
    </row>
    <row r="1715" spans="2:13" x14ac:dyDescent="0.2">
      <c r="B1715">
        <v>3068</v>
      </c>
      <c r="C1715">
        <v>2</v>
      </c>
      <c r="D1715">
        <v>12</v>
      </c>
      <c r="E1715">
        <v>0.2</v>
      </c>
      <c r="F1715">
        <v>0.6</v>
      </c>
      <c r="G1715">
        <v>0.6</v>
      </c>
      <c r="H1715">
        <v>130</v>
      </c>
      <c r="I1715">
        <v>8</v>
      </c>
      <c r="J1715">
        <v>2</v>
      </c>
      <c r="K1715">
        <v>67.5</v>
      </c>
      <c r="L1715" t="s">
        <v>127</v>
      </c>
      <c r="M1715" t="s">
        <v>118</v>
      </c>
    </row>
    <row r="1716" spans="2:13" x14ac:dyDescent="0.2">
      <c r="B1716">
        <v>3068</v>
      </c>
      <c r="C1716">
        <v>2</v>
      </c>
      <c r="D1716">
        <v>12.1</v>
      </c>
      <c r="E1716">
        <v>0.2</v>
      </c>
      <c r="F1716">
        <v>0.6</v>
      </c>
      <c r="G1716">
        <v>0.6</v>
      </c>
      <c r="H1716">
        <v>130</v>
      </c>
      <c r="I1716">
        <v>8</v>
      </c>
      <c r="J1716">
        <v>2</v>
      </c>
      <c r="K1716">
        <v>67.5</v>
      </c>
      <c r="L1716" t="s">
        <v>121</v>
      </c>
      <c r="M1716" t="s">
        <v>116</v>
      </c>
    </row>
    <row r="1717" spans="2:13" x14ac:dyDescent="0.2">
      <c r="B1717">
        <v>3068</v>
      </c>
      <c r="C1717">
        <v>2</v>
      </c>
      <c r="D1717">
        <v>18.100000000000001</v>
      </c>
      <c r="E1717">
        <v>0.3</v>
      </c>
      <c r="F1717">
        <v>0.6</v>
      </c>
      <c r="G1717">
        <v>0.7</v>
      </c>
      <c r="H1717">
        <v>195</v>
      </c>
      <c r="I1717">
        <v>12</v>
      </c>
      <c r="J1717">
        <v>2</v>
      </c>
      <c r="K1717">
        <v>76</v>
      </c>
      <c r="L1717" t="s">
        <v>128</v>
      </c>
      <c r="M1717" t="s">
        <v>116</v>
      </c>
    </row>
    <row r="1718" spans="2:13" x14ac:dyDescent="0.2">
      <c r="B1718">
        <v>3068</v>
      </c>
      <c r="C1718">
        <v>3</v>
      </c>
      <c r="D1718">
        <v>0</v>
      </c>
      <c r="E1718">
        <v>0</v>
      </c>
      <c r="F1718">
        <v>0.6</v>
      </c>
      <c r="G1718">
        <v>0.6</v>
      </c>
      <c r="H1718">
        <v>0</v>
      </c>
      <c r="I1718">
        <v>0</v>
      </c>
      <c r="J1718">
        <v>0</v>
      </c>
      <c r="K1718">
        <v>50</v>
      </c>
      <c r="L1718" t="s">
        <v>113</v>
      </c>
      <c r="M1718" t="s">
        <v>114</v>
      </c>
    </row>
    <row r="1719" spans="2:13" x14ac:dyDescent="0.2">
      <c r="B1719">
        <v>3068</v>
      </c>
      <c r="C1719">
        <v>3</v>
      </c>
      <c r="D1719">
        <v>6</v>
      </c>
      <c r="E1719">
        <v>0.1</v>
      </c>
      <c r="F1719">
        <v>0.6</v>
      </c>
      <c r="G1719">
        <v>0.6</v>
      </c>
      <c r="H1719">
        <v>65</v>
      </c>
      <c r="I1719">
        <v>1</v>
      </c>
      <c r="J1719">
        <v>0</v>
      </c>
      <c r="K1719">
        <v>45.9</v>
      </c>
      <c r="L1719" t="s">
        <v>115</v>
      </c>
      <c r="M1719" t="s">
        <v>116</v>
      </c>
    </row>
    <row r="1720" spans="2:13" x14ac:dyDescent="0.2">
      <c r="B1720">
        <v>3068</v>
      </c>
      <c r="C1720">
        <v>3</v>
      </c>
      <c r="D1720">
        <v>12.1</v>
      </c>
      <c r="E1720">
        <v>0.2</v>
      </c>
      <c r="F1720">
        <v>0.6</v>
      </c>
      <c r="G1720">
        <v>0.7</v>
      </c>
      <c r="H1720">
        <v>130</v>
      </c>
      <c r="I1720">
        <v>5</v>
      </c>
      <c r="J1720">
        <v>0</v>
      </c>
      <c r="K1720">
        <v>95.4</v>
      </c>
      <c r="L1720" t="s">
        <v>128</v>
      </c>
      <c r="M1720" t="s">
        <v>116</v>
      </c>
    </row>
    <row r="1721" spans="2:13" x14ac:dyDescent="0.2">
      <c r="B1721">
        <v>3068</v>
      </c>
      <c r="C1721">
        <v>3</v>
      </c>
      <c r="D1721">
        <v>16.2</v>
      </c>
      <c r="E1721">
        <v>0.27</v>
      </c>
      <c r="F1721">
        <v>0.7</v>
      </c>
      <c r="G1721">
        <v>0.7</v>
      </c>
      <c r="H1721">
        <v>182</v>
      </c>
      <c r="I1721">
        <v>6</v>
      </c>
      <c r="J1721">
        <v>1</v>
      </c>
      <c r="K1721">
        <v>86.1</v>
      </c>
      <c r="L1721" t="s">
        <v>129</v>
      </c>
      <c r="M1721" t="s">
        <v>118</v>
      </c>
    </row>
    <row r="1722" spans="2:13" x14ac:dyDescent="0.2">
      <c r="B1722">
        <v>3068</v>
      </c>
      <c r="C1722">
        <v>4</v>
      </c>
      <c r="D1722">
        <v>0</v>
      </c>
      <c r="E1722">
        <v>0</v>
      </c>
      <c r="F1722">
        <v>0.6</v>
      </c>
      <c r="G1722">
        <v>0.6</v>
      </c>
      <c r="H1722">
        <v>0</v>
      </c>
      <c r="I1722">
        <v>0</v>
      </c>
      <c r="J1722">
        <v>0</v>
      </c>
      <c r="K1722">
        <v>50</v>
      </c>
      <c r="L1722" t="s">
        <v>113</v>
      </c>
      <c r="M1722" t="s">
        <v>114</v>
      </c>
    </row>
    <row r="1723" spans="2:13" x14ac:dyDescent="0.2">
      <c r="B1723">
        <v>3068</v>
      </c>
      <c r="C1723">
        <v>4</v>
      </c>
      <c r="D1723">
        <v>6</v>
      </c>
      <c r="E1723">
        <v>0.1</v>
      </c>
      <c r="F1723">
        <v>0.6</v>
      </c>
      <c r="G1723">
        <v>0.6</v>
      </c>
      <c r="H1723">
        <v>65</v>
      </c>
      <c r="I1723">
        <v>0</v>
      </c>
      <c r="J1723">
        <v>0</v>
      </c>
      <c r="K1723">
        <v>44.2</v>
      </c>
      <c r="L1723" t="s">
        <v>115</v>
      </c>
      <c r="M1723" t="s">
        <v>116</v>
      </c>
    </row>
    <row r="1724" spans="2:13" x14ac:dyDescent="0.2">
      <c r="B1724">
        <v>3068</v>
      </c>
      <c r="C1724">
        <v>4</v>
      </c>
      <c r="D1724">
        <v>7.3</v>
      </c>
      <c r="E1724">
        <v>0.12</v>
      </c>
      <c r="F1724">
        <v>0.6</v>
      </c>
      <c r="G1724">
        <v>0.6</v>
      </c>
      <c r="H1724">
        <v>79</v>
      </c>
      <c r="I1724">
        <v>1</v>
      </c>
      <c r="J1724">
        <v>1</v>
      </c>
      <c r="K1724">
        <v>44.9</v>
      </c>
      <c r="L1724" t="s">
        <v>129</v>
      </c>
      <c r="M1724" t="s">
        <v>118</v>
      </c>
    </row>
    <row r="1725" spans="2:13" x14ac:dyDescent="0.2">
      <c r="B1725">
        <v>3068</v>
      </c>
      <c r="C1725">
        <v>4</v>
      </c>
      <c r="D1725">
        <v>12.1</v>
      </c>
      <c r="E1725">
        <v>0.2</v>
      </c>
      <c r="F1725">
        <v>0.6</v>
      </c>
      <c r="G1725">
        <v>0.6</v>
      </c>
      <c r="H1725">
        <v>130</v>
      </c>
      <c r="I1725">
        <v>4</v>
      </c>
      <c r="J1725">
        <v>1</v>
      </c>
      <c r="K1725">
        <v>70</v>
      </c>
      <c r="L1725" t="s">
        <v>121</v>
      </c>
      <c r="M1725" t="s">
        <v>116</v>
      </c>
    </row>
    <row r="1726" spans="2:13" x14ac:dyDescent="0.2">
      <c r="B1726">
        <v>3068</v>
      </c>
      <c r="C1726">
        <v>4</v>
      </c>
      <c r="D1726">
        <v>18.100000000000001</v>
      </c>
      <c r="E1726">
        <v>0.3</v>
      </c>
      <c r="F1726">
        <v>0.6</v>
      </c>
      <c r="G1726">
        <v>0.7</v>
      </c>
      <c r="H1726">
        <v>195</v>
      </c>
      <c r="I1726">
        <v>9</v>
      </c>
      <c r="J1726">
        <v>1</v>
      </c>
      <c r="K1726">
        <v>82.2</v>
      </c>
      <c r="L1726" t="s">
        <v>128</v>
      </c>
      <c r="M1726" t="s">
        <v>116</v>
      </c>
    </row>
    <row r="1727" spans="2:13" x14ac:dyDescent="0.2">
      <c r="B1727">
        <v>3068</v>
      </c>
      <c r="C1727">
        <v>4</v>
      </c>
      <c r="D1727">
        <v>18.5</v>
      </c>
      <c r="E1727">
        <v>0.31</v>
      </c>
      <c r="F1727">
        <v>0.7</v>
      </c>
      <c r="G1727">
        <v>0.7</v>
      </c>
      <c r="H1727">
        <v>200</v>
      </c>
      <c r="I1727">
        <v>9</v>
      </c>
      <c r="J1727">
        <v>2</v>
      </c>
      <c r="K1727">
        <v>74.7</v>
      </c>
      <c r="L1727" t="s">
        <v>133</v>
      </c>
      <c r="M1727" t="s">
        <v>118</v>
      </c>
    </row>
    <row r="1728" spans="2:13" x14ac:dyDescent="0.2">
      <c r="B1728">
        <v>3068</v>
      </c>
      <c r="C1728">
        <v>5</v>
      </c>
      <c r="D1728">
        <v>0</v>
      </c>
      <c r="E1728">
        <v>0</v>
      </c>
      <c r="F1728">
        <v>0.6</v>
      </c>
      <c r="G1728">
        <v>0.6</v>
      </c>
      <c r="H1728">
        <v>0</v>
      </c>
      <c r="I1728">
        <v>0</v>
      </c>
      <c r="J1728">
        <v>0</v>
      </c>
      <c r="K1728">
        <v>50</v>
      </c>
      <c r="L1728" t="s">
        <v>113</v>
      </c>
      <c r="M1728" t="s">
        <v>114</v>
      </c>
    </row>
    <row r="1729" spans="2:13" x14ac:dyDescent="0.2">
      <c r="B1729">
        <v>3068</v>
      </c>
      <c r="C1729">
        <v>5</v>
      </c>
      <c r="D1729">
        <v>6</v>
      </c>
      <c r="E1729">
        <v>0.1</v>
      </c>
      <c r="F1729">
        <v>0.6</v>
      </c>
      <c r="G1729">
        <v>0.6</v>
      </c>
      <c r="H1729">
        <v>65</v>
      </c>
      <c r="I1729">
        <v>0</v>
      </c>
      <c r="J1729">
        <v>0</v>
      </c>
      <c r="K1729">
        <v>45.5</v>
      </c>
      <c r="L1729" t="s">
        <v>115</v>
      </c>
      <c r="M1729" t="s">
        <v>116</v>
      </c>
    </row>
    <row r="1730" spans="2:13" x14ac:dyDescent="0.2">
      <c r="B1730">
        <v>3068</v>
      </c>
      <c r="C1730">
        <v>5</v>
      </c>
      <c r="D1730">
        <v>12.1</v>
      </c>
      <c r="E1730">
        <v>0.2</v>
      </c>
      <c r="F1730">
        <v>0.6</v>
      </c>
      <c r="G1730">
        <v>0.7</v>
      </c>
      <c r="H1730">
        <v>130</v>
      </c>
      <c r="I1730">
        <v>5</v>
      </c>
      <c r="J1730">
        <v>0</v>
      </c>
      <c r="K1730">
        <v>94.6</v>
      </c>
      <c r="L1730" t="s">
        <v>128</v>
      </c>
      <c r="M1730" t="s">
        <v>116</v>
      </c>
    </row>
    <row r="1731" spans="2:13" x14ac:dyDescent="0.2">
      <c r="B1731">
        <v>3068</v>
      </c>
      <c r="C1731">
        <v>5</v>
      </c>
      <c r="D1731">
        <v>14.6</v>
      </c>
      <c r="E1731">
        <v>0.24</v>
      </c>
      <c r="F1731">
        <v>0.7</v>
      </c>
      <c r="G1731">
        <v>0.7</v>
      </c>
      <c r="H1731">
        <v>162</v>
      </c>
      <c r="I1731">
        <v>7</v>
      </c>
      <c r="J1731">
        <v>1</v>
      </c>
      <c r="K1731">
        <v>86.8</v>
      </c>
      <c r="L1731" t="s">
        <v>122</v>
      </c>
      <c r="M1731" t="s">
        <v>118</v>
      </c>
    </row>
    <row r="1732" spans="2:13" x14ac:dyDescent="0.2">
      <c r="B1732">
        <v>3069</v>
      </c>
      <c r="C1732">
        <v>1</v>
      </c>
      <c r="D1732">
        <v>0</v>
      </c>
      <c r="E1732">
        <v>0</v>
      </c>
      <c r="F1732">
        <v>0.6</v>
      </c>
      <c r="G1732">
        <v>0.6</v>
      </c>
      <c r="H1732">
        <v>0</v>
      </c>
      <c r="I1732">
        <v>0</v>
      </c>
      <c r="J1732">
        <v>0</v>
      </c>
      <c r="K1732">
        <v>50</v>
      </c>
      <c r="L1732" t="s">
        <v>113</v>
      </c>
      <c r="M1732" t="s">
        <v>114</v>
      </c>
    </row>
    <row r="1733" spans="2:13" x14ac:dyDescent="0.2">
      <c r="B1733">
        <v>3069</v>
      </c>
      <c r="C1733">
        <v>1</v>
      </c>
      <c r="D1733">
        <v>6</v>
      </c>
      <c r="E1733">
        <v>0.1</v>
      </c>
      <c r="F1733">
        <v>0.6</v>
      </c>
      <c r="G1733">
        <v>0.6</v>
      </c>
      <c r="H1733">
        <v>65</v>
      </c>
      <c r="I1733">
        <v>0</v>
      </c>
      <c r="J1733">
        <v>0</v>
      </c>
      <c r="K1733">
        <v>44.2</v>
      </c>
      <c r="L1733" t="s">
        <v>115</v>
      </c>
      <c r="M1733" t="s">
        <v>116</v>
      </c>
    </row>
    <row r="1734" spans="2:13" x14ac:dyDescent="0.2">
      <c r="B1734">
        <v>3069</v>
      </c>
      <c r="C1734">
        <v>1</v>
      </c>
      <c r="D1734">
        <v>6.3</v>
      </c>
      <c r="E1734">
        <v>0.1</v>
      </c>
      <c r="F1734">
        <v>0.6</v>
      </c>
      <c r="G1734">
        <v>0.6</v>
      </c>
      <c r="H1734">
        <v>68</v>
      </c>
      <c r="I1734">
        <v>0</v>
      </c>
      <c r="J1734">
        <v>1</v>
      </c>
      <c r="K1734">
        <v>44</v>
      </c>
      <c r="L1734" t="s">
        <v>122</v>
      </c>
      <c r="M1734" t="s">
        <v>118</v>
      </c>
    </row>
    <row r="1735" spans="2:13" x14ac:dyDescent="0.2">
      <c r="B1735">
        <v>3069</v>
      </c>
      <c r="C1735">
        <v>1</v>
      </c>
      <c r="D1735">
        <v>12.1</v>
      </c>
      <c r="E1735">
        <v>0.2</v>
      </c>
      <c r="F1735">
        <v>0.6</v>
      </c>
      <c r="G1735">
        <v>0.6</v>
      </c>
      <c r="H1735">
        <v>130</v>
      </c>
      <c r="I1735">
        <v>1</v>
      </c>
      <c r="J1735">
        <v>1</v>
      </c>
      <c r="K1735">
        <v>68.400000000000006</v>
      </c>
      <c r="L1735" t="s">
        <v>121</v>
      </c>
      <c r="M1735" t="s">
        <v>116</v>
      </c>
    </row>
    <row r="1736" spans="2:13" x14ac:dyDescent="0.2">
      <c r="B1736">
        <v>3069</v>
      </c>
      <c r="C1736">
        <v>1</v>
      </c>
      <c r="D1736">
        <v>18.100000000000001</v>
      </c>
      <c r="E1736">
        <v>0.3</v>
      </c>
      <c r="F1736">
        <v>0.6</v>
      </c>
      <c r="G1736">
        <v>0.7</v>
      </c>
      <c r="H1736">
        <v>195</v>
      </c>
      <c r="I1736">
        <v>8</v>
      </c>
      <c r="J1736">
        <v>1</v>
      </c>
      <c r="K1736">
        <v>82.5</v>
      </c>
      <c r="L1736" t="s">
        <v>128</v>
      </c>
      <c r="M1736" t="s">
        <v>116</v>
      </c>
    </row>
    <row r="1737" spans="2:13" x14ac:dyDescent="0.2">
      <c r="B1737">
        <v>3069</v>
      </c>
      <c r="C1737">
        <v>2</v>
      </c>
      <c r="D1737">
        <v>0</v>
      </c>
      <c r="E1737">
        <v>0</v>
      </c>
      <c r="F1737">
        <v>0.6</v>
      </c>
      <c r="G1737">
        <v>0.6</v>
      </c>
      <c r="H1737">
        <v>0</v>
      </c>
      <c r="I1737">
        <v>0</v>
      </c>
      <c r="J1737">
        <v>0</v>
      </c>
      <c r="K1737">
        <v>50</v>
      </c>
      <c r="L1737" t="s">
        <v>113</v>
      </c>
      <c r="M1737" t="s">
        <v>114</v>
      </c>
    </row>
    <row r="1738" spans="2:13" x14ac:dyDescent="0.2">
      <c r="B1738">
        <v>3069</v>
      </c>
      <c r="C1738">
        <v>2</v>
      </c>
      <c r="D1738">
        <v>6</v>
      </c>
      <c r="E1738">
        <v>0.1</v>
      </c>
      <c r="F1738">
        <v>0.6</v>
      </c>
      <c r="G1738">
        <v>0.6</v>
      </c>
      <c r="H1738">
        <v>65</v>
      </c>
      <c r="I1738">
        <v>0</v>
      </c>
      <c r="J1738">
        <v>0</v>
      </c>
      <c r="K1738">
        <v>41.7</v>
      </c>
      <c r="L1738" t="s">
        <v>115</v>
      </c>
      <c r="M1738" t="s">
        <v>116</v>
      </c>
    </row>
    <row r="1739" spans="2:13" x14ac:dyDescent="0.2">
      <c r="B1739">
        <v>3069</v>
      </c>
      <c r="C1739">
        <v>2</v>
      </c>
      <c r="D1739">
        <v>8</v>
      </c>
      <c r="E1739">
        <v>0.13</v>
      </c>
      <c r="F1739">
        <v>0.6</v>
      </c>
      <c r="G1739">
        <v>0.6</v>
      </c>
      <c r="H1739">
        <v>87</v>
      </c>
      <c r="I1739">
        <v>0</v>
      </c>
      <c r="J1739">
        <v>1</v>
      </c>
      <c r="K1739">
        <v>41.6</v>
      </c>
      <c r="L1739" t="s">
        <v>129</v>
      </c>
      <c r="M1739" t="s">
        <v>118</v>
      </c>
    </row>
    <row r="1740" spans="2:13" x14ac:dyDescent="0.2">
      <c r="B1740">
        <v>3069</v>
      </c>
      <c r="C1740">
        <v>2</v>
      </c>
      <c r="D1740">
        <v>12.1</v>
      </c>
      <c r="E1740">
        <v>0.2</v>
      </c>
      <c r="F1740">
        <v>0.6</v>
      </c>
      <c r="G1740">
        <v>0.6</v>
      </c>
      <c r="H1740">
        <v>130</v>
      </c>
      <c r="I1740">
        <v>5</v>
      </c>
      <c r="J1740">
        <v>1</v>
      </c>
      <c r="K1740">
        <v>74.400000000000006</v>
      </c>
      <c r="L1740" t="s">
        <v>124</v>
      </c>
      <c r="M1740" t="s">
        <v>116</v>
      </c>
    </row>
    <row r="1741" spans="2:13" x14ac:dyDescent="0.2">
      <c r="B1741">
        <v>3069</v>
      </c>
      <c r="C1741">
        <v>2</v>
      </c>
      <c r="D1741">
        <v>13.5</v>
      </c>
      <c r="E1741">
        <v>0.23</v>
      </c>
      <c r="F1741">
        <v>0.6</v>
      </c>
      <c r="G1741">
        <v>0.6</v>
      </c>
      <c r="H1741">
        <v>146</v>
      </c>
      <c r="I1741">
        <v>6</v>
      </c>
      <c r="J1741">
        <v>2</v>
      </c>
      <c r="K1741">
        <v>65.900000000000006</v>
      </c>
      <c r="L1741" t="s">
        <v>119</v>
      </c>
      <c r="M1741" t="s">
        <v>118</v>
      </c>
    </row>
    <row r="1742" spans="2:13" x14ac:dyDescent="0.2">
      <c r="B1742">
        <v>3069</v>
      </c>
      <c r="C1742">
        <v>2</v>
      </c>
      <c r="D1742">
        <v>18.100000000000001</v>
      </c>
      <c r="E1742">
        <v>0.3</v>
      </c>
      <c r="F1742">
        <v>0.6</v>
      </c>
      <c r="G1742">
        <v>0.6</v>
      </c>
      <c r="H1742">
        <v>195</v>
      </c>
      <c r="I1742">
        <v>8</v>
      </c>
      <c r="J1742">
        <v>2</v>
      </c>
      <c r="K1742">
        <v>70.7</v>
      </c>
      <c r="L1742" t="s">
        <v>121</v>
      </c>
      <c r="M1742" t="s">
        <v>116</v>
      </c>
    </row>
    <row r="1743" spans="2:13" x14ac:dyDescent="0.2">
      <c r="B1743">
        <v>3069</v>
      </c>
      <c r="C1743">
        <v>3</v>
      </c>
      <c r="D1743">
        <v>0</v>
      </c>
      <c r="E1743">
        <v>0</v>
      </c>
      <c r="F1743">
        <v>0.6</v>
      </c>
      <c r="G1743">
        <v>0.6</v>
      </c>
      <c r="H1743">
        <v>0</v>
      </c>
      <c r="I1743">
        <v>0</v>
      </c>
      <c r="J1743">
        <v>0</v>
      </c>
      <c r="K1743">
        <v>50</v>
      </c>
      <c r="L1743" t="s">
        <v>113</v>
      </c>
      <c r="M1743" t="s">
        <v>114</v>
      </c>
    </row>
    <row r="1744" spans="2:13" x14ac:dyDescent="0.2">
      <c r="B1744">
        <v>3069</v>
      </c>
      <c r="C1744">
        <v>3</v>
      </c>
      <c r="D1744">
        <v>6</v>
      </c>
      <c r="E1744">
        <v>0.1</v>
      </c>
      <c r="F1744">
        <v>0.6</v>
      </c>
      <c r="G1744">
        <v>0.6</v>
      </c>
      <c r="H1744">
        <v>65</v>
      </c>
      <c r="I1744">
        <v>0</v>
      </c>
      <c r="J1744">
        <v>0</v>
      </c>
      <c r="K1744">
        <v>47.5</v>
      </c>
      <c r="L1744" t="s">
        <v>115</v>
      </c>
      <c r="M1744" t="s">
        <v>116</v>
      </c>
    </row>
    <row r="1745" spans="2:13" x14ac:dyDescent="0.2">
      <c r="B1745">
        <v>3069</v>
      </c>
      <c r="C1745">
        <v>3</v>
      </c>
      <c r="D1745">
        <v>12.1</v>
      </c>
      <c r="E1745">
        <v>0.2</v>
      </c>
      <c r="F1745">
        <v>0.6</v>
      </c>
      <c r="G1745">
        <v>0.7</v>
      </c>
      <c r="H1745">
        <v>130</v>
      </c>
      <c r="I1745">
        <v>2</v>
      </c>
      <c r="J1745">
        <v>0</v>
      </c>
      <c r="K1745">
        <v>95.2</v>
      </c>
      <c r="L1745" t="s">
        <v>128</v>
      </c>
      <c r="M1745" t="s">
        <v>116</v>
      </c>
    </row>
    <row r="1746" spans="2:13" x14ac:dyDescent="0.2">
      <c r="B1746">
        <v>3069</v>
      </c>
      <c r="C1746">
        <v>3</v>
      </c>
      <c r="D1746">
        <v>14.1</v>
      </c>
      <c r="E1746">
        <v>0.23</v>
      </c>
      <c r="F1746">
        <v>0.7</v>
      </c>
      <c r="G1746">
        <v>0.7</v>
      </c>
      <c r="H1746">
        <v>155</v>
      </c>
      <c r="I1746">
        <v>2</v>
      </c>
      <c r="J1746">
        <v>1</v>
      </c>
      <c r="K1746">
        <v>77.5</v>
      </c>
      <c r="L1746" t="s">
        <v>142</v>
      </c>
      <c r="M1746" t="s">
        <v>118</v>
      </c>
    </row>
    <row r="1747" spans="2:13" x14ac:dyDescent="0.2">
      <c r="B1747">
        <v>3069</v>
      </c>
      <c r="C1747">
        <v>4</v>
      </c>
      <c r="D1747">
        <v>0</v>
      </c>
      <c r="E1747">
        <v>0</v>
      </c>
      <c r="F1747">
        <v>0.6</v>
      </c>
      <c r="G1747">
        <v>0.6</v>
      </c>
      <c r="H1747">
        <v>0</v>
      </c>
      <c r="I1747">
        <v>0</v>
      </c>
      <c r="J1747">
        <v>0</v>
      </c>
      <c r="K1747">
        <v>50</v>
      </c>
      <c r="L1747" t="s">
        <v>113</v>
      </c>
      <c r="M1747" t="s">
        <v>114</v>
      </c>
    </row>
    <row r="1748" spans="2:13" x14ac:dyDescent="0.2">
      <c r="B1748">
        <v>3069</v>
      </c>
      <c r="C1748">
        <v>4</v>
      </c>
      <c r="D1748">
        <v>6</v>
      </c>
      <c r="E1748">
        <v>0.1</v>
      </c>
      <c r="F1748">
        <v>0.6</v>
      </c>
      <c r="G1748">
        <v>0.6</v>
      </c>
      <c r="H1748">
        <v>65</v>
      </c>
      <c r="I1748">
        <v>1</v>
      </c>
      <c r="J1748">
        <v>0</v>
      </c>
      <c r="K1748">
        <v>37.200000000000003</v>
      </c>
      <c r="L1748" t="s">
        <v>115</v>
      </c>
      <c r="M1748" t="s">
        <v>116</v>
      </c>
    </row>
    <row r="1749" spans="2:13" x14ac:dyDescent="0.2">
      <c r="B1749">
        <v>3069</v>
      </c>
      <c r="C1749">
        <v>4</v>
      </c>
      <c r="D1749">
        <v>8.8000000000000007</v>
      </c>
      <c r="E1749">
        <v>0.15</v>
      </c>
      <c r="F1749">
        <v>0.6</v>
      </c>
      <c r="G1749">
        <v>0.6</v>
      </c>
      <c r="H1749">
        <v>96</v>
      </c>
      <c r="I1749">
        <v>3</v>
      </c>
      <c r="J1749">
        <v>1</v>
      </c>
      <c r="K1749">
        <v>63.7</v>
      </c>
      <c r="L1749" t="s">
        <v>117</v>
      </c>
      <c r="M1749" t="s">
        <v>118</v>
      </c>
    </row>
    <row r="1750" spans="2:13" x14ac:dyDescent="0.2">
      <c r="B1750">
        <v>3069</v>
      </c>
      <c r="C1750">
        <v>4</v>
      </c>
      <c r="D1750">
        <v>12.1</v>
      </c>
      <c r="E1750">
        <v>0.2</v>
      </c>
      <c r="F1750">
        <v>0.6</v>
      </c>
      <c r="G1750">
        <v>0.6</v>
      </c>
      <c r="H1750">
        <v>130</v>
      </c>
      <c r="I1750">
        <v>3</v>
      </c>
      <c r="J1750">
        <v>1</v>
      </c>
      <c r="K1750">
        <v>64.8</v>
      </c>
      <c r="L1750" t="s">
        <v>121</v>
      </c>
      <c r="M1750" t="s">
        <v>116</v>
      </c>
    </row>
    <row r="1751" spans="2:13" x14ac:dyDescent="0.2">
      <c r="B1751">
        <v>3069</v>
      </c>
      <c r="C1751">
        <v>4</v>
      </c>
      <c r="D1751">
        <v>18.100000000000001</v>
      </c>
      <c r="E1751">
        <v>0.3</v>
      </c>
      <c r="F1751">
        <v>0.6</v>
      </c>
      <c r="G1751">
        <v>0.6</v>
      </c>
      <c r="H1751">
        <v>195</v>
      </c>
      <c r="I1751">
        <v>5</v>
      </c>
      <c r="J1751">
        <v>1</v>
      </c>
      <c r="K1751">
        <v>74.2</v>
      </c>
      <c r="L1751" t="s">
        <v>115</v>
      </c>
      <c r="M1751" t="s">
        <v>116</v>
      </c>
    </row>
    <row r="1752" spans="2:13" x14ac:dyDescent="0.2">
      <c r="B1752">
        <v>3069</v>
      </c>
      <c r="C1752">
        <v>5</v>
      </c>
      <c r="D1752">
        <v>0</v>
      </c>
      <c r="E1752">
        <v>0</v>
      </c>
      <c r="F1752">
        <v>0.6</v>
      </c>
      <c r="G1752">
        <v>0.6</v>
      </c>
      <c r="H1752">
        <v>0</v>
      </c>
      <c r="I1752">
        <v>0</v>
      </c>
      <c r="J1752">
        <v>0</v>
      </c>
      <c r="K1752">
        <v>50</v>
      </c>
      <c r="L1752" t="s">
        <v>113</v>
      </c>
      <c r="M1752" t="s">
        <v>114</v>
      </c>
    </row>
    <row r="1753" spans="2:13" x14ac:dyDescent="0.2">
      <c r="B1753">
        <v>3069</v>
      </c>
      <c r="C1753">
        <v>5</v>
      </c>
      <c r="D1753">
        <v>6</v>
      </c>
      <c r="E1753">
        <v>0.1</v>
      </c>
      <c r="F1753">
        <v>0.6</v>
      </c>
      <c r="G1753">
        <v>0.6</v>
      </c>
      <c r="H1753">
        <v>65</v>
      </c>
      <c r="I1753">
        <v>0</v>
      </c>
      <c r="J1753">
        <v>0</v>
      </c>
      <c r="K1753">
        <v>43</v>
      </c>
      <c r="L1753" t="s">
        <v>115</v>
      </c>
      <c r="M1753" t="s">
        <v>116</v>
      </c>
    </row>
    <row r="1754" spans="2:13" x14ac:dyDescent="0.2">
      <c r="B1754">
        <v>3069</v>
      </c>
      <c r="C1754">
        <v>5</v>
      </c>
      <c r="D1754">
        <v>12.1</v>
      </c>
      <c r="E1754">
        <v>0.2</v>
      </c>
      <c r="F1754">
        <v>0.6</v>
      </c>
      <c r="G1754">
        <v>0.6</v>
      </c>
      <c r="H1754">
        <v>130</v>
      </c>
      <c r="I1754">
        <v>5</v>
      </c>
      <c r="J1754">
        <v>0</v>
      </c>
      <c r="K1754">
        <v>43.4</v>
      </c>
      <c r="L1754" t="s">
        <v>115</v>
      </c>
      <c r="M1754" t="s">
        <v>116</v>
      </c>
    </row>
    <row r="1755" spans="2:13" x14ac:dyDescent="0.2">
      <c r="B1755">
        <v>3069</v>
      </c>
      <c r="C1755">
        <v>5</v>
      </c>
      <c r="D1755">
        <v>18.100000000000001</v>
      </c>
      <c r="E1755">
        <v>0.3</v>
      </c>
      <c r="F1755">
        <v>0.6</v>
      </c>
      <c r="G1755">
        <v>0.7</v>
      </c>
      <c r="H1755">
        <v>195</v>
      </c>
      <c r="I1755">
        <v>6</v>
      </c>
      <c r="J1755">
        <v>0</v>
      </c>
      <c r="K1755">
        <v>93.6</v>
      </c>
      <c r="L1755" t="s">
        <v>128</v>
      </c>
      <c r="M1755" t="s">
        <v>116</v>
      </c>
    </row>
    <row r="1756" spans="2:13" x14ac:dyDescent="0.2">
      <c r="B1756">
        <v>3070</v>
      </c>
      <c r="C1756">
        <v>1</v>
      </c>
      <c r="D1756">
        <v>0</v>
      </c>
      <c r="E1756">
        <v>0</v>
      </c>
      <c r="F1756">
        <v>0.6</v>
      </c>
      <c r="G1756">
        <v>0.6</v>
      </c>
      <c r="H1756">
        <v>0</v>
      </c>
      <c r="I1756">
        <v>0</v>
      </c>
      <c r="J1756">
        <v>0</v>
      </c>
      <c r="K1756">
        <v>50</v>
      </c>
      <c r="L1756" t="s">
        <v>113</v>
      </c>
      <c r="M1756" t="s">
        <v>114</v>
      </c>
    </row>
    <row r="1757" spans="2:13" x14ac:dyDescent="0.2">
      <c r="B1757">
        <v>3070</v>
      </c>
      <c r="C1757">
        <v>1</v>
      </c>
      <c r="D1757">
        <v>6</v>
      </c>
      <c r="E1757">
        <v>0.1</v>
      </c>
      <c r="F1757">
        <v>0.6</v>
      </c>
      <c r="G1757">
        <v>0.6</v>
      </c>
      <c r="H1757">
        <v>65</v>
      </c>
      <c r="I1757">
        <v>0</v>
      </c>
      <c r="J1757">
        <v>0</v>
      </c>
      <c r="K1757">
        <v>91.7</v>
      </c>
      <c r="L1757" t="s">
        <v>115</v>
      </c>
      <c r="M1757" t="s">
        <v>116</v>
      </c>
    </row>
    <row r="1758" spans="2:13" x14ac:dyDescent="0.2">
      <c r="B1758">
        <v>3070</v>
      </c>
      <c r="C1758">
        <v>1</v>
      </c>
      <c r="D1758">
        <v>6.4</v>
      </c>
      <c r="E1758">
        <v>0.11</v>
      </c>
      <c r="F1758">
        <v>0.6</v>
      </c>
      <c r="G1758">
        <v>0.6</v>
      </c>
      <c r="H1758">
        <v>70</v>
      </c>
      <c r="I1758">
        <v>0</v>
      </c>
      <c r="J1758">
        <v>1</v>
      </c>
      <c r="K1758">
        <v>66.5</v>
      </c>
      <c r="L1758" t="s">
        <v>117</v>
      </c>
      <c r="M1758" t="s">
        <v>118</v>
      </c>
    </row>
    <row r="1759" spans="2:13" x14ac:dyDescent="0.2">
      <c r="B1759">
        <v>3070</v>
      </c>
      <c r="C1759">
        <v>1</v>
      </c>
      <c r="D1759">
        <v>12.1</v>
      </c>
      <c r="E1759">
        <v>0.2</v>
      </c>
      <c r="F1759">
        <v>0.6</v>
      </c>
      <c r="G1759">
        <v>0.6</v>
      </c>
      <c r="H1759">
        <v>130</v>
      </c>
      <c r="I1759">
        <v>4</v>
      </c>
      <c r="J1759">
        <v>1</v>
      </c>
      <c r="K1759">
        <v>65.2</v>
      </c>
      <c r="L1759" t="s">
        <v>132</v>
      </c>
      <c r="M1759" t="s">
        <v>116</v>
      </c>
    </row>
    <row r="1760" spans="2:13" x14ac:dyDescent="0.2">
      <c r="B1760">
        <v>3070</v>
      </c>
      <c r="C1760">
        <v>1</v>
      </c>
      <c r="D1760">
        <v>14.7</v>
      </c>
      <c r="E1760">
        <v>0.24</v>
      </c>
      <c r="F1760">
        <v>0.6</v>
      </c>
      <c r="G1760">
        <v>0.6</v>
      </c>
      <c r="H1760">
        <v>158</v>
      </c>
      <c r="I1760">
        <v>5</v>
      </c>
      <c r="J1760">
        <v>2</v>
      </c>
      <c r="K1760">
        <v>57.3</v>
      </c>
      <c r="L1760" t="s">
        <v>127</v>
      </c>
      <c r="M1760" t="s">
        <v>118</v>
      </c>
    </row>
    <row r="1761" spans="2:13" x14ac:dyDescent="0.2">
      <c r="B1761">
        <v>3070</v>
      </c>
      <c r="C1761">
        <v>1</v>
      </c>
      <c r="D1761">
        <v>18.100000000000001</v>
      </c>
      <c r="E1761">
        <v>0.3</v>
      </c>
      <c r="F1761">
        <v>0.6</v>
      </c>
      <c r="G1761">
        <v>0.6</v>
      </c>
      <c r="H1761">
        <v>195</v>
      </c>
      <c r="I1761">
        <v>7</v>
      </c>
      <c r="J1761">
        <v>2</v>
      </c>
      <c r="K1761">
        <v>55.6</v>
      </c>
      <c r="L1761" t="s">
        <v>132</v>
      </c>
      <c r="M1761" t="s">
        <v>116</v>
      </c>
    </row>
    <row r="1762" spans="2:13" x14ac:dyDescent="0.2">
      <c r="B1762">
        <v>3070</v>
      </c>
      <c r="C1762">
        <v>2</v>
      </c>
      <c r="D1762">
        <v>0</v>
      </c>
      <c r="E1762">
        <v>0</v>
      </c>
      <c r="F1762">
        <v>0.6</v>
      </c>
      <c r="G1762">
        <v>0.6</v>
      </c>
      <c r="H1762">
        <v>0</v>
      </c>
      <c r="I1762">
        <v>0</v>
      </c>
      <c r="J1762">
        <v>0</v>
      </c>
      <c r="K1762">
        <v>50</v>
      </c>
      <c r="L1762" t="s">
        <v>113</v>
      </c>
      <c r="M1762" t="s">
        <v>114</v>
      </c>
    </row>
    <row r="1763" spans="2:13" x14ac:dyDescent="0.2">
      <c r="B1763">
        <v>3070</v>
      </c>
      <c r="C1763">
        <v>2</v>
      </c>
      <c r="D1763">
        <v>6</v>
      </c>
      <c r="E1763">
        <v>0.1</v>
      </c>
      <c r="F1763">
        <v>0.6</v>
      </c>
      <c r="G1763">
        <v>0.6</v>
      </c>
      <c r="H1763">
        <v>65</v>
      </c>
      <c r="I1763">
        <v>1</v>
      </c>
      <c r="J1763">
        <v>0</v>
      </c>
      <c r="K1763">
        <v>41.7</v>
      </c>
      <c r="L1763" t="s">
        <v>115</v>
      </c>
      <c r="M1763" t="s">
        <v>116</v>
      </c>
    </row>
    <row r="1764" spans="2:13" x14ac:dyDescent="0.2">
      <c r="B1764">
        <v>3070</v>
      </c>
      <c r="C1764">
        <v>2</v>
      </c>
      <c r="D1764">
        <v>8.3000000000000007</v>
      </c>
      <c r="E1764">
        <v>0.14000000000000001</v>
      </c>
      <c r="F1764">
        <v>0.6</v>
      </c>
      <c r="G1764">
        <v>0.6</v>
      </c>
      <c r="H1764">
        <v>90</v>
      </c>
      <c r="I1764">
        <v>2</v>
      </c>
      <c r="J1764">
        <v>1</v>
      </c>
      <c r="K1764">
        <v>41.9</v>
      </c>
      <c r="L1764" t="s">
        <v>122</v>
      </c>
      <c r="M1764" t="s">
        <v>118</v>
      </c>
    </row>
    <row r="1765" spans="2:13" x14ac:dyDescent="0.2">
      <c r="B1765">
        <v>3070</v>
      </c>
      <c r="C1765">
        <v>2</v>
      </c>
      <c r="D1765">
        <v>12.1</v>
      </c>
      <c r="E1765">
        <v>0.2</v>
      </c>
      <c r="F1765">
        <v>0.6</v>
      </c>
      <c r="G1765">
        <v>0.6</v>
      </c>
      <c r="H1765">
        <v>130</v>
      </c>
      <c r="I1765">
        <v>6</v>
      </c>
      <c r="J1765">
        <v>1</v>
      </c>
      <c r="K1765">
        <v>65.2</v>
      </c>
      <c r="L1765" t="s">
        <v>121</v>
      </c>
      <c r="M1765" t="s">
        <v>116</v>
      </c>
    </row>
    <row r="1766" spans="2:13" x14ac:dyDescent="0.2">
      <c r="B1766">
        <v>3070</v>
      </c>
      <c r="C1766">
        <v>2</v>
      </c>
      <c r="D1766">
        <v>12.2</v>
      </c>
      <c r="E1766">
        <v>0.2</v>
      </c>
      <c r="F1766">
        <v>0.6</v>
      </c>
      <c r="G1766">
        <v>0.6</v>
      </c>
      <c r="H1766">
        <v>132</v>
      </c>
      <c r="I1766">
        <v>6</v>
      </c>
      <c r="J1766">
        <v>2</v>
      </c>
      <c r="K1766">
        <v>56.8</v>
      </c>
      <c r="L1766" t="s">
        <v>119</v>
      </c>
      <c r="M1766" t="s">
        <v>118</v>
      </c>
    </row>
    <row r="1767" spans="2:13" x14ac:dyDescent="0.2">
      <c r="B1767">
        <v>3070</v>
      </c>
      <c r="C1767">
        <v>2</v>
      </c>
      <c r="D1767">
        <v>18.100000000000001</v>
      </c>
      <c r="E1767">
        <v>0.3</v>
      </c>
      <c r="F1767">
        <v>0.6</v>
      </c>
      <c r="G1767">
        <v>0.6</v>
      </c>
      <c r="H1767">
        <v>195</v>
      </c>
      <c r="I1767">
        <v>8</v>
      </c>
      <c r="J1767">
        <v>2</v>
      </c>
      <c r="K1767">
        <v>54.9</v>
      </c>
      <c r="L1767" t="s">
        <v>132</v>
      </c>
      <c r="M1767" t="s">
        <v>116</v>
      </c>
    </row>
    <row r="1768" spans="2:13" x14ac:dyDescent="0.2">
      <c r="B1768">
        <v>3070</v>
      </c>
      <c r="C1768">
        <v>3</v>
      </c>
      <c r="D1768">
        <v>0</v>
      </c>
      <c r="E1768">
        <v>0</v>
      </c>
      <c r="F1768">
        <v>0.6</v>
      </c>
      <c r="G1768">
        <v>0.6</v>
      </c>
      <c r="H1768">
        <v>0</v>
      </c>
      <c r="I1768">
        <v>0</v>
      </c>
      <c r="J1768">
        <v>0</v>
      </c>
      <c r="K1768">
        <v>50</v>
      </c>
      <c r="L1768" t="s">
        <v>113</v>
      </c>
      <c r="M1768" t="s">
        <v>114</v>
      </c>
    </row>
    <row r="1769" spans="2:13" x14ac:dyDescent="0.2">
      <c r="B1769">
        <v>3070</v>
      </c>
      <c r="C1769">
        <v>3</v>
      </c>
      <c r="D1769">
        <v>6</v>
      </c>
      <c r="E1769">
        <v>0.1</v>
      </c>
      <c r="F1769">
        <v>0.6</v>
      </c>
      <c r="G1769">
        <v>0.6</v>
      </c>
      <c r="H1769">
        <v>65</v>
      </c>
      <c r="I1769">
        <v>1</v>
      </c>
      <c r="J1769">
        <v>0</v>
      </c>
      <c r="K1769">
        <v>38</v>
      </c>
      <c r="L1769" t="s">
        <v>115</v>
      </c>
      <c r="M1769" t="s">
        <v>116</v>
      </c>
    </row>
    <row r="1770" spans="2:13" x14ac:dyDescent="0.2">
      <c r="B1770">
        <v>3070</v>
      </c>
      <c r="C1770">
        <v>3</v>
      </c>
      <c r="D1770">
        <v>7.9</v>
      </c>
      <c r="E1770">
        <v>0.13</v>
      </c>
      <c r="F1770">
        <v>0.6</v>
      </c>
      <c r="G1770">
        <v>0.6</v>
      </c>
      <c r="H1770">
        <v>85</v>
      </c>
      <c r="I1770">
        <v>1</v>
      </c>
      <c r="J1770">
        <v>1</v>
      </c>
      <c r="K1770">
        <v>39.200000000000003</v>
      </c>
      <c r="L1770" t="s">
        <v>117</v>
      </c>
      <c r="M1770" t="s">
        <v>118</v>
      </c>
    </row>
    <row r="1771" spans="2:13" x14ac:dyDescent="0.2">
      <c r="B1771">
        <v>3070</v>
      </c>
      <c r="C1771">
        <v>3</v>
      </c>
      <c r="D1771">
        <v>8.4</v>
      </c>
      <c r="E1771">
        <v>0.14000000000000001</v>
      </c>
      <c r="F1771">
        <v>0.6</v>
      </c>
      <c r="G1771">
        <v>0.6</v>
      </c>
      <c r="H1771">
        <v>91</v>
      </c>
      <c r="I1771">
        <v>1</v>
      </c>
      <c r="J1771">
        <v>2</v>
      </c>
      <c r="K1771">
        <v>39.1</v>
      </c>
      <c r="L1771" t="s">
        <v>127</v>
      </c>
      <c r="M1771" t="s">
        <v>118</v>
      </c>
    </row>
    <row r="1772" spans="2:13" x14ac:dyDescent="0.2">
      <c r="B1772">
        <v>3070</v>
      </c>
      <c r="C1772">
        <v>3</v>
      </c>
      <c r="D1772">
        <v>12.1</v>
      </c>
      <c r="E1772">
        <v>0.2</v>
      </c>
      <c r="F1772">
        <v>0.6</v>
      </c>
      <c r="G1772">
        <v>0.45</v>
      </c>
      <c r="H1772">
        <v>130</v>
      </c>
      <c r="I1772">
        <v>4</v>
      </c>
      <c r="J1772">
        <v>2</v>
      </c>
      <c r="K1772">
        <v>55.5</v>
      </c>
      <c r="L1772" t="s">
        <v>120</v>
      </c>
      <c r="M1772" t="s">
        <v>116</v>
      </c>
    </row>
    <row r="1773" spans="2:13" x14ac:dyDescent="0.2">
      <c r="B1773">
        <v>3070</v>
      </c>
      <c r="C1773">
        <v>3</v>
      </c>
      <c r="D1773">
        <v>16.5</v>
      </c>
      <c r="E1773">
        <v>0.27</v>
      </c>
      <c r="F1773">
        <v>0.45</v>
      </c>
      <c r="G1773">
        <v>0.45</v>
      </c>
      <c r="H1773">
        <v>166</v>
      </c>
      <c r="I1773">
        <v>5</v>
      </c>
      <c r="J1773">
        <v>3</v>
      </c>
      <c r="K1773">
        <v>52</v>
      </c>
      <c r="L1773" t="s">
        <v>125</v>
      </c>
      <c r="M1773" t="s">
        <v>118</v>
      </c>
    </row>
    <row r="1774" spans="2:13" x14ac:dyDescent="0.2">
      <c r="B1774">
        <v>3070</v>
      </c>
      <c r="C1774">
        <v>3</v>
      </c>
      <c r="D1774">
        <v>18.100000000000001</v>
      </c>
      <c r="E1774">
        <v>0.3</v>
      </c>
      <c r="F1774">
        <v>0.45</v>
      </c>
      <c r="G1774">
        <v>0.45</v>
      </c>
      <c r="H1774">
        <v>179</v>
      </c>
      <c r="I1774">
        <v>5</v>
      </c>
      <c r="J1774">
        <v>3</v>
      </c>
      <c r="K1774">
        <v>52.9</v>
      </c>
      <c r="L1774" t="s">
        <v>132</v>
      </c>
      <c r="M1774" t="s">
        <v>116</v>
      </c>
    </row>
    <row r="1775" spans="2:13" x14ac:dyDescent="0.2">
      <c r="B1775">
        <v>3070</v>
      </c>
      <c r="C1775">
        <v>4</v>
      </c>
      <c r="D1775">
        <v>0</v>
      </c>
      <c r="E1775">
        <v>0</v>
      </c>
      <c r="F1775">
        <v>0.6</v>
      </c>
      <c r="G1775">
        <v>0.6</v>
      </c>
      <c r="H1775">
        <v>0</v>
      </c>
      <c r="I1775">
        <v>0</v>
      </c>
      <c r="J1775">
        <v>0</v>
      </c>
      <c r="K1775">
        <v>50</v>
      </c>
      <c r="L1775" t="s">
        <v>113</v>
      </c>
      <c r="M1775" t="s">
        <v>114</v>
      </c>
    </row>
    <row r="1776" spans="2:13" x14ac:dyDescent="0.2">
      <c r="B1776">
        <v>3070</v>
      </c>
      <c r="C1776">
        <v>4</v>
      </c>
      <c r="D1776">
        <v>6</v>
      </c>
      <c r="E1776">
        <v>0.1</v>
      </c>
      <c r="F1776">
        <v>0.6</v>
      </c>
      <c r="G1776">
        <v>0.6</v>
      </c>
      <c r="H1776">
        <v>65</v>
      </c>
      <c r="I1776">
        <v>0</v>
      </c>
      <c r="J1776">
        <v>0</v>
      </c>
      <c r="K1776">
        <v>88.4</v>
      </c>
      <c r="L1776" t="s">
        <v>115</v>
      </c>
      <c r="M1776" t="s">
        <v>116</v>
      </c>
    </row>
    <row r="1777" spans="2:13" x14ac:dyDescent="0.2">
      <c r="B1777">
        <v>3070</v>
      </c>
      <c r="C1777">
        <v>4</v>
      </c>
      <c r="D1777">
        <v>8</v>
      </c>
      <c r="E1777">
        <v>0.13</v>
      </c>
      <c r="F1777">
        <v>0.6</v>
      </c>
      <c r="G1777">
        <v>0.6</v>
      </c>
      <c r="H1777">
        <v>87</v>
      </c>
      <c r="I1777">
        <v>1</v>
      </c>
      <c r="J1777">
        <v>1</v>
      </c>
      <c r="K1777">
        <v>79.099999999999994</v>
      </c>
      <c r="L1777" t="s">
        <v>117</v>
      </c>
      <c r="M1777" t="s">
        <v>118</v>
      </c>
    </row>
    <row r="1778" spans="2:13" x14ac:dyDescent="0.2">
      <c r="B1778">
        <v>3070</v>
      </c>
      <c r="C1778">
        <v>4</v>
      </c>
      <c r="D1778">
        <v>10</v>
      </c>
      <c r="E1778">
        <v>0.17</v>
      </c>
      <c r="F1778">
        <v>0.6</v>
      </c>
      <c r="G1778">
        <v>0.6</v>
      </c>
      <c r="H1778">
        <v>108</v>
      </c>
      <c r="I1778">
        <v>2</v>
      </c>
      <c r="J1778">
        <v>2</v>
      </c>
      <c r="K1778">
        <v>72.099999999999994</v>
      </c>
      <c r="L1778" t="s">
        <v>127</v>
      </c>
      <c r="M1778" t="s">
        <v>118</v>
      </c>
    </row>
    <row r="1779" spans="2:13" x14ac:dyDescent="0.2">
      <c r="B1779">
        <v>3070</v>
      </c>
      <c r="C1779">
        <v>4</v>
      </c>
      <c r="D1779">
        <v>10.199999999999999</v>
      </c>
      <c r="E1779">
        <v>0.17</v>
      </c>
      <c r="F1779">
        <v>0.6</v>
      </c>
      <c r="G1779">
        <v>0.6</v>
      </c>
      <c r="H1779">
        <v>110</v>
      </c>
      <c r="I1779">
        <v>2</v>
      </c>
      <c r="J1779">
        <v>3</v>
      </c>
      <c r="K1779">
        <v>67.2</v>
      </c>
      <c r="L1779" t="s">
        <v>125</v>
      </c>
      <c r="M1779" t="s">
        <v>118</v>
      </c>
    </row>
    <row r="1780" spans="2:13" x14ac:dyDescent="0.2">
      <c r="B1780">
        <v>3070</v>
      </c>
      <c r="C1780">
        <v>4</v>
      </c>
      <c r="D1780">
        <v>12.1</v>
      </c>
      <c r="E1780">
        <v>0.2</v>
      </c>
      <c r="F1780">
        <v>0.6</v>
      </c>
      <c r="G1780">
        <v>0.6</v>
      </c>
      <c r="H1780">
        <v>130</v>
      </c>
      <c r="I1780">
        <v>2</v>
      </c>
      <c r="J1780">
        <v>3</v>
      </c>
      <c r="K1780">
        <v>70.3</v>
      </c>
      <c r="L1780" t="s">
        <v>152</v>
      </c>
      <c r="M1780" t="s">
        <v>116</v>
      </c>
    </row>
    <row r="1781" spans="2:13" x14ac:dyDescent="0.2">
      <c r="B1781">
        <v>3070</v>
      </c>
      <c r="C1781">
        <v>4</v>
      </c>
      <c r="D1781">
        <v>18.100000000000001</v>
      </c>
      <c r="E1781">
        <v>0.3</v>
      </c>
      <c r="F1781">
        <v>0.6</v>
      </c>
      <c r="G1781">
        <v>0.6</v>
      </c>
      <c r="H1781">
        <v>195</v>
      </c>
      <c r="I1781">
        <v>5</v>
      </c>
      <c r="J1781">
        <v>3</v>
      </c>
      <c r="K1781">
        <v>70.599999999999994</v>
      </c>
      <c r="L1781" t="s">
        <v>115</v>
      </c>
      <c r="M1781" t="s">
        <v>116</v>
      </c>
    </row>
    <row r="1782" spans="2:13" x14ac:dyDescent="0.2">
      <c r="B1782">
        <v>3070</v>
      </c>
      <c r="C1782">
        <v>5</v>
      </c>
      <c r="D1782">
        <v>0</v>
      </c>
      <c r="E1782">
        <v>0</v>
      </c>
      <c r="F1782">
        <v>0.6</v>
      </c>
      <c r="G1782">
        <v>0.6</v>
      </c>
      <c r="H1782">
        <v>0</v>
      </c>
      <c r="I1782">
        <v>0</v>
      </c>
      <c r="J1782">
        <v>0</v>
      </c>
      <c r="K1782">
        <v>50</v>
      </c>
      <c r="L1782" t="s">
        <v>113</v>
      </c>
      <c r="M1782" t="s">
        <v>114</v>
      </c>
    </row>
    <row r="1783" spans="2:13" x14ac:dyDescent="0.2">
      <c r="B1783">
        <v>3070</v>
      </c>
      <c r="C1783">
        <v>5</v>
      </c>
      <c r="D1783">
        <v>6</v>
      </c>
      <c r="E1783">
        <v>0.1</v>
      </c>
      <c r="F1783">
        <v>0.6</v>
      </c>
      <c r="G1783">
        <v>0.6</v>
      </c>
      <c r="H1783">
        <v>65</v>
      </c>
      <c r="I1783">
        <v>1</v>
      </c>
      <c r="J1783">
        <v>0</v>
      </c>
      <c r="K1783">
        <v>36.799999999999997</v>
      </c>
      <c r="L1783" t="s">
        <v>115</v>
      </c>
      <c r="M1783" t="s">
        <v>116</v>
      </c>
    </row>
    <row r="1784" spans="2:13" x14ac:dyDescent="0.2">
      <c r="B1784">
        <v>3070</v>
      </c>
      <c r="C1784">
        <v>5</v>
      </c>
      <c r="D1784">
        <v>8</v>
      </c>
      <c r="E1784">
        <v>0.13</v>
      </c>
      <c r="F1784">
        <v>0.6</v>
      </c>
      <c r="G1784">
        <v>0.6</v>
      </c>
      <c r="H1784">
        <v>87</v>
      </c>
      <c r="I1784">
        <v>2</v>
      </c>
      <c r="J1784">
        <v>1</v>
      </c>
      <c r="K1784">
        <v>62.9</v>
      </c>
      <c r="L1784" t="s">
        <v>129</v>
      </c>
      <c r="M1784" t="s">
        <v>118</v>
      </c>
    </row>
    <row r="1785" spans="2:13" x14ac:dyDescent="0.2">
      <c r="B1785">
        <v>3070</v>
      </c>
      <c r="C1785">
        <v>5</v>
      </c>
      <c r="D1785">
        <v>12.1</v>
      </c>
      <c r="E1785">
        <v>0.2</v>
      </c>
      <c r="F1785">
        <v>0.6</v>
      </c>
      <c r="G1785">
        <v>0.6</v>
      </c>
      <c r="H1785">
        <v>130</v>
      </c>
      <c r="I1785">
        <v>6</v>
      </c>
      <c r="J1785">
        <v>1</v>
      </c>
      <c r="K1785">
        <v>64.2</v>
      </c>
      <c r="L1785" t="s">
        <v>121</v>
      </c>
      <c r="M1785" t="s">
        <v>116</v>
      </c>
    </row>
    <row r="1786" spans="2:13" x14ac:dyDescent="0.2">
      <c r="B1786">
        <v>3070</v>
      </c>
      <c r="C1786">
        <v>5</v>
      </c>
      <c r="D1786">
        <v>13.7</v>
      </c>
      <c r="E1786">
        <v>0.23</v>
      </c>
      <c r="F1786">
        <v>0.6</v>
      </c>
      <c r="G1786">
        <v>0.6</v>
      </c>
      <c r="H1786">
        <v>148</v>
      </c>
      <c r="I1786">
        <v>7</v>
      </c>
      <c r="J1786">
        <v>2</v>
      </c>
      <c r="K1786">
        <v>55.7</v>
      </c>
      <c r="L1786" t="s">
        <v>119</v>
      </c>
      <c r="M1786" t="s">
        <v>118</v>
      </c>
    </row>
    <row r="1787" spans="2:13" x14ac:dyDescent="0.2">
      <c r="B1787">
        <v>3070</v>
      </c>
      <c r="C1787">
        <v>5</v>
      </c>
      <c r="D1787">
        <v>14.9</v>
      </c>
      <c r="E1787">
        <v>0.25</v>
      </c>
      <c r="F1787">
        <v>0.6</v>
      </c>
      <c r="G1787">
        <v>0.6</v>
      </c>
      <c r="H1787">
        <v>160</v>
      </c>
      <c r="I1787">
        <v>7</v>
      </c>
      <c r="J1787">
        <v>3</v>
      </c>
      <c r="K1787">
        <v>51.2</v>
      </c>
      <c r="L1787" t="s">
        <v>125</v>
      </c>
      <c r="M1787" t="s">
        <v>118</v>
      </c>
    </row>
    <row r="1788" spans="2:13" x14ac:dyDescent="0.2">
      <c r="B1788">
        <v>3070</v>
      </c>
      <c r="C1788">
        <v>5</v>
      </c>
      <c r="D1788">
        <v>18.100000000000001</v>
      </c>
      <c r="E1788">
        <v>0.3</v>
      </c>
      <c r="F1788">
        <v>0.6</v>
      </c>
      <c r="G1788">
        <v>0.45</v>
      </c>
      <c r="H1788">
        <v>195</v>
      </c>
      <c r="I1788">
        <v>7</v>
      </c>
      <c r="J1788">
        <v>3</v>
      </c>
      <c r="K1788">
        <v>50.6</v>
      </c>
      <c r="L1788" t="s">
        <v>126</v>
      </c>
      <c r="M1788" t="s">
        <v>116</v>
      </c>
    </row>
    <row r="1789" spans="2:13" x14ac:dyDescent="0.2">
      <c r="B1789">
        <v>3071</v>
      </c>
      <c r="C1789">
        <v>1</v>
      </c>
      <c r="D1789">
        <v>0</v>
      </c>
      <c r="E1789">
        <v>0</v>
      </c>
      <c r="F1789">
        <v>0.6</v>
      </c>
      <c r="G1789">
        <v>0.6</v>
      </c>
      <c r="H1789">
        <v>0</v>
      </c>
      <c r="I1789">
        <v>0</v>
      </c>
      <c r="J1789">
        <v>0</v>
      </c>
      <c r="K1789">
        <v>50</v>
      </c>
      <c r="L1789" t="s">
        <v>113</v>
      </c>
      <c r="M1789" t="s">
        <v>114</v>
      </c>
    </row>
    <row r="1790" spans="2:13" x14ac:dyDescent="0.2">
      <c r="B1790">
        <v>3071</v>
      </c>
      <c r="C1790">
        <v>1</v>
      </c>
      <c r="D1790">
        <v>6</v>
      </c>
      <c r="E1790">
        <v>0.1</v>
      </c>
      <c r="F1790">
        <v>0.6</v>
      </c>
      <c r="G1790">
        <v>0.6</v>
      </c>
      <c r="H1790">
        <v>65</v>
      </c>
      <c r="I1790">
        <v>1</v>
      </c>
      <c r="J1790">
        <v>0</v>
      </c>
      <c r="K1790">
        <v>45.5</v>
      </c>
      <c r="L1790" t="s">
        <v>115</v>
      </c>
      <c r="M1790" t="s">
        <v>116</v>
      </c>
    </row>
    <row r="1791" spans="2:13" x14ac:dyDescent="0.2">
      <c r="B1791">
        <v>3071</v>
      </c>
      <c r="C1791">
        <v>1</v>
      </c>
      <c r="D1791">
        <v>12.1</v>
      </c>
      <c r="E1791">
        <v>0.2</v>
      </c>
      <c r="F1791">
        <v>0.6</v>
      </c>
      <c r="G1791">
        <v>0.7</v>
      </c>
      <c r="H1791">
        <v>130</v>
      </c>
      <c r="I1791">
        <v>4</v>
      </c>
      <c r="J1791">
        <v>0</v>
      </c>
      <c r="K1791">
        <v>93.8</v>
      </c>
      <c r="L1791" t="s">
        <v>128</v>
      </c>
      <c r="M1791" t="s">
        <v>116</v>
      </c>
    </row>
    <row r="1792" spans="2:13" x14ac:dyDescent="0.2">
      <c r="B1792">
        <v>3071</v>
      </c>
      <c r="C1792">
        <v>1</v>
      </c>
      <c r="D1792">
        <v>12.1</v>
      </c>
      <c r="E1792">
        <v>0.2</v>
      </c>
      <c r="F1792">
        <v>0.7</v>
      </c>
      <c r="G1792">
        <v>0.7</v>
      </c>
      <c r="H1792">
        <v>131</v>
      </c>
      <c r="I1792">
        <v>4</v>
      </c>
      <c r="J1792">
        <v>1</v>
      </c>
      <c r="K1792">
        <v>77.099999999999994</v>
      </c>
      <c r="L1792" t="s">
        <v>137</v>
      </c>
      <c r="M1792" t="s">
        <v>118</v>
      </c>
    </row>
    <row r="1793" spans="2:13" x14ac:dyDescent="0.2">
      <c r="B1793">
        <v>3071</v>
      </c>
      <c r="C1793">
        <v>2</v>
      </c>
      <c r="D1793">
        <v>0</v>
      </c>
      <c r="E1793">
        <v>0</v>
      </c>
      <c r="F1793">
        <v>0.6</v>
      </c>
      <c r="G1793">
        <v>0.6</v>
      </c>
      <c r="H1793">
        <v>0</v>
      </c>
      <c r="I1793">
        <v>0</v>
      </c>
      <c r="J1793">
        <v>0</v>
      </c>
      <c r="K1793">
        <v>50</v>
      </c>
      <c r="L1793" t="s">
        <v>113</v>
      </c>
      <c r="M1793" t="s">
        <v>114</v>
      </c>
    </row>
    <row r="1794" spans="2:13" x14ac:dyDescent="0.2">
      <c r="B1794">
        <v>3071</v>
      </c>
      <c r="C1794">
        <v>2</v>
      </c>
      <c r="D1794">
        <v>6</v>
      </c>
      <c r="E1794">
        <v>0.1</v>
      </c>
      <c r="F1794">
        <v>0.6</v>
      </c>
      <c r="G1794">
        <v>0.6</v>
      </c>
      <c r="H1794">
        <v>65</v>
      </c>
      <c r="I1794">
        <v>1</v>
      </c>
      <c r="J1794">
        <v>0</v>
      </c>
      <c r="K1794">
        <v>45.5</v>
      </c>
      <c r="L1794" t="s">
        <v>115</v>
      </c>
      <c r="M1794" t="s">
        <v>116</v>
      </c>
    </row>
    <row r="1795" spans="2:13" x14ac:dyDescent="0.2">
      <c r="B1795">
        <v>3071</v>
      </c>
      <c r="C1795">
        <v>2</v>
      </c>
      <c r="D1795">
        <v>12.1</v>
      </c>
      <c r="E1795">
        <v>0.2</v>
      </c>
      <c r="F1795">
        <v>0.6</v>
      </c>
      <c r="G1795">
        <v>0.7</v>
      </c>
      <c r="H1795">
        <v>130</v>
      </c>
      <c r="I1795">
        <v>6</v>
      </c>
      <c r="J1795">
        <v>0</v>
      </c>
      <c r="K1795">
        <v>92.3</v>
      </c>
      <c r="L1795" t="s">
        <v>128</v>
      </c>
      <c r="M1795" t="s">
        <v>116</v>
      </c>
    </row>
    <row r="1796" spans="2:13" x14ac:dyDescent="0.2">
      <c r="B1796">
        <v>3071</v>
      </c>
      <c r="C1796">
        <v>3</v>
      </c>
      <c r="D1796">
        <v>0</v>
      </c>
      <c r="E1796">
        <v>0</v>
      </c>
      <c r="F1796">
        <v>0.6</v>
      </c>
      <c r="G1796">
        <v>0.6</v>
      </c>
      <c r="H1796">
        <v>0</v>
      </c>
      <c r="I1796">
        <v>0</v>
      </c>
      <c r="J1796">
        <v>0</v>
      </c>
      <c r="K1796">
        <v>50</v>
      </c>
      <c r="L1796" t="s">
        <v>113</v>
      </c>
      <c r="M1796" t="s">
        <v>114</v>
      </c>
    </row>
    <row r="1797" spans="2:13" x14ac:dyDescent="0.2">
      <c r="B1797">
        <v>3071</v>
      </c>
      <c r="C1797">
        <v>3</v>
      </c>
      <c r="D1797">
        <v>6</v>
      </c>
      <c r="E1797">
        <v>0.1</v>
      </c>
      <c r="F1797">
        <v>0.6</v>
      </c>
      <c r="G1797">
        <v>0.6</v>
      </c>
      <c r="H1797">
        <v>65</v>
      </c>
      <c r="I1797">
        <v>1</v>
      </c>
      <c r="J1797">
        <v>0</v>
      </c>
      <c r="K1797">
        <v>40.5</v>
      </c>
      <c r="L1797" t="s">
        <v>115</v>
      </c>
      <c r="M1797" t="s">
        <v>116</v>
      </c>
    </row>
    <row r="1798" spans="2:13" x14ac:dyDescent="0.2">
      <c r="B1798">
        <v>3071</v>
      </c>
      <c r="C1798">
        <v>3</v>
      </c>
      <c r="D1798">
        <v>12.1</v>
      </c>
      <c r="E1798">
        <v>0.2</v>
      </c>
      <c r="F1798">
        <v>0.6</v>
      </c>
      <c r="G1798">
        <v>0.6</v>
      </c>
      <c r="H1798">
        <v>130</v>
      </c>
      <c r="I1798">
        <v>4</v>
      </c>
      <c r="J1798">
        <v>0</v>
      </c>
      <c r="K1798">
        <v>40.700000000000003</v>
      </c>
      <c r="L1798" t="s">
        <v>115</v>
      </c>
      <c r="M1798" t="s">
        <v>116</v>
      </c>
    </row>
    <row r="1799" spans="2:13" x14ac:dyDescent="0.2">
      <c r="B1799">
        <v>3071</v>
      </c>
      <c r="C1799">
        <v>3</v>
      </c>
      <c r="D1799">
        <v>18.100000000000001</v>
      </c>
      <c r="E1799">
        <v>0.3</v>
      </c>
      <c r="F1799">
        <v>0.6</v>
      </c>
      <c r="G1799">
        <v>0.7</v>
      </c>
      <c r="H1799">
        <v>195</v>
      </c>
      <c r="I1799">
        <v>7</v>
      </c>
      <c r="J1799">
        <v>0</v>
      </c>
      <c r="K1799">
        <v>91.1</v>
      </c>
      <c r="L1799" t="s">
        <v>128</v>
      </c>
      <c r="M1799" t="s">
        <v>116</v>
      </c>
    </row>
    <row r="1800" spans="2:13" x14ac:dyDescent="0.2">
      <c r="B1800">
        <v>3071</v>
      </c>
      <c r="C1800">
        <v>4</v>
      </c>
      <c r="D1800">
        <v>0</v>
      </c>
      <c r="E1800">
        <v>0</v>
      </c>
      <c r="F1800">
        <v>0.6</v>
      </c>
      <c r="G1800">
        <v>0.6</v>
      </c>
      <c r="H1800">
        <v>0</v>
      </c>
      <c r="I1800">
        <v>0</v>
      </c>
      <c r="J1800">
        <v>0</v>
      </c>
      <c r="K1800">
        <v>50</v>
      </c>
      <c r="L1800" t="s">
        <v>113</v>
      </c>
      <c r="M1800" t="s">
        <v>114</v>
      </c>
    </row>
    <row r="1801" spans="2:13" x14ac:dyDescent="0.2">
      <c r="B1801">
        <v>3071</v>
      </c>
      <c r="C1801">
        <v>4</v>
      </c>
      <c r="D1801">
        <v>6</v>
      </c>
      <c r="E1801">
        <v>0.1</v>
      </c>
      <c r="F1801">
        <v>0.6</v>
      </c>
      <c r="G1801">
        <v>0.6</v>
      </c>
      <c r="H1801">
        <v>65</v>
      </c>
      <c r="I1801">
        <v>0</v>
      </c>
      <c r="J1801">
        <v>0</v>
      </c>
      <c r="K1801">
        <v>42.6</v>
      </c>
      <c r="L1801" t="s">
        <v>115</v>
      </c>
      <c r="M1801" t="s">
        <v>116</v>
      </c>
    </row>
    <row r="1802" spans="2:13" x14ac:dyDescent="0.2">
      <c r="B1802">
        <v>3071</v>
      </c>
      <c r="C1802">
        <v>4</v>
      </c>
      <c r="D1802">
        <v>12.1</v>
      </c>
      <c r="E1802">
        <v>0.2</v>
      </c>
      <c r="F1802">
        <v>0.6</v>
      </c>
      <c r="G1802">
        <v>0.6</v>
      </c>
      <c r="H1802">
        <v>130</v>
      </c>
      <c r="I1802">
        <v>5</v>
      </c>
      <c r="J1802">
        <v>0</v>
      </c>
      <c r="K1802">
        <v>92.1</v>
      </c>
      <c r="L1802" t="s">
        <v>115</v>
      </c>
      <c r="M1802" t="s">
        <v>116</v>
      </c>
    </row>
    <row r="1803" spans="2:13" x14ac:dyDescent="0.2">
      <c r="B1803">
        <v>3071</v>
      </c>
      <c r="C1803">
        <v>4</v>
      </c>
      <c r="D1803">
        <v>18.100000000000001</v>
      </c>
      <c r="E1803">
        <v>0.3</v>
      </c>
      <c r="F1803">
        <v>0.6</v>
      </c>
      <c r="G1803">
        <v>0.7</v>
      </c>
      <c r="H1803">
        <v>195</v>
      </c>
      <c r="I1803">
        <v>8</v>
      </c>
      <c r="J1803">
        <v>0</v>
      </c>
      <c r="K1803">
        <v>92.5</v>
      </c>
      <c r="L1803" t="s">
        <v>128</v>
      </c>
      <c r="M1803" t="s">
        <v>116</v>
      </c>
    </row>
    <row r="1804" spans="2:13" x14ac:dyDescent="0.2">
      <c r="B1804">
        <v>3071</v>
      </c>
      <c r="C1804">
        <v>5</v>
      </c>
      <c r="D1804">
        <v>0</v>
      </c>
      <c r="E1804">
        <v>0</v>
      </c>
      <c r="F1804">
        <v>0.6</v>
      </c>
      <c r="G1804">
        <v>0.6</v>
      </c>
      <c r="H1804">
        <v>0</v>
      </c>
      <c r="I1804">
        <v>0</v>
      </c>
      <c r="J1804">
        <v>0</v>
      </c>
      <c r="K1804">
        <v>50</v>
      </c>
      <c r="L1804" t="s">
        <v>113</v>
      </c>
      <c r="M1804" t="s">
        <v>114</v>
      </c>
    </row>
    <row r="1805" spans="2:13" x14ac:dyDescent="0.2">
      <c r="B1805">
        <v>3071</v>
      </c>
      <c r="C1805">
        <v>5</v>
      </c>
      <c r="D1805">
        <v>6</v>
      </c>
      <c r="E1805">
        <v>0.1</v>
      </c>
      <c r="F1805">
        <v>0.6</v>
      </c>
      <c r="G1805">
        <v>0.6</v>
      </c>
      <c r="H1805">
        <v>65</v>
      </c>
      <c r="I1805">
        <v>0</v>
      </c>
      <c r="J1805">
        <v>0</v>
      </c>
      <c r="K1805">
        <v>41.7</v>
      </c>
      <c r="L1805" t="s">
        <v>115</v>
      </c>
      <c r="M1805" t="s">
        <v>116</v>
      </c>
    </row>
    <row r="1806" spans="2:13" x14ac:dyDescent="0.2">
      <c r="B1806">
        <v>3071</v>
      </c>
      <c r="C1806">
        <v>5</v>
      </c>
      <c r="D1806">
        <v>12.1</v>
      </c>
      <c r="E1806">
        <v>0.2</v>
      </c>
      <c r="F1806">
        <v>0.6</v>
      </c>
      <c r="G1806">
        <v>0.7</v>
      </c>
      <c r="H1806">
        <v>130</v>
      </c>
      <c r="I1806">
        <v>5</v>
      </c>
      <c r="J1806">
        <v>0</v>
      </c>
      <c r="K1806">
        <v>93.4</v>
      </c>
      <c r="L1806" t="s">
        <v>128</v>
      </c>
      <c r="M1806" t="s">
        <v>116</v>
      </c>
    </row>
    <row r="1807" spans="2:13" x14ac:dyDescent="0.2">
      <c r="B1807">
        <v>3071</v>
      </c>
      <c r="C1807">
        <v>5</v>
      </c>
      <c r="D1807">
        <v>14</v>
      </c>
      <c r="E1807">
        <v>0.23</v>
      </c>
      <c r="F1807">
        <v>0.7</v>
      </c>
      <c r="G1807">
        <v>0.7</v>
      </c>
      <c r="H1807">
        <v>155</v>
      </c>
      <c r="I1807">
        <v>6</v>
      </c>
      <c r="J1807">
        <v>1</v>
      </c>
      <c r="K1807">
        <v>80.7</v>
      </c>
      <c r="L1807" t="s">
        <v>122</v>
      </c>
      <c r="M1807" t="s">
        <v>118</v>
      </c>
    </row>
    <row r="1808" spans="2:13" x14ac:dyDescent="0.2">
      <c r="B1808">
        <v>3072</v>
      </c>
      <c r="C1808">
        <v>1</v>
      </c>
      <c r="D1808">
        <v>0</v>
      </c>
      <c r="E1808">
        <v>0</v>
      </c>
      <c r="F1808">
        <v>0.6</v>
      </c>
      <c r="G1808">
        <v>0.6</v>
      </c>
      <c r="H1808">
        <v>0</v>
      </c>
      <c r="I1808">
        <v>0</v>
      </c>
      <c r="J1808">
        <v>0</v>
      </c>
      <c r="K1808">
        <v>50</v>
      </c>
      <c r="L1808" t="s">
        <v>113</v>
      </c>
      <c r="M1808" t="s">
        <v>114</v>
      </c>
    </row>
    <row r="1809" spans="2:13" x14ac:dyDescent="0.2">
      <c r="B1809">
        <v>3072</v>
      </c>
      <c r="C1809">
        <v>1</v>
      </c>
      <c r="D1809">
        <v>6</v>
      </c>
      <c r="E1809">
        <v>0.1</v>
      </c>
      <c r="F1809">
        <v>0.6</v>
      </c>
      <c r="G1809">
        <v>0.6</v>
      </c>
      <c r="H1809">
        <v>65</v>
      </c>
      <c r="I1809">
        <v>0</v>
      </c>
      <c r="J1809">
        <v>0</v>
      </c>
      <c r="K1809">
        <v>36.4</v>
      </c>
      <c r="L1809" t="s">
        <v>115</v>
      </c>
      <c r="M1809" t="s">
        <v>116</v>
      </c>
    </row>
    <row r="1810" spans="2:13" x14ac:dyDescent="0.2">
      <c r="B1810">
        <v>3072</v>
      </c>
      <c r="C1810">
        <v>1</v>
      </c>
      <c r="D1810">
        <v>9.1999999999999993</v>
      </c>
      <c r="E1810">
        <v>0.15</v>
      </c>
      <c r="F1810">
        <v>0.6</v>
      </c>
      <c r="G1810">
        <v>0.6</v>
      </c>
      <c r="H1810">
        <v>99</v>
      </c>
      <c r="I1810">
        <v>1</v>
      </c>
      <c r="J1810">
        <v>1</v>
      </c>
      <c r="K1810">
        <v>36.4</v>
      </c>
      <c r="L1810" t="s">
        <v>117</v>
      </c>
      <c r="M1810" t="s">
        <v>118</v>
      </c>
    </row>
    <row r="1811" spans="2:13" x14ac:dyDescent="0.2">
      <c r="B1811">
        <v>3072</v>
      </c>
      <c r="C1811">
        <v>1</v>
      </c>
      <c r="D1811">
        <v>12.1</v>
      </c>
      <c r="E1811">
        <v>0.2</v>
      </c>
      <c r="F1811">
        <v>0.6</v>
      </c>
      <c r="G1811">
        <v>0.6</v>
      </c>
      <c r="H1811">
        <v>130</v>
      </c>
      <c r="I1811">
        <v>4</v>
      </c>
      <c r="J1811">
        <v>1</v>
      </c>
      <c r="K1811">
        <v>37.1</v>
      </c>
      <c r="L1811" t="s">
        <v>132</v>
      </c>
      <c r="M1811" t="s">
        <v>116</v>
      </c>
    </row>
    <row r="1812" spans="2:13" x14ac:dyDescent="0.2">
      <c r="B1812">
        <v>3072</v>
      </c>
      <c r="C1812">
        <v>1</v>
      </c>
      <c r="D1812">
        <v>12.4</v>
      </c>
      <c r="E1812">
        <v>0.21</v>
      </c>
      <c r="F1812">
        <v>0.6</v>
      </c>
      <c r="G1812">
        <v>0.6</v>
      </c>
      <c r="H1812">
        <v>133</v>
      </c>
      <c r="I1812">
        <v>5</v>
      </c>
      <c r="J1812">
        <v>2</v>
      </c>
      <c r="K1812">
        <v>37.200000000000003</v>
      </c>
      <c r="L1812" t="s">
        <v>119</v>
      </c>
      <c r="M1812" t="s">
        <v>118</v>
      </c>
    </row>
    <row r="1813" spans="2:13" x14ac:dyDescent="0.2">
      <c r="B1813">
        <v>3072</v>
      </c>
      <c r="C1813">
        <v>1</v>
      </c>
      <c r="D1813">
        <v>18.100000000000001</v>
      </c>
      <c r="E1813">
        <v>0.3</v>
      </c>
      <c r="F1813">
        <v>0.6</v>
      </c>
      <c r="G1813">
        <v>0.6</v>
      </c>
      <c r="H1813">
        <v>195</v>
      </c>
      <c r="I1813">
        <v>9</v>
      </c>
      <c r="J1813">
        <v>2</v>
      </c>
      <c r="K1813">
        <v>36.1</v>
      </c>
      <c r="L1813" t="s">
        <v>132</v>
      </c>
      <c r="M1813" t="s">
        <v>116</v>
      </c>
    </row>
    <row r="1814" spans="2:13" x14ac:dyDescent="0.2">
      <c r="B1814">
        <v>3072</v>
      </c>
      <c r="C1814">
        <v>2</v>
      </c>
      <c r="D1814">
        <v>0</v>
      </c>
      <c r="E1814">
        <v>0</v>
      </c>
      <c r="F1814">
        <v>0.6</v>
      </c>
      <c r="G1814">
        <v>0.6</v>
      </c>
      <c r="H1814">
        <v>0</v>
      </c>
      <c r="I1814">
        <v>0</v>
      </c>
      <c r="J1814">
        <v>0</v>
      </c>
      <c r="K1814">
        <v>50</v>
      </c>
      <c r="L1814" t="s">
        <v>113</v>
      </c>
      <c r="M1814" t="s">
        <v>114</v>
      </c>
    </row>
    <row r="1815" spans="2:13" x14ac:dyDescent="0.2">
      <c r="B1815">
        <v>3072</v>
      </c>
      <c r="C1815">
        <v>2</v>
      </c>
      <c r="D1815">
        <v>6</v>
      </c>
      <c r="E1815">
        <v>0.1</v>
      </c>
      <c r="F1815">
        <v>0.6</v>
      </c>
      <c r="G1815">
        <v>0.6</v>
      </c>
      <c r="H1815">
        <v>65</v>
      </c>
      <c r="I1815">
        <v>1</v>
      </c>
      <c r="J1815">
        <v>0</v>
      </c>
      <c r="K1815">
        <v>38.4</v>
      </c>
      <c r="L1815" t="s">
        <v>115</v>
      </c>
      <c r="M1815" t="s">
        <v>116</v>
      </c>
    </row>
    <row r="1816" spans="2:13" x14ac:dyDescent="0.2">
      <c r="B1816">
        <v>3072</v>
      </c>
      <c r="C1816">
        <v>2</v>
      </c>
      <c r="D1816">
        <v>9.5</v>
      </c>
      <c r="E1816">
        <v>0.16</v>
      </c>
      <c r="F1816">
        <v>0.6</v>
      </c>
      <c r="G1816">
        <v>0.6</v>
      </c>
      <c r="H1816">
        <v>103</v>
      </c>
      <c r="I1816">
        <v>2</v>
      </c>
      <c r="J1816">
        <v>1</v>
      </c>
      <c r="K1816">
        <v>38.4</v>
      </c>
      <c r="L1816" t="s">
        <v>122</v>
      </c>
      <c r="M1816" t="s">
        <v>118</v>
      </c>
    </row>
    <row r="1817" spans="2:13" x14ac:dyDescent="0.2">
      <c r="B1817">
        <v>3072</v>
      </c>
      <c r="C1817">
        <v>2</v>
      </c>
      <c r="D1817">
        <v>11.4</v>
      </c>
      <c r="E1817">
        <v>0.19</v>
      </c>
      <c r="F1817">
        <v>0.6</v>
      </c>
      <c r="G1817">
        <v>0.6</v>
      </c>
      <c r="H1817">
        <v>123</v>
      </c>
      <c r="I1817">
        <v>3</v>
      </c>
      <c r="J1817">
        <v>2</v>
      </c>
      <c r="K1817">
        <v>37.1</v>
      </c>
      <c r="L1817" t="s">
        <v>119</v>
      </c>
      <c r="M1817" t="s">
        <v>118</v>
      </c>
    </row>
    <row r="1818" spans="2:13" x14ac:dyDescent="0.2">
      <c r="B1818">
        <v>3072</v>
      </c>
      <c r="C1818">
        <v>2</v>
      </c>
      <c r="D1818">
        <v>12.1</v>
      </c>
      <c r="E1818">
        <v>0.2</v>
      </c>
      <c r="F1818">
        <v>0.6</v>
      </c>
      <c r="G1818">
        <v>0.45</v>
      </c>
      <c r="H1818">
        <v>130</v>
      </c>
      <c r="I1818">
        <v>3</v>
      </c>
      <c r="J1818">
        <v>2</v>
      </c>
      <c r="K1818">
        <v>37.1</v>
      </c>
      <c r="L1818" t="s">
        <v>126</v>
      </c>
      <c r="M1818" t="s">
        <v>116</v>
      </c>
    </row>
    <row r="1819" spans="2:13" x14ac:dyDescent="0.2">
      <c r="B1819">
        <v>3072</v>
      </c>
      <c r="C1819">
        <v>2</v>
      </c>
      <c r="D1819">
        <v>18.100000000000001</v>
      </c>
      <c r="E1819">
        <v>0.3</v>
      </c>
      <c r="F1819">
        <v>0.45</v>
      </c>
      <c r="G1819">
        <v>0.45</v>
      </c>
      <c r="H1819">
        <v>179</v>
      </c>
      <c r="I1819">
        <v>4</v>
      </c>
      <c r="J1819">
        <v>2</v>
      </c>
      <c r="K1819">
        <v>37.299999999999997</v>
      </c>
      <c r="L1819" t="s">
        <v>115</v>
      </c>
      <c r="M1819" t="s">
        <v>116</v>
      </c>
    </row>
    <row r="1820" spans="2:13" x14ac:dyDescent="0.2">
      <c r="B1820">
        <v>3072</v>
      </c>
      <c r="C1820">
        <v>3</v>
      </c>
      <c r="D1820">
        <v>0</v>
      </c>
      <c r="E1820">
        <v>0</v>
      </c>
      <c r="F1820">
        <v>0.6</v>
      </c>
      <c r="G1820">
        <v>0.6</v>
      </c>
      <c r="H1820">
        <v>0</v>
      </c>
      <c r="I1820">
        <v>0</v>
      </c>
      <c r="J1820">
        <v>0</v>
      </c>
      <c r="K1820">
        <v>50</v>
      </c>
      <c r="L1820" t="s">
        <v>113</v>
      </c>
      <c r="M1820" t="s">
        <v>114</v>
      </c>
    </row>
    <row r="1821" spans="2:13" x14ac:dyDescent="0.2">
      <c r="B1821">
        <v>3072</v>
      </c>
      <c r="C1821">
        <v>3</v>
      </c>
      <c r="D1821">
        <v>6</v>
      </c>
      <c r="E1821">
        <v>0.1</v>
      </c>
      <c r="F1821">
        <v>0.6</v>
      </c>
      <c r="G1821">
        <v>0.6</v>
      </c>
      <c r="H1821">
        <v>65</v>
      </c>
      <c r="I1821">
        <v>0</v>
      </c>
      <c r="J1821">
        <v>0</v>
      </c>
      <c r="K1821">
        <v>40.1</v>
      </c>
      <c r="L1821" t="s">
        <v>115</v>
      </c>
      <c r="M1821" t="s">
        <v>116</v>
      </c>
    </row>
    <row r="1822" spans="2:13" x14ac:dyDescent="0.2">
      <c r="B1822">
        <v>3072</v>
      </c>
      <c r="C1822">
        <v>3</v>
      </c>
      <c r="D1822">
        <v>9.1</v>
      </c>
      <c r="E1822">
        <v>0.15</v>
      </c>
      <c r="F1822">
        <v>0.6</v>
      </c>
      <c r="G1822">
        <v>0.6</v>
      </c>
      <c r="H1822">
        <v>99</v>
      </c>
      <c r="I1822">
        <v>0</v>
      </c>
      <c r="J1822">
        <v>1</v>
      </c>
      <c r="K1822">
        <v>64.099999999999994</v>
      </c>
      <c r="L1822" t="s">
        <v>117</v>
      </c>
      <c r="M1822" t="s">
        <v>118</v>
      </c>
    </row>
    <row r="1823" spans="2:13" x14ac:dyDescent="0.2">
      <c r="B1823">
        <v>3072</v>
      </c>
      <c r="C1823">
        <v>3</v>
      </c>
      <c r="D1823">
        <v>9.4</v>
      </c>
      <c r="E1823">
        <v>0.16</v>
      </c>
      <c r="F1823">
        <v>0.6</v>
      </c>
      <c r="G1823">
        <v>0.6</v>
      </c>
      <c r="H1823">
        <v>102</v>
      </c>
      <c r="I1823">
        <v>0</v>
      </c>
      <c r="J1823">
        <v>2</v>
      </c>
      <c r="K1823">
        <v>55.8</v>
      </c>
      <c r="L1823" t="s">
        <v>119</v>
      </c>
      <c r="M1823" t="s">
        <v>118</v>
      </c>
    </row>
    <row r="1824" spans="2:13" x14ac:dyDescent="0.2">
      <c r="B1824">
        <v>3072</v>
      </c>
      <c r="C1824">
        <v>3</v>
      </c>
      <c r="D1824">
        <v>12.1</v>
      </c>
      <c r="E1824">
        <v>0.2</v>
      </c>
      <c r="F1824">
        <v>0.6</v>
      </c>
      <c r="G1824">
        <v>0.6</v>
      </c>
      <c r="H1824">
        <v>130</v>
      </c>
      <c r="I1824">
        <v>1</v>
      </c>
      <c r="J1824">
        <v>2</v>
      </c>
      <c r="K1824">
        <v>64</v>
      </c>
      <c r="L1824" t="s">
        <v>121</v>
      </c>
      <c r="M1824" t="s">
        <v>116</v>
      </c>
    </row>
    <row r="1825" spans="2:13" x14ac:dyDescent="0.2">
      <c r="B1825">
        <v>3072</v>
      </c>
      <c r="C1825">
        <v>3</v>
      </c>
      <c r="D1825">
        <v>15.8</v>
      </c>
      <c r="E1825">
        <v>0.26</v>
      </c>
      <c r="F1825">
        <v>0.6</v>
      </c>
      <c r="G1825">
        <v>0.6</v>
      </c>
      <c r="H1825">
        <v>171</v>
      </c>
      <c r="I1825">
        <v>1</v>
      </c>
      <c r="J1825">
        <v>3</v>
      </c>
      <c r="K1825">
        <v>63.4</v>
      </c>
      <c r="L1825" t="s">
        <v>125</v>
      </c>
      <c r="M1825" t="s">
        <v>118</v>
      </c>
    </row>
    <row r="1826" spans="2:13" x14ac:dyDescent="0.2">
      <c r="B1826">
        <v>3072</v>
      </c>
      <c r="C1826">
        <v>3</v>
      </c>
      <c r="D1826">
        <v>18.100000000000001</v>
      </c>
      <c r="E1826">
        <v>0.3</v>
      </c>
      <c r="F1826">
        <v>0.6</v>
      </c>
      <c r="G1826">
        <v>0.6</v>
      </c>
      <c r="H1826">
        <v>195</v>
      </c>
      <c r="I1826">
        <v>3</v>
      </c>
      <c r="J1826">
        <v>3</v>
      </c>
      <c r="K1826">
        <v>63.5</v>
      </c>
      <c r="L1826" t="s">
        <v>121</v>
      </c>
      <c r="M1826" t="s">
        <v>116</v>
      </c>
    </row>
    <row r="1827" spans="2:13" x14ac:dyDescent="0.2">
      <c r="B1827">
        <v>3072</v>
      </c>
      <c r="C1827">
        <v>3</v>
      </c>
      <c r="D1827">
        <v>18.600000000000001</v>
      </c>
      <c r="E1827">
        <v>0.31</v>
      </c>
      <c r="F1827">
        <v>0.6</v>
      </c>
      <c r="G1827">
        <v>0.6</v>
      </c>
      <c r="H1827">
        <v>200</v>
      </c>
      <c r="I1827">
        <v>3</v>
      </c>
      <c r="J1827">
        <v>4</v>
      </c>
      <c r="K1827">
        <v>59.6</v>
      </c>
      <c r="L1827" t="s">
        <v>140</v>
      </c>
      <c r="M1827" t="s">
        <v>118</v>
      </c>
    </row>
    <row r="1828" spans="2:13" x14ac:dyDescent="0.2">
      <c r="B1828">
        <v>3072</v>
      </c>
      <c r="C1828">
        <v>4</v>
      </c>
      <c r="D1828">
        <v>0</v>
      </c>
      <c r="E1828">
        <v>0</v>
      </c>
      <c r="F1828">
        <v>0.6</v>
      </c>
      <c r="G1828">
        <v>0.6</v>
      </c>
      <c r="H1828">
        <v>0</v>
      </c>
      <c r="I1828">
        <v>0</v>
      </c>
      <c r="J1828">
        <v>0</v>
      </c>
      <c r="K1828">
        <v>50</v>
      </c>
      <c r="L1828" t="s">
        <v>113</v>
      </c>
      <c r="M1828" t="s">
        <v>114</v>
      </c>
    </row>
    <row r="1829" spans="2:13" x14ac:dyDescent="0.2">
      <c r="B1829">
        <v>3072</v>
      </c>
      <c r="C1829">
        <v>4</v>
      </c>
      <c r="D1829">
        <v>6</v>
      </c>
      <c r="E1829">
        <v>0.1</v>
      </c>
      <c r="F1829">
        <v>0.6</v>
      </c>
      <c r="G1829">
        <v>0.6</v>
      </c>
      <c r="H1829">
        <v>65</v>
      </c>
      <c r="I1829">
        <v>0</v>
      </c>
      <c r="J1829">
        <v>0</v>
      </c>
      <c r="K1829">
        <v>42.6</v>
      </c>
      <c r="L1829" t="s">
        <v>115</v>
      </c>
      <c r="M1829" t="s">
        <v>116</v>
      </c>
    </row>
    <row r="1830" spans="2:13" x14ac:dyDescent="0.2">
      <c r="B1830">
        <v>3072</v>
      </c>
      <c r="C1830">
        <v>4</v>
      </c>
      <c r="D1830">
        <v>6.1</v>
      </c>
      <c r="E1830">
        <v>0.1</v>
      </c>
      <c r="F1830">
        <v>0.6</v>
      </c>
      <c r="G1830">
        <v>0.6</v>
      </c>
      <c r="H1830">
        <v>66</v>
      </c>
      <c r="I1830">
        <v>0</v>
      </c>
      <c r="J1830">
        <v>1</v>
      </c>
      <c r="K1830">
        <v>42.3</v>
      </c>
      <c r="L1830" t="s">
        <v>129</v>
      </c>
      <c r="M1830" t="s">
        <v>118</v>
      </c>
    </row>
    <row r="1831" spans="2:13" x14ac:dyDescent="0.2">
      <c r="B1831">
        <v>3072</v>
      </c>
      <c r="C1831">
        <v>4</v>
      </c>
      <c r="D1831">
        <v>8.6</v>
      </c>
      <c r="E1831">
        <v>0.14000000000000001</v>
      </c>
      <c r="F1831">
        <v>0.6</v>
      </c>
      <c r="G1831">
        <v>0.6</v>
      </c>
      <c r="H1831">
        <v>93</v>
      </c>
      <c r="I1831">
        <v>1</v>
      </c>
      <c r="J1831">
        <v>2</v>
      </c>
      <c r="K1831">
        <v>41.6</v>
      </c>
      <c r="L1831" t="s">
        <v>149</v>
      </c>
      <c r="M1831" t="s">
        <v>118</v>
      </c>
    </row>
    <row r="1832" spans="2:13" x14ac:dyDescent="0.2">
      <c r="B1832">
        <v>3072</v>
      </c>
      <c r="C1832">
        <v>4</v>
      </c>
      <c r="D1832">
        <v>12.1</v>
      </c>
      <c r="E1832">
        <v>0.2</v>
      </c>
      <c r="F1832">
        <v>0.6</v>
      </c>
      <c r="G1832">
        <v>0.45</v>
      </c>
      <c r="H1832">
        <v>130</v>
      </c>
      <c r="I1832">
        <v>3</v>
      </c>
      <c r="J1832">
        <v>2</v>
      </c>
      <c r="K1832">
        <v>41.7</v>
      </c>
      <c r="L1832" t="s">
        <v>126</v>
      </c>
      <c r="M1832" t="s">
        <v>116</v>
      </c>
    </row>
    <row r="1833" spans="2:13" x14ac:dyDescent="0.2">
      <c r="B1833">
        <v>3072</v>
      </c>
      <c r="C1833">
        <v>4</v>
      </c>
      <c r="D1833">
        <v>18.100000000000001</v>
      </c>
      <c r="E1833">
        <v>0.3</v>
      </c>
      <c r="F1833">
        <v>0.45</v>
      </c>
      <c r="G1833">
        <v>0.45</v>
      </c>
      <c r="H1833">
        <v>179</v>
      </c>
      <c r="I1833">
        <v>5</v>
      </c>
      <c r="J1833">
        <v>2</v>
      </c>
      <c r="K1833">
        <v>41.1</v>
      </c>
      <c r="L1833" t="s">
        <v>115</v>
      </c>
      <c r="M1833" t="s">
        <v>116</v>
      </c>
    </row>
    <row r="1834" spans="2:13" x14ac:dyDescent="0.2">
      <c r="B1834">
        <v>3072</v>
      </c>
      <c r="C1834">
        <v>5</v>
      </c>
      <c r="D1834">
        <v>0</v>
      </c>
      <c r="E1834">
        <v>0</v>
      </c>
      <c r="F1834">
        <v>0.6</v>
      </c>
      <c r="G1834">
        <v>0.6</v>
      </c>
      <c r="H1834">
        <v>0</v>
      </c>
      <c r="I1834">
        <v>0</v>
      </c>
      <c r="J1834">
        <v>0</v>
      </c>
      <c r="K1834">
        <v>50</v>
      </c>
      <c r="L1834" t="s">
        <v>113</v>
      </c>
      <c r="M1834" t="s">
        <v>114</v>
      </c>
    </row>
    <row r="1835" spans="2:13" x14ac:dyDescent="0.2">
      <c r="B1835">
        <v>3072</v>
      </c>
      <c r="C1835">
        <v>5</v>
      </c>
      <c r="D1835">
        <v>6</v>
      </c>
      <c r="E1835">
        <v>0.1</v>
      </c>
      <c r="F1835">
        <v>0.6</v>
      </c>
      <c r="G1835">
        <v>0.6</v>
      </c>
      <c r="H1835">
        <v>65</v>
      </c>
      <c r="I1835">
        <v>1</v>
      </c>
      <c r="J1835">
        <v>0</v>
      </c>
      <c r="K1835">
        <v>40.5</v>
      </c>
      <c r="L1835" t="s">
        <v>115</v>
      </c>
      <c r="M1835" t="s">
        <v>116</v>
      </c>
    </row>
    <row r="1836" spans="2:13" x14ac:dyDescent="0.2">
      <c r="B1836">
        <v>3072</v>
      </c>
      <c r="C1836">
        <v>5</v>
      </c>
      <c r="D1836">
        <v>12.1</v>
      </c>
      <c r="E1836">
        <v>0.2</v>
      </c>
      <c r="F1836">
        <v>0.6</v>
      </c>
      <c r="G1836">
        <v>0.7</v>
      </c>
      <c r="H1836">
        <v>130</v>
      </c>
      <c r="I1836">
        <v>6</v>
      </c>
      <c r="J1836">
        <v>0</v>
      </c>
      <c r="K1836">
        <v>90.7</v>
      </c>
      <c r="L1836" t="s">
        <v>128</v>
      </c>
      <c r="M1836" t="s">
        <v>116</v>
      </c>
    </row>
    <row r="1837" spans="2:13" x14ac:dyDescent="0.2">
      <c r="B1837">
        <v>3072</v>
      </c>
      <c r="C1837">
        <v>5</v>
      </c>
      <c r="D1837">
        <v>14.1</v>
      </c>
      <c r="E1837">
        <v>0.24</v>
      </c>
      <c r="F1837">
        <v>0.7</v>
      </c>
      <c r="G1837">
        <v>0.7</v>
      </c>
      <c r="H1837">
        <v>156</v>
      </c>
      <c r="I1837">
        <v>7</v>
      </c>
      <c r="J1837">
        <v>1</v>
      </c>
      <c r="K1837">
        <v>80.099999999999994</v>
      </c>
      <c r="L1837" t="s">
        <v>117</v>
      </c>
      <c r="M1837" t="s">
        <v>118</v>
      </c>
    </row>
    <row r="1838" spans="2:13" x14ac:dyDescent="0.2">
      <c r="B1838">
        <v>3073</v>
      </c>
      <c r="C1838">
        <v>1</v>
      </c>
      <c r="D1838">
        <v>0</v>
      </c>
      <c r="E1838">
        <v>0</v>
      </c>
      <c r="F1838">
        <v>0.6</v>
      </c>
      <c r="G1838">
        <v>0.6</v>
      </c>
      <c r="H1838">
        <v>0</v>
      </c>
      <c r="I1838">
        <v>0</v>
      </c>
      <c r="J1838">
        <v>0</v>
      </c>
      <c r="K1838">
        <v>50</v>
      </c>
      <c r="L1838" t="s">
        <v>113</v>
      </c>
      <c r="M1838" t="s">
        <v>114</v>
      </c>
    </row>
    <row r="1839" spans="2:13" x14ac:dyDescent="0.2">
      <c r="B1839">
        <v>3073</v>
      </c>
      <c r="C1839">
        <v>1</v>
      </c>
      <c r="D1839">
        <v>6</v>
      </c>
      <c r="E1839">
        <v>0.1</v>
      </c>
      <c r="F1839">
        <v>0.6</v>
      </c>
      <c r="G1839">
        <v>0.6</v>
      </c>
      <c r="H1839">
        <v>65</v>
      </c>
      <c r="I1839">
        <v>1</v>
      </c>
      <c r="J1839">
        <v>0</v>
      </c>
      <c r="K1839">
        <v>44.2</v>
      </c>
      <c r="L1839" t="s">
        <v>115</v>
      </c>
      <c r="M1839" t="s">
        <v>116</v>
      </c>
    </row>
    <row r="1840" spans="2:13" x14ac:dyDescent="0.2">
      <c r="B1840">
        <v>3073</v>
      </c>
      <c r="C1840">
        <v>1</v>
      </c>
      <c r="D1840">
        <v>12.1</v>
      </c>
      <c r="E1840">
        <v>0.2</v>
      </c>
      <c r="F1840">
        <v>0.6</v>
      </c>
      <c r="G1840">
        <v>0.6</v>
      </c>
      <c r="H1840">
        <v>130</v>
      </c>
      <c r="I1840">
        <v>5</v>
      </c>
      <c r="J1840">
        <v>0</v>
      </c>
      <c r="K1840">
        <v>44.6</v>
      </c>
      <c r="L1840" t="s">
        <v>115</v>
      </c>
      <c r="M1840" t="s">
        <v>116</v>
      </c>
    </row>
    <row r="1841" spans="2:13" x14ac:dyDescent="0.2">
      <c r="B1841">
        <v>3073</v>
      </c>
      <c r="C1841">
        <v>1</v>
      </c>
      <c r="D1841">
        <v>18.100000000000001</v>
      </c>
      <c r="E1841">
        <v>0.3</v>
      </c>
      <c r="F1841">
        <v>0.6</v>
      </c>
      <c r="G1841">
        <v>0.6</v>
      </c>
      <c r="H1841">
        <v>195</v>
      </c>
      <c r="I1841">
        <v>5</v>
      </c>
      <c r="J1841">
        <v>0</v>
      </c>
      <c r="K1841">
        <v>43.8</v>
      </c>
      <c r="L1841" t="s">
        <v>115</v>
      </c>
      <c r="M1841" t="s">
        <v>116</v>
      </c>
    </row>
    <row r="1842" spans="2:13" x14ac:dyDescent="0.2">
      <c r="B1842">
        <v>3073</v>
      </c>
      <c r="C1842">
        <v>6</v>
      </c>
      <c r="D1842">
        <v>0</v>
      </c>
      <c r="E1842">
        <v>0</v>
      </c>
      <c r="F1842">
        <v>0.6</v>
      </c>
      <c r="G1842">
        <v>0.6</v>
      </c>
      <c r="H1842">
        <v>0</v>
      </c>
      <c r="I1842">
        <v>0</v>
      </c>
      <c r="J1842">
        <v>0</v>
      </c>
      <c r="K1842">
        <v>50</v>
      </c>
      <c r="L1842" t="s">
        <v>113</v>
      </c>
      <c r="M1842" t="s">
        <v>114</v>
      </c>
    </row>
    <row r="1843" spans="2:13" x14ac:dyDescent="0.2">
      <c r="B1843">
        <v>3073</v>
      </c>
      <c r="C1843">
        <v>6</v>
      </c>
      <c r="D1843">
        <v>5.7</v>
      </c>
      <c r="E1843">
        <v>0.09</v>
      </c>
      <c r="F1843">
        <v>0.6</v>
      </c>
      <c r="G1843">
        <v>0.6</v>
      </c>
      <c r="H1843">
        <v>62</v>
      </c>
      <c r="I1843">
        <v>0</v>
      </c>
      <c r="J1843">
        <v>1</v>
      </c>
      <c r="K1843">
        <v>44.7</v>
      </c>
      <c r="L1843" t="s">
        <v>117</v>
      </c>
      <c r="M1843" t="s">
        <v>118</v>
      </c>
    </row>
    <row r="1844" spans="2:13" x14ac:dyDescent="0.2">
      <c r="B1844">
        <v>3073</v>
      </c>
      <c r="C1844">
        <v>6</v>
      </c>
      <c r="D1844">
        <v>6</v>
      </c>
      <c r="E1844">
        <v>0.1</v>
      </c>
      <c r="F1844">
        <v>0.6</v>
      </c>
      <c r="G1844">
        <v>0.6</v>
      </c>
      <c r="H1844">
        <v>65</v>
      </c>
      <c r="I1844">
        <v>1</v>
      </c>
      <c r="J1844">
        <v>1</v>
      </c>
      <c r="K1844">
        <v>45</v>
      </c>
      <c r="L1844" t="s">
        <v>132</v>
      </c>
      <c r="M1844" t="s">
        <v>116</v>
      </c>
    </row>
    <row r="1845" spans="2:13" x14ac:dyDescent="0.2">
      <c r="B1845">
        <v>3073</v>
      </c>
      <c r="C1845">
        <v>6</v>
      </c>
      <c r="D1845">
        <v>12.1</v>
      </c>
      <c r="E1845">
        <v>0.2</v>
      </c>
      <c r="F1845">
        <v>0.6</v>
      </c>
      <c r="G1845">
        <v>0.6</v>
      </c>
      <c r="H1845">
        <v>130</v>
      </c>
      <c r="I1845">
        <v>5</v>
      </c>
      <c r="J1845">
        <v>1</v>
      </c>
      <c r="K1845">
        <v>45</v>
      </c>
      <c r="L1845" t="s">
        <v>115</v>
      </c>
      <c r="M1845" t="s">
        <v>116</v>
      </c>
    </row>
    <row r="1846" spans="2:13" x14ac:dyDescent="0.2">
      <c r="B1846">
        <v>3073</v>
      </c>
      <c r="C1846">
        <v>6</v>
      </c>
      <c r="D1846">
        <v>18.100000000000001</v>
      </c>
      <c r="E1846">
        <v>0.3</v>
      </c>
      <c r="F1846">
        <v>0.6</v>
      </c>
      <c r="G1846">
        <v>0.7</v>
      </c>
      <c r="H1846">
        <v>195</v>
      </c>
      <c r="I1846">
        <v>8</v>
      </c>
      <c r="J1846">
        <v>1</v>
      </c>
      <c r="K1846">
        <v>77.7</v>
      </c>
      <c r="L1846" t="s">
        <v>128</v>
      </c>
      <c r="M1846" t="s">
        <v>116</v>
      </c>
    </row>
    <row r="1847" spans="2:13" x14ac:dyDescent="0.2">
      <c r="B1847">
        <v>3073</v>
      </c>
      <c r="C1847">
        <v>7</v>
      </c>
      <c r="D1847">
        <v>0</v>
      </c>
      <c r="E1847">
        <v>0</v>
      </c>
      <c r="F1847">
        <v>0.6</v>
      </c>
      <c r="G1847">
        <v>0.6</v>
      </c>
      <c r="H1847">
        <v>0</v>
      </c>
      <c r="I1847">
        <v>0</v>
      </c>
      <c r="J1847">
        <v>0</v>
      </c>
      <c r="K1847">
        <v>50</v>
      </c>
      <c r="L1847" t="s">
        <v>113</v>
      </c>
      <c r="M1847" t="s">
        <v>114</v>
      </c>
    </row>
    <row r="1848" spans="2:13" x14ac:dyDescent="0.2">
      <c r="B1848">
        <v>3073</v>
      </c>
      <c r="C1848">
        <v>7</v>
      </c>
      <c r="D1848">
        <v>6</v>
      </c>
      <c r="E1848">
        <v>0.1</v>
      </c>
      <c r="F1848">
        <v>0.6</v>
      </c>
      <c r="G1848">
        <v>0.6</v>
      </c>
      <c r="H1848">
        <v>65</v>
      </c>
      <c r="I1848">
        <v>0</v>
      </c>
      <c r="J1848">
        <v>0</v>
      </c>
      <c r="K1848">
        <v>43</v>
      </c>
      <c r="L1848" t="s">
        <v>115</v>
      </c>
      <c r="M1848" t="s">
        <v>116</v>
      </c>
    </row>
    <row r="1849" spans="2:13" x14ac:dyDescent="0.2">
      <c r="B1849">
        <v>3073</v>
      </c>
      <c r="C1849">
        <v>7</v>
      </c>
      <c r="D1849">
        <v>7.4</v>
      </c>
      <c r="E1849">
        <v>0.12</v>
      </c>
      <c r="F1849">
        <v>0.6</v>
      </c>
      <c r="G1849">
        <v>0.6</v>
      </c>
      <c r="H1849">
        <v>80</v>
      </c>
      <c r="I1849">
        <v>2</v>
      </c>
      <c r="J1849">
        <v>1</v>
      </c>
      <c r="K1849">
        <v>68.599999999999994</v>
      </c>
      <c r="L1849" t="s">
        <v>117</v>
      </c>
      <c r="M1849" t="s">
        <v>118</v>
      </c>
    </row>
    <row r="1850" spans="2:13" x14ac:dyDescent="0.2">
      <c r="B1850">
        <v>3073</v>
      </c>
      <c r="C1850">
        <v>7</v>
      </c>
      <c r="D1850">
        <v>10.4</v>
      </c>
      <c r="E1850">
        <v>0.17</v>
      </c>
      <c r="F1850">
        <v>0.6</v>
      </c>
      <c r="G1850">
        <v>0.6</v>
      </c>
      <c r="H1850">
        <v>112</v>
      </c>
      <c r="I1850">
        <v>2</v>
      </c>
      <c r="J1850">
        <v>2</v>
      </c>
      <c r="K1850">
        <v>58.9</v>
      </c>
      <c r="L1850" t="s">
        <v>119</v>
      </c>
      <c r="M1850" t="s">
        <v>118</v>
      </c>
    </row>
    <row r="1851" spans="2:13" x14ac:dyDescent="0.2">
      <c r="B1851">
        <v>3073</v>
      </c>
      <c r="C1851">
        <v>7</v>
      </c>
      <c r="D1851">
        <v>12.1</v>
      </c>
      <c r="E1851">
        <v>0.2</v>
      </c>
      <c r="F1851">
        <v>0.6</v>
      </c>
      <c r="G1851">
        <v>0.45</v>
      </c>
      <c r="H1851">
        <v>130</v>
      </c>
      <c r="I1851">
        <v>6</v>
      </c>
      <c r="J1851">
        <v>2</v>
      </c>
      <c r="K1851">
        <v>59.4</v>
      </c>
      <c r="L1851" t="s">
        <v>120</v>
      </c>
      <c r="M1851" t="s">
        <v>116</v>
      </c>
    </row>
    <row r="1852" spans="2:13" x14ac:dyDescent="0.2">
      <c r="B1852">
        <v>3073</v>
      </c>
      <c r="C1852">
        <v>7</v>
      </c>
      <c r="D1852">
        <v>18.100000000000001</v>
      </c>
      <c r="E1852">
        <v>0.3</v>
      </c>
      <c r="F1852">
        <v>0.45</v>
      </c>
      <c r="G1852">
        <v>0.45</v>
      </c>
      <c r="H1852">
        <v>179</v>
      </c>
      <c r="I1852">
        <v>16</v>
      </c>
      <c r="J1852">
        <v>2</v>
      </c>
      <c r="K1852">
        <v>67.7</v>
      </c>
      <c r="L1852" t="s">
        <v>115</v>
      </c>
      <c r="M1852" t="s">
        <v>116</v>
      </c>
    </row>
    <row r="1853" spans="2:13" x14ac:dyDescent="0.2">
      <c r="B1853">
        <v>3074</v>
      </c>
      <c r="C1853">
        <v>1</v>
      </c>
      <c r="D1853">
        <v>0</v>
      </c>
      <c r="E1853">
        <v>0</v>
      </c>
      <c r="F1853">
        <v>0.6</v>
      </c>
      <c r="G1853">
        <v>0.6</v>
      </c>
      <c r="H1853">
        <v>0</v>
      </c>
      <c r="I1853">
        <v>0</v>
      </c>
      <c r="J1853">
        <v>0</v>
      </c>
      <c r="K1853">
        <v>50</v>
      </c>
      <c r="L1853" t="s">
        <v>113</v>
      </c>
      <c r="M1853" t="s">
        <v>114</v>
      </c>
    </row>
    <row r="1854" spans="2:13" x14ac:dyDescent="0.2">
      <c r="B1854">
        <v>3074</v>
      </c>
      <c r="C1854">
        <v>1</v>
      </c>
      <c r="D1854">
        <v>6</v>
      </c>
      <c r="E1854">
        <v>0.1</v>
      </c>
      <c r="F1854">
        <v>0.6</v>
      </c>
      <c r="G1854">
        <v>0.6</v>
      </c>
      <c r="H1854">
        <v>65</v>
      </c>
      <c r="I1854">
        <v>0</v>
      </c>
      <c r="J1854">
        <v>0</v>
      </c>
      <c r="K1854">
        <v>90.1</v>
      </c>
      <c r="L1854" t="s">
        <v>115</v>
      </c>
      <c r="M1854" t="s">
        <v>116</v>
      </c>
    </row>
    <row r="1855" spans="2:13" x14ac:dyDescent="0.2">
      <c r="B1855">
        <v>3074</v>
      </c>
      <c r="C1855">
        <v>1</v>
      </c>
      <c r="D1855">
        <v>12.1</v>
      </c>
      <c r="E1855">
        <v>0.2</v>
      </c>
      <c r="F1855">
        <v>0.6</v>
      </c>
      <c r="G1855">
        <v>0.6</v>
      </c>
      <c r="H1855">
        <v>130</v>
      </c>
      <c r="I1855">
        <v>3</v>
      </c>
      <c r="J1855">
        <v>0</v>
      </c>
      <c r="K1855">
        <v>91.1</v>
      </c>
      <c r="L1855" t="s">
        <v>115</v>
      </c>
      <c r="M1855" t="s">
        <v>116</v>
      </c>
    </row>
    <row r="1856" spans="2:13" x14ac:dyDescent="0.2">
      <c r="B1856">
        <v>3074</v>
      </c>
      <c r="C1856">
        <v>1</v>
      </c>
      <c r="D1856">
        <v>18.100000000000001</v>
      </c>
      <c r="E1856">
        <v>0.3</v>
      </c>
      <c r="F1856">
        <v>0.6</v>
      </c>
      <c r="G1856">
        <v>0.7</v>
      </c>
      <c r="H1856">
        <v>195</v>
      </c>
      <c r="I1856">
        <v>10</v>
      </c>
      <c r="J1856">
        <v>0</v>
      </c>
      <c r="K1856">
        <v>90</v>
      </c>
      <c r="L1856" t="s">
        <v>128</v>
      </c>
      <c r="M1856" t="s">
        <v>116</v>
      </c>
    </row>
    <row r="1857" spans="2:13" x14ac:dyDescent="0.2">
      <c r="B1857">
        <v>3074</v>
      </c>
      <c r="C1857">
        <v>2</v>
      </c>
      <c r="D1857">
        <v>0</v>
      </c>
      <c r="E1857">
        <v>0</v>
      </c>
      <c r="F1857">
        <v>0.6</v>
      </c>
      <c r="G1857">
        <v>0.6</v>
      </c>
      <c r="H1857">
        <v>0</v>
      </c>
      <c r="I1857">
        <v>0</v>
      </c>
      <c r="J1857">
        <v>0</v>
      </c>
      <c r="K1857">
        <v>50</v>
      </c>
      <c r="L1857" t="s">
        <v>113</v>
      </c>
      <c r="M1857" t="s">
        <v>114</v>
      </c>
    </row>
    <row r="1858" spans="2:13" x14ac:dyDescent="0.2">
      <c r="B1858">
        <v>3074</v>
      </c>
      <c r="C1858">
        <v>2</v>
      </c>
      <c r="D1858">
        <v>5.9</v>
      </c>
      <c r="E1858">
        <v>0.1</v>
      </c>
      <c r="F1858">
        <v>0.6</v>
      </c>
      <c r="G1858">
        <v>0.6</v>
      </c>
      <c r="H1858">
        <v>64</v>
      </c>
      <c r="I1858">
        <v>0</v>
      </c>
      <c r="J1858">
        <v>1</v>
      </c>
      <c r="K1858">
        <v>42.4</v>
      </c>
      <c r="L1858" t="s">
        <v>117</v>
      </c>
      <c r="M1858" t="s">
        <v>118</v>
      </c>
    </row>
    <row r="1859" spans="2:13" x14ac:dyDescent="0.2">
      <c r="B1859">
        <v>3074</v>
      </c>
      <c r="C1859">
        <v>2</v>
      </c>
      <c r="D1859">
        <v>6</v>
      </c>
      <c r="E1859">
        <v>0.1</v>
      </c>
      <c r="F1859">
        <v>0.6</v>
      </c>
      <c r="G1859">
        <v>0.6</v>
      </c>
      <c r="H1859">
        <v>65</v>
      </c>
      <c r="I1859">
        <v>0</v>
      </c>
      <c r="J1859">
        <v>1</v>
      </c>
      <c r="K1859">
        <v>42.6</v>
      </c>
      <c r="L1859" t="s">
        <v>132</v>
      </c>
      <c r="M1859" t="s">
        <v>116</v>
      </c>
    </row>
    <row r="1860" spans="2:13" x14ac:dyDescent="0.2">
      <c r="B1860">
        <v>3074</v>
      </c>
      <c r="C1860">
        <v>2</v>
      </c>
      <c r="D1860">
        <v>7.3</v>
      </c>
      <c r="E1860">
        <v>0.12</v>
      </c>
      <c r="F1860">
        <v>0.6</v>
      </c>
      <c r="G1860">
        <v>0.6</v>
      </c>
      <c r="H1860">
        <v>79</v>
      </c>
      <c r="I1860">
        <v>0</v>
      </c>
      <c r="J1860">
        <v>2</v>
      </c>
      <c r="K1860">
        <v>42.9</v>
      </c>
      <c r="L1860" t="s">
        <v>119</v>
      </c>
      <c r="M1860" t="s">
        <v>118</v>
      </c>
    </row>
    <row r="1861" spans="2:13" x14ac:dyDescent="0.2">
      <c r="B1861">
        <v>3074</v>
      </c>
      <c r="C1861">
        <v>2</v>
      </c>
      <c r="D1861">
        <v>12.1</v>
      </c>
      <c r="E1861">
        <v>0.2</v>
      </c>
      <c r="F1861">
        <v>0.6</v>
      </c>
      <c r="G1861">
        <v>0.6</v>
      </c>
      <c r="H1861">
        <v>130</v>
      </c>
      <c r="I1861">
        <v>2</v>
      </c>
      <c r="J1861">
        <v>2</v>
      </c>
      <c r="K1861">
        <v>42.5</v>
      </c>
      <c r="L1861" t="s">
        <v>132</v>
      </c>
      <c r="M1861" t="s">
        <v>116</v>
      </c>
    </row>
    <row r="1862" spans="2:13" x14ac:dyDescent="0.2">
      <c r="B1862">
        <v>3074</v>
      </c>
      <c r="C1862">
        <v>2</v>
      </c>
      <c r="D1862">
        <v>18.100000000000001</v>
      </c>
      <c r="E1862">
        <v>0.3</v>
      </c>
      <c r="F1862">
        <v>0.6</v>
      </c>
      <c r="G1862">
        <v>0.6</v>
      </c>
      <c r="H1862">
        <v>195</v>
      </c>
      <c r="I1862">
        <v>7</v>
      </c>
      <c r="J1862">
        <v>2</v>
      </c>
      <c r="K1862">
        <v>58.5</v>
      </c>
      <c r="L1862" t="s">
        <v>115</v>
      </c>
      <c r="M1862" t="s">
        <v>116</v>
      </c>
    </row>
    <row r="1863" spans="2:13" x14ac:dyDescent="0.2">
      <c r="B1863">
        <v>3074</v>
      </c>
      <c r="C1863">
        <v>3</v>
      </c>
      <c r="D1863">
        <v>0</v>
      </c>
      <c r="E1863">
        <v>0</v>
      </c>
      <c r="F1863">
        <v>0.6</v>
      </c>
      <c r="G1863">
        <v>0.6</v>
      </c>
      <c r="H1863">
        <v>0</v>
      </c>
      <c r="I1863">
        <v>0</v>
      </c>
      <c r="J1863">
        <v>0</v>
      </c>
      <c r="K1863">
        <v>50</v>
      </c>
      <c r="L1863" t="s">
        <v>113</v>
      </c>
      <c r="M1863" t="s">
        <v>114</v>
      </c>
    </row>
    <row r="1864" spans="2:13" x14ac:dyDescent="0.2">
      <c r="B1864">
        <v>3074</v>
      </c>
      <c r="C1864">
        <v>3</v>
      </c>
      <c r="D1864">
        <v>6</v>
      </c>
      <c r="E1864">
        <v>0.1</v>
      </c>
      <c r="F1864">
        <v>0.6</v>
      </c>
      <c r="G1864">
        <v>0.6</v>
      </c>
      <c r="H1864">
        <v>65</v>
      </c>
      <c r="I1864">
        <v>0</v>
      </c>
      <c r="J1864">
        <v>0</v>
      </c>
      <c r="K1864">
        <v>41.7</v>
      </c>
      <c r="L1864" t="s">
        <v>115</v>
      </c>
      <c r="M1864" t="s">
        <v>116</v>
      </c>
    </row>
    <row r="1865" spans="2:13" x14ac:dyDescent="0.2">
      <c r="B1865">
        <v>3074</v>
      </c>
      <c r="C1865">
        <v>3</v>
      </c>
      <c r="D1865">
        <v>10.7</v>
      </c>
      <c r="E1865">
        <v>0.18</v>
      </c>
      <c r="F1865">
        <v>0.6</v>
      </c>
      <c r="G1865">
        <v>0.6</v>
      </c>
      <c r="H1865">
        <v>115</v>
      </c>
      <c r="I1865">
        <v>3</v>
      </c>
      <c r="J1865">
        <v>1</v>
      </c>
      <c r="K1865">
        <v>80.599999999999994</v>
      </c>
      <c r="L1865" t="s">
        <v>117</v>
      </c>
      <c r="M1865" t="s">
        <v>118</v>
      </c>
    </row>
    <row r="1866" spans="2:13" x14ac:dyDescent="0.2">
      <c r="B1866">
        <v>3074</v>
      </c>
      <c r="C1866">
        <v>3</v>
      </c>
      <c r="D1866">
        <v>12.1</v>
      </c>
      <c r="E1866">
        <v>0.2</v>
      </c>
      <c r="F1866">
        <v>0.6</v>
      </c>
      <c r="G1866">
        <v>0.7</v>
      </c>
      <c r="H1866">
        <v>130</v>
      </c>
      <c r="I1866">
        <v>4</v>
      </c>
      <c r="J1866">
        <v>1</v>
      </c>
      <c r="K1866">
        <v>82.5</v>
      </c>
      <c r="L1866" t="s">
        <v>143</v>
      </c>
      <c r="M1866" t="s">
        <v>116</v>
      </c>
    </row>
    <row r="1867" spans="2:13" x14ac:dyDescent="0.2">
      <c r="B1867">
        <v>3074</v>
      </c>
      <c r="C1867">
        <v>4</v>
      </c>
      <c r="D1867">
        <v>0</v>
      </c>
      <c r="E1867">
        <v>0</v>
      </c>
      <c r="F1867">
        <v>0.6</v>
      </c>
      <c r="G1867">
        <v>0.6</v>
      </c>
      <c r="H1867">
        <v>0</v>
      </c>
      <c r="I1867">
        <v>0</v>
      </c>
      <c r="J1867">
        <v>0</v>
      </c>
      <c r="K1867">
        <v>50</v>
      </c>
      <c r="L1867" t="s">
        <v>113</v>
      </c>
      <c r="M1867" t="s">
        <v>114</v>
      </c>
    </row>
    <row r="1868" spans="2:13" x14ac:dyDescent="0.2">
      <c r="B1868">
        <v>3074</v>
      </c>
      <c r="C1868">
        <v>4</v>
      </c>
      <c r="D1868">
        <v>6</v>
      </c>
      <c r="E1868">
        <v>0.1</v>
      </c>
      <c r="F1868">
        <v>0.6</v>
      </c>
      <c r="G1868">
        <v>0.6</v>
      </c>
      <c r="H1868">
        <v>65</v>
      </c>
      <c r="I1868">
        <v>0</v>
      </c>
      <c r="J1868">
        <v>0</v>
      </c>
      <c r="K1868">
        <v>41.7</v>
      </c>
      <c r="L1868" t="s">
        <v>115</v>
      </c>
      <c r="M1868" t="s">
        <v>116</v>
      </c>
    </row>
    <row r="1869" spans="2:13" x14ac:dyDescent="0.2">
      <c r="B1869">
        <v>3074</v>
      </c>
      <c r="C1869">
        <v>4</v>
      </c>
      <c r="D1869">
        <v>12.1</v>
      </c>
      <c r="E1869">
        <v>0.2</v>
      </c>
      <c r="F1869">
        <v>0.6</v>
      </c>
      <c r="G1869">
        <v>0.7</v>
      </c>
      <c r="H1869">
        <v>130</v>
      </c>
      <c r="I1869">
        <v>1</v>
      </c>
      <c r="J1869">
        <v>0</v>
      </c>
      <c r="K1869">
        <v>91.1</v>
      </c>
      <c r="L1869" t="s">
        <v>128</v>
      </c>
      <c r="M1869" t="s">
        <v>116</v>
      </c>
    </row>
    <row r="1870" spans="2:13" x14ac:dyDescent="0.2">
      <c r="B1870">
        <v>3074</v>
      </c>
      <c r="C1870">
        <v>4</v>
      </c>
      <c r="D1870">
        <v>12.8</v>
      </c>
      <c r="E1870">
        <v>0.21</v>
      </c>
      <c r="F1870">
        <v>0.7</v>
      </c>
      <c r="G1870">
        <v>0.7</v>
      </c>
      <c r="H1870">
        <v>139</v>
      </c>
      <c r="I1870">
        <v>1</v>
      </c>
      <c r="J1870">
        <v>1</v>
      </c>
      <c r="K1870">
        <v>74.5</v>
      </c>
      <c r="L1870" t="s">
        <v>122</v>
      </c>
      <c r="M1870" t="s">
        <v>118</v>
      </c>
    </row>
    <row r="1871" spans="2:13" x14ac:dyDescent="0.2">
      <c r="B1871">
        <v>3074</v>
      </c>
      <c r="C1871">
        <v>5</v>
      </c>
      <c r="D1871">
        <v>0</v>
      </c>
      <c r="E1871">
        <v>0</v>
      </c>
      <c r="F1871">
        <v>0.6</v>
      </c>
      <c r="G1871">
        <v>0.6</v>
      </c>
      <c r="H1871">
        <v>0</v>
      </c>
      <c r="I1871">
        <v>0</v>
      </c>
      <c r="J1871">
        <v>0</v>
      </c>
      <c r="K1871">
        <v>50</v>
      </c>
      <c r="L1871" t="s">
        <v>113</v>
      </c>
      <c r="M1871" t="s">
        <v>114</v>
      </c>
    </row>
    <row r="1872" spans="2:13" x14ac:dyDescent="0.2">
      <c r="B1872">
        <v>3074</v>
      </c>
      <c r="C1872">
        <v>5</v>
      </c>
      <c r="D1872">
        <v>6</v>
      </c>
      <c r="E1872">
        <v>0.1</v>
      </c>
      <c r="F1872">
        <v>0.6</v>
      </c>
      <c r="G1872">
        <v>0.6</v>
      </c>
      <c r="H1872">
        <v>65</v>
      </c>
      <c r="I1872">
        <v>0</v>
      </c>
      <c r="J1872">
        <v>0</v>
      </c>
      <c r="K1872">
        <v>40.1</v>
      </c>
      <c r="L1872" t="s">
        <v>115</v>
      </c>
      <c r="M1872" t="s">
        <v>116</v>
      </c>
    </row>
    <row r="1873" spans="2:13" x14ac:dyDescent="0.2">
      <c r="B1873">
        <v>3074</v>
      </c>
      <c r="C1873">
        <v>5</v>
      </c>
      <c r="D1873">
        <v>6.8</v>
      </c>
      <c r="E1873">
        <v>0.11</v>
      </c>
      <c r="F1873">
        <v>0.6</v>
      </c>
      <c r="G1873">
        <v>0.6</v>
      </c>
      <c r="H1873">
        <v>73</v>
      </c>
      <c r="I1873">
        <v>0</v>
      </c>
      <c r="J1873">
        <v>1</v>
      </c>
      <c r="K1873">
        <v>40.4</v>
      </c>
      <c r="L1873" t="s">
        <v>117</v>
      </c>
      <c r="M1873" t="s">
        <v>118</v>
      </c>
    </row>
    <row r="1874" spans="2:13" x14ac:dyDescent="0.2">
      <c r="B1874">
        <v>3074</v>
      </c>
      <c r="C1874">
        <v>5</v>
      </c>
      <c r="D1874">
        <v>10.5</v>
      </c>
      <c r="E1874">
        <v>0.18</v>
      </c>
      <c r="F1874">
        <v>0.6</v>
      </c>
      <c r="G1874">
        <v>0.6</v>
      </c>
      <c r="H1874">
        <v>113</v>
      </c>
      <c r="I1874">
        <v>3</v>
      </c>
      <c r="J1874">
        <v>2</v>
      </c>
      <c r="K1874">
        <v>65.5</v>
      </c>
      <c r="L1874" t="s">
        <v>119</v>
      </c>
      <c r="M1874" t="s">
        <v>118</v>
      </c>
    </row>
    <row r="1875" spans="2:13" x14ac:dyDescent="0.2">
      <c r="B1875">
        <v>3074</v>
      </c>
      <c r="C1875">
        <v>5</v>
      </c>
      <c r="D1875">
        <v>12.1</v>
      </c>
      <c r="E1875">
        <v>0.2</v>
      </c>
      <c r="F1875">
        <v>0.6</v>
      </c>
      <c r="G1875">
        <v>0.6</v>
      </c>
      <c r="H1875">
        <v>130</v>
      </c>
      <c r="I1875">
        <v>4</v>
      </c>
      <c r="J1875">
        <v>2</v>
      </c>
      <c r="K1875">
        <v>70</v>
      </c>
      <c r="L1875" t="s">
        <v>146</v>
      </c>
      <c r="M1875" t="s">
        <v>116</v>
      </c>
    </row>
    <row r="1876" spans="2:13" x14ac:dyDescent="0.2">
      <c r="B1876">
        <v>3074</v>
      </c>
      <c r="C1876">
        <v>5</v>
      </c>
      <c r="D1876">
        <v>18.100000000000001</v>
      </c>
      <c r="E1876">
        <v>0.3</v>
      </c>
      <c r="F1876">
        <v>0.6</v>
      </c>
      <c r="G1876">
        <v>0.6</v>
      </c>
      <c r="H1876">
        <v>195</v>
      </c>
      <c r="I1876">
        <v>7</v>
      </c>
      <c r="J1876">
        <v>2</v>
      </c>
      <c r="K1876">
        <v>70.7</v>
      </c>
      <c r="L1876" t="s">
        <v>115</v>
      </c>
      <c r="M1876" t="s">
        <v>116</v>
      </c>
    </row>
    <row r="1877" spans="2:13" x14ac:dyDescent="0.2">
      <c r="B1877">
        <v>3075</v>
      </c>
      <c r="C1877">
        <v>1</v>
      </c>
      <c r="D1877">
        <v>0</v>
      </c>
      <c r="E1877">
        <v>0</v>
      </c>
      <c r="F1877">
        <v>0.6</v>
      </c>
      <c r="G1877">
        <v>0.6</v>
      </c>
      <c r="H1877">
        <v>0</v>
      </c>
      <c r="I1877">
        <v>0</v>
      </c>
      <c r="J1877">
        <v>0</v>
      </c>
      <c r="K1877">
        <v>50</v>
      </c>
      <c r="L1877" t="s">
        <v>113</v>
      </c>
      <c r="M1877" t="s">
        <v>114</v>
      </c>
    </row>
    <row r="1878" spans="2:13" x14ac:dyDescent="0.2">
      <c r="B1878">
        <v>3075</v>
      </c>
      <c r="C1878">
        <v>1</v>
      </c>
      <c r="D1878">
        <v>6</v>
      </c>
      <c r="E1878">
        <v>0.1</v>
      </c>
      <c r="F1878">
        <v>0.6</v>
      </c>
      <c r="G1878">
        <v>0.6</v>
      </c>
      <c r="H1878">
        <v>65</v>
      </c>
      <c r="I1878">
        <v>0</v>
      </c>
      <c r="J1878">
        <v>0</v>
      </c>
      <c r="K1878">
        <v>40.9</v>
      </c>
      <c r="L1878" t="s">
        <v>115</v>
      </c>
      <c r="M1878" t="s">
        <v>116</v>
      </c>
    </row>
    <row r="1879" spans="2:13" x14ac:dyDescent="0.2">
      <c r="B1879">
        <v>3075</v>
      </c>
      <c r="C1879">
        <v>1</v>
      </c>
      <c r="D1879">
        <v>12.1</v>
      </c>
      <c r="E1879">
        <v>0.2</v>
      </c>
      <c r="F1879">
        <v>0.6</v>
      </c>
      <c r="G1879">
        <v>0.7</v>
      </c>
      <c r="H1879">
        <v>130</v>
      </c>
      <c r="I1879">
        <v>5</v>
      </c>
      <c r="J1879">
        <v>0</v>
      </c>
      <c r="K1879">
        <v>89.8</v>
      </c>
      <c r="L1879" t="s">
        <v>128</v>
      </c>
      <c r="M1879" t="s">
        <v>116</v>
      </c>
    </row>
    <row r="1880" spans="2:13" x14ac:dyDescent="0.2">
      <c r="B1880">
        <v>3075</v>
      </c>
      <c r="C1880">
        <v>1</v>
      </c>
      <c r="D1880">
        <v>14.5</v>
      </c>
      <c r="E1880">
        <v>0.24</v>
      </c>
      <c r="F1880">
        <v>0.7</v>
      </c>
      <c r="G1880">
        <v>0.7</v>
      </c>
      <c r="H1880">
        <v>160</v>
      </c>
      <c r="I1880">
        <v>9</v>
      </c>
      <c r="J1880">
        <v>1</v>
      </c>
      <c r="K1880">
        <v>77.5</v>
      </c>
      <c r="L1880" t="s">
        <v>122</v>
      </c>
      <c r="M1880" t="s">
        <v>118</v>
      </c>
    </row>
    <row r="1881" spans="2:13" x14ac:dyDescent="0.2">
      <c r="B1881">
        <v>3075</v>
      </c>
      <c r="C1881">
        <v>2</v>
      </c>
      <c r="D1881">
        <v>0</v>
      </c>
      <c r="E1881">
        <v>0</v>
      </c>
      <c r="F1881">
        <v>0.6</v>
      </c>
      <c r="G1881">
        <v>0.6</v>
      </c>
      <c r="H1881">
        <v>0</v>
      </c>
      <c r="I1881">
        <v>0</v>
      </c>
      <c r="J1881">
        <v>0</v>
      </c>
      <c r="K1881">
        <v>50</v>
      </c>
      <c r="L1881" t="s">
        <v>113</v>
      </c>
      <c r="M1881" t="s">
        <v>114</v>
      </c>
    </row>
    <row r="1882" spans="2:13" x14ac:dyDescent="0.2">
      <c r="B1882">
        <v>3075</v>
      </c>
      <c r="C1882">
        <v>2</v>
      </c>
      <c r="D1882">
        <v>6</v>
      </c>
      <c r="E1882">
        <v>0.1</v>
      </c>
      <c r="F1882">
        <v>0.6</v>
      </c>
      <c r="G1882">
        <v>0.6</v>
      </c>
      <c r="H1882">
        <v>65</v>
      </c>
      <c r="I1882">
        <v>0</v>
      </c>
      <c r="J1882">
        <v>0</v>
      </c>
      <c r="K1882">
        <v>92.6</v>
      </c>
      <c r="L1882" t="s">
        <v>115</v>
      </c>
      <c r="M1882" t="s">
        <v>116</v>
      </c>
    </row>
    <row r="1883" spans="2:13" x14ac:dyDescent="0.2">
      <c r="B1883">
        <v>3075</v>
      </c>
      <c r="C1883">
        <v>2</v>
      </c>
      <c r="D1883">
        <v>11</v>
      </c>
      <c r="E1883">
        <v>0.18</v>
      </c>
      <c r="F1883">
        <v>0.6</v>
      </c>
      <c r="G1883">
        <v>0.6</v>
      </c>
      <c r="H1883">
        <v>119</v>
      </c>
      <c r="I1883">
        <v>2</v>
      </c>
      <c r="J1883">
        <v>1</v>
      </c>
      <c r="K1883">
        <v>66.400000000000006</v>
      </c>
      <c r="L1883" t="s">
        <v>122</v>
      </c>
      <c r="M1883" t="s">
        <v>118</v>
      </c>
    </row>
    <row r="1884" spans="2:13" x14ac:dyDescent="0.2">
      <c r="B1884">
        <v>3075</v>
      </c>
      <c r="C1884">
        <v>2</v>
      </c>
      <c r="D1884">
        <v>12.1</v>
      </c>
      <c r="E1884">
        <v>0.2</v>
      </c>
      <c r="F1884">
        <v>0.6</v>
      </c>
      <c r="G1884">
        <v>0.6</v>
      </c>
      <c r="H1884">
        <v>130</v>
      </c>
      <c r="I1884">
        <v>2</v>
      </c>
      <c r="J1884">
        <v>1</v>
      </c>
      <c r="K1884">
        <v>65.7</v>
      </c>
      <c r="L1884" t="s">
        <v>132</v>
      </c>
      <c r="M1884" t="s">
        <v>116</v>
      </c>
    </row>
    <row r="1885" spans="2:13" x14ac:dyDescent="0.2">
      <c r="B1885">
        <v>3075</v>
      </c>
      <c r="C1885">
        <v>2</v>
      </c>
      <c r="D1885">
        <v>12.3</v>
      </c>
      <c r="E1885">
        <v>0.21</v>
      </c>
      <c r="F1885">
        <v>0.6</v>
      </c>
      <c r="G1885">
        <v>0.6</v>
      </c>
      <c r="H1885">
        <v>133</v>
      </c>
      <c r="I1885">
        <v>2</v>
      </c>
      <c r="J1885">
        <v>2</v>
      </c>
      <c r="K1885">
        <v>57.1</v>
      </c>
      <c r="L1885" t="s">
        <v>127</v>
      </c>
      <c r="M1885" t="s">
        <v>118</v>
      </c>
    </row>
    <row r="1886" spans="2:13" x14ac:dyDescent="0.2">
      <c r="B1886">
        <v>3075</v>
      </c>
      <c r="C1886">
        <v>2</v>
      </c>
      <c r="D1886">
        <v>15.3</v>
      </c>
      <c r="E1886">
        <v>0.25</v>
      </c>
      <c r="F1886">
        <v>0.6</v>
      </c>
      <c r="G1886">
        <v>0.6</v>
      </c>
      <c r="H1886">
        <v>165</v>
      </c>
      <c r="I1886">
        <v>5</v>
      </c>
      <c r="J1886">
        <v>3</v>
      </c>
      <c r="K1886">
        <v>52.8</v>
      </c>
      <c r="L1886" t="s">
        <v>125</v>
      </c>
      <c r="M1886" t="s">
        <v>118</v>
      </c>
    </row>
    <row r="1887" spans="2:13" x14ac:dyDescent="0.2">
      <c r="B1887">
        <v>3075</v>
      </c>
      <c r="C1887">
        <v>2</v>
      </c>
      <c r="D1887">
        <v>18.100000000000001</v>
      </c>
      <c r="E1887">
        <v>0.3</v>
      </c>
      <c r="F1887">
        <v>0.6</v>
      </c>
      <c r="G1887">
        <v>0.45</v>
      </c>
      <c r="H1887">
        <v>195</v>
      </c>
      <c r="I1887">
        <v>8</v>
      </c>
      <c r="J1887">
        <v>3</v>
      </c>
      <c r="K1887">
        <v>53.2</v>
      </c>
      <c r="L1887" t="s">
        <v>126</v>
      </c>
      <c r="M1887" t="s">
        <v>116</v>
      </c>
    </row>
    <row r="1888" spans="2:13" x14ac:dyDescent="0.2">
      <c r="B1888">
        <v>3075</v>
      </c>
      <c r="C1888">
        <v>3</v>
      </c>
      <c r="D1888">
        <v>0</v>
      </c>
      <c r="E1888">
        <v>0</v>
      </c>
      <c r="F1888">
        <v>0.6</v>
      </c>
      <c r="G1888">
        <v>0.6</v>
      </c>
      <c r="H1888">
        <v>0</v>
      </c>
      <c r="I1888">
        <v>0</v>
      </c>
      <c r="J1888">
        <v>0</v>
      </c>
      <c r="K1888">
        <v>50</v>
      </c>
      <c r="L1888" t="s">
        <v>113</v>
      </c>
      <c r="M1888" t="s">
        <v>114</v>
      </c>
    </row>
    <row r="1889" spans="2:13" x14ac:dyDescent="0.2">
      <c r="B1889">
        <v>3075</v>
      </c>
      <c r="C1889">
        <v>3</v>
      </c>
      <c r="D1889">
        <v>6</v>
      </c>
      <c r="E1889">
        <v>0.1</v>
      </c>
      <c r="F1889">
        <v>0.6</v>
      </c>
      <c r="G1889">
        <v>0.6</v>
      </c>
      <c r="H1889">
        <v>65</v>
      </c>
      <c r="I1889">
        <v>0</v>
      </c>
      <c r="J1889">
        <v>0</v>
      </c>
      <c r="K1889">
        <v>40.5</v>
      </c>
      <c r="L1889" t="s">
        <v>115</v>
      </c>
      <c r="M1889" t="s">
        <v>116</v>
      </c>
    </row>
    <row r="1890" spans="2:13" x14ac:dyDescent="0.2">
      <c r="B1890">
        <v>3075</v>
      </c>
      <c r="C1890">
        <v>3</v>
      </c>
      <c r="D1890">
        <v>10.7</v>
      </c>
      <c r="E1890">
        <v>0.18</v>
      </c>
      <c r="F1890">
        <v>0.6</v>
      </c>
      <c r="G1890">
        <v>0.6</v>
      </c>
      <c r="H1890">
        <v>116</v>
      </c>
      <c r="I1890">
        <v>4</v>
      </c>
      <c r="J1890">
        <v>1</v>
      </c>
      <c r="K1890">
        <v>40.200000000000003</v>
      </c>
      <c r="L1890" t="s">
        <v>122</v>
      </c>
      <c r="M1890" t="s">
        <v>118</v>
      </c>
    </row>
    <row r="1891" spans="2:13" x14ac:dyDescent="0.2">
      <c r="B1891">
        <v>3075</v>
      </c>
      <c r="C1891">
        <v>3</v>
      </c>
      <c r="D1891">
        <v>12.1</v>
      </c>
      <c r="E1891">
        <v>0.2</v>
      </c>
      <c r="F1891">
        <v>0.6</v>
      </c>
      <c r="G1891">
        <v>0.6</v>
      </c>
      <c r="H1891">
        <v>130</v>
      </c>
      <c r="I1891">
        <v>5</v>
      </c>
      <c r="J1891">
        <v>1</v>
      </c>
      <c r="K1891">
        <v>40.200000000000003</v>
      </c>
      <c r="L1891" t="s">
        <v>132</v>
      </c>
      <c r="M1891" t="s">
        <v>116</v>
      </c>
    </row>
    <row r="1892" spans="2:13" x14ac:dyDescent="0.2">
      <c r="B1892">
        <v>3075</v>
      </c>
      <c r="C1892">
        <v>3</v>
      </c>
      <c r="D1892">
        <v>18.100000000000001</v>
      </c>
      <c r="E1892">
        <v>0.3</v>
      </c>
      <c r="F1892">
        <v>0.6</v>
      </c>
      <c r="G1892">
        <v>0.7</v>
      </c>
      <c r="H1892">
        <v>195</v>
      </c>
      <c r="I1892">
        <v>7</v>
      </c>
      <c r="J1892">
        <v>1</v>
      </c>
      <c r="K1892">
        <v>74.2</v>
      </c>
      <c r="L1892" t="s">
        <v>128</v>
      </c>
      <c r="M1892" t="s">
        <v>116</v>
      </c>
    </row>
    <row r="1893" spans="2:13" x14ac:dyDescent="0.2">
      <c r="B1893">
        <v>3075</v>
      </c>
      <c r="C1893">
        <v>4</v>
      </c>
      <c r="D1893">
        <v>0</v>
      </c>
      <c r="E1893">
        <v>0</v>
      </c>
      <c r="F1893">
        <v>0.6</v>
      </c>
      <c r="G1893">
        <v>0.6</v>
      </c>
      <c r="H1893">
        <v>0</v>
      </c>
      <c r="I1893">
        <v>0</v>
      </c>
      <c r="J1893">
        <v>0</v>
      </c>
      <c r="K1893">
        <v>50</v>
      </c>
      <c r="L1893" t="s">
        <v>113</v>
      </c>
      <c r="M1893" t="s">
        <v>114</v>
      </c>
    </row>
    <row r="1894" spans="2:13" x14ac:dyDescent="0.2">
      <c r="B1894">
        <v>3075</v>
      </c>
      <c r="C1894">
        <v>4</v>
      </c>
      <c r="D1894">
        <v>6</v>
      </c>
      <c r="E1894">
        <v>0.1</v>
      </c>
      <c r="F1894">
        <v>0.6</v>
      </c>
      <c r="G1894">
        <v>0.6</v>
      </c>
      <c r="H1894">
        <v>65</v>
      </c>
      <c r="I1894">
        <v>1</v>
      </c>
      <c r="J1894">
        <v>0</v>
      </c>
      <c r="K1894">
        <v>91.3</v>
      </c>
      <c r="L1894" t="s">
        <v>115</v>
      </c>
      <c r="M1894" t="s">
        <v>116</v>
      </c>
    </row>
    <row r="1895" spans="2:13" x14ac:dyDescent="0.2">
      <c r="B1895">
        <v>3075</v>
      </c>
      <c r="C1895">
        <v>4</v>
      </c>
      <c r="D1895">
        <v>12.1</v>
      </c>
      <c r="E1895">
        <v>0.2</v>
      </c>
      <c r="F1895">
        <v>0.6</v>
      </c>
      <c r="G1895">
        <v>0.7</v>
      </c>
      <c r="H1895">
        <v>130</v>
      </c>
      <c r="I1895">
        <v>5</v>
      </c>
      <c r="J1895">
        <v>0</v>
      </c>
      <c r="K1895">
        <v>92.7</v>
      </c>
      <c r="L1895" t="s">
        <v>128</v>
      </c>
      <c r="M1895" t="s">
        <v>116</v>
      </c>
    </row>
    <row r="1896" spans="2:13" x14ac:dyDescent="0.2">
      <c r="B1896">
        <v>3075</v>
      </c>
      <c r="C1896">
        <v>5</v>
      </c>
      <c r="D1896">
        <v>0</v>
      </c>
      <c r="E1896">
        <v>0</v>
      </c>
      <c r="F1896">
        <v>0.6</v>
      </c>
      <c r="G1896">
        <v>0.6</v>
      </c>
      <c r="H1896">
        <v>0</v>
      </c>
      <c r="I1896">
        <v>0</v>
      </c>
      <c r="J1896">
        <v>0</v>
      </c>
      <c r="K1896">
        <v>50</v>
      </c>
      <c r="L1896" t="s">
        <v>113</v>
      </c>
      <c r="M1896" t="s">
        <v>114</v>
      </c>
    </row>
    <row r="1897" spans="2:13" x14ac:dyDescent="0.2">
      <c r="B1897">
        <v>3075</v>
      </c>
      <c r="C1897">
        <v>5</v>
      </c>
      <c r="D1897">
        <v>6</v>
      </c>
      <c r="E1897">
        <v>0.1</v>
      </c>
      <c r="F1897">
        <v>0.6</v>
      </c>
      <c r="G1897">
        <v>0.6</v>
      </c>
      <c r="H1897">
        <v>65</v>
      </c>
      <c r="I1897">
        <v>1</v>
      </c>
      <c r="J1897">
        <v>0</v>
      </c>
      <c r="K1897">
        <v>38.4</v>
      </c>
      <c r="L1897" t="s">
        <v>115</v>
      </c>
      <c r="M1897" t="s">
        <v>116</v>
      </c>
    </row>
    <row r="1898" spans="2:13" x14ac:dyDescent="0.2">
      <c r="B1898">
        <v>3075</v>
      </c>
      <c r="C1898">
        <v>5</v>
      </c>
      <c r="D1898">
        <v>10.6</v>
      </c>
      <c r="E1898">
        <v>0.18</v>
      </c>
      <c r="F1898">
        <v>0.6</v>
      </c>
      <c r="G1898">
        <v>0.6</v>
      </c>
      <c r="H1898">
        <v>114</v>
      </c>
      <c r="I1898">
        <v>4</v>
      </c>
      <c r="J1898">
        <v>1</v>
      </c>
      <c r="K1898">
        <v>64.2</v>
      </c>
      <c r="L1898" t="s">
        <v>122</v>
      </c>
      <c r="M1898" t="s">
        <v>118</v>
      </c>
    </row>
    <row r="1899" spans="2:13" x14ac:dyDescent="0.2">
      <c r="B1899">
        <v>3075</v>
      </c>
      <c r="C1899">
        <v>5</v>
      </c>
      <c r="D1899">
        <v>12.1</v>
      </c>
      <c r="E1899">
        <v>0.2</v>
      </c>
      <c r="F1899">
        <v>0.6</v>
      </c>
      <c r="G1899">
        <v>0.6</v>
      </c>
      <c r="H1899">
        <v>130</v>
      </c>
      <c r="I1899">
        <v>6</v>
      </c>
      <c r="J1899">
        <v>1</v>
      </c>
      <c r="K1899">
        <v>64.400000000000006</v>
      </c>
      <c r="L1899" t="s">
        <v>121</v>
      </c>
      <c r="M1899" t="s">
        <v>116</v>
      </c>
    </row>
    <row r="1900" spans="2:13" x14ac:dyDescent="0.2">
      <c r="B1900">
        <v>3075</v>
      </c>
      <c r="C1900">
        <v>5</v>
      </c>
      <c r="D1900">
        <v>18.100000000000001</v>
      </c>
      <c r="E1900">
        <v>0.3</v>
      </c>
      <c r="F1900">
        <v>0.6</v>
      </c>
      <c r="G1900">
        <v>0.7</v>
      </c>
      <c r="H1900">
        <v>195</v>
      </c>
      <c r="I1900">
        <v>14</v>
      </c>
      <c r="J1900">
        <v>1</v>
      </c>
      <c r="K1900">
        <v>76.599999999999994</v>
      </c>
      <c r="L1900" t="s">
        <v>128</v>
      </c>
      <c r="M1900" t="s">
        <v>116</v>
      </c>
    </row>
    <row r="1901" spans="2:13" x14ac:dyDescent="0.2">
      <c r="B1901">
        <v>3076</v>
      </c>
      <c r="C1901">
        <v>1</v>
      </c>
      <c r="D1901">
        <v>0</v>
      </c>
      <c r="E1901">
        <v>0</v>
      </c>
      <c r="F1901">
        <v>0.6</v>
      </c>
      <c r="G1901">
        <v>0.6</v>
      </c>
      <c r="H1901">
        <v>0</v>
      </c>
      <c r="I1901">
        <v>0</v>
      </c>
      <c r="J1901">
        <v>0</v>
      </c>
      <c r="K1901">
        <v>50</v>
      </c>
      <c r="L1901" t="s">
        <v>113</v>
      </c>
      <c r="M1901" t="s">
        <v>114</v>
      </c>
    </row>
    <row r="1902" spans="2:13" x14ac:dyDescent="0.2">
      <c r="B1902">
        <v>3076</v>
      </c>
      <c r="C1902">
        <v>1</v>
      </c>
      <c r="D1902">
        <v>6</v>
      </c>
      <c r="E1902">
        <v>0.1</v>
      </c>
      <c r="F1902">
        <v>0.6</v>
      </c>
      <c r="G1902">
        <v>0.6</v>
      </c>
      <c r="H1902">
        <v>65</v>
      </c>
      <c r="I1902">
        <v>1</v>
      </c>
      <c r="J1902">
        <v>0</v>
      </c>
      <c r="K1902">
        <v>37.200000000000003</v>
      </c>
      <c r="L1902" t="s">
        <v>115</v>
      </c>
      <c r="M1902" t="s">
        <v>116</v>
      </c>
    </row>
    <row r="1903" spans="2:13" x14ac:dyDescent="0.2">
      <c r="B1903">
        <v>3076</v>
      </c>
      <c r="C1903">
        <v>1</v>
      </c>
      <c r="D1903">
        <v>11.4</v>
      </c>
      <c r="E1903">
        <v>0.19</v>
      </c>
      <c r="F1903">
        <v>0.6</v>
      </c>
      <c r="G1903">
        <v>0.6</v>
      </c>
      <c r="H1903">
        <v>123</v>
      </c>
      <c r="I1903">
        <v>4</v>
      </c>
      <c r="J1903">
        <v>1</v>
      </c>
      <c r="K1903">
        <v>36.799999999999997</v>
      </c>
      <c r="L1903" t="s">
        <v>117</v>
      </c>
      <c r="M1903" t="s">
        <v>118</v>
      </c>
    </row>
    <row r="1904" spans="2:13" x14ac:dyDescent="0.2">
      <c r="B1904">
        <v>3076</v>
      </c>
      <c r="C1904">
        <v>1</v>
      </c>
      <c r="D1904">
        <v>12.1</v>
      </c>
      <c r="E1904">
        <v>0.2</v>
      </c>
      <c r="F1904">
        <v>0.6</v>
      </c>
      <c r="G1904">
        <v>0.6</v>
      </c>
      <c r="H1904">
        <v>130</v>
      </c>
      <c r="I1904">
        <v>4</v>
      </c>
      <c r="J1904">
        <v>1</v>
      </c>
      <c r="K1904">
        <v>36.700000000000003</v>
      </c>
      <c r="L1904" t="s">
        <v>132</v>
      </c>
      <c r="M1904" t="s">
        <v>116</v>
      </c>
    </row>
    <row r="1905" spans="2:13" x14ac:dyDescent="0.2">
      <c r="B1905">
        <v>3076</v>
      </c>
      <c r="C1905">
        <v>1</v>
      </c>
      <c r="D1905">
        <v>18.100000000000001</v>
      </c>
      <c r="E1905">
        <v>0.3</v>
      </c>
      <c r="F1905">
        <v>0.6</v>
      </c>
      <c r="G1905">
        <v>0.6</v>
      </c>
      <c r="H1905">
        <v>195</v>
      </c>
      <c r="I1905">
        <v>7</v>
      </c>
      <c r="J1905">
        <v>1</v>
      </c>
      <c r="K1905">
        <v>37.700000000000003</v>
      </c>
      <c r="L1905" t="s">
        <v>115</v>
      </c>
      <c r="M1905" t="s">
        <v>116</v>
      </c>
    </row>
    <row r="1906" spans="2:13" x14ac:dyDescent="0.2">
      <c r="B1906">
        <v>3076</v>
      </c>
      <c r="C1906">
        <v>2</v>
      </c>
      <c r="D1906">
        <v>0</v>
      </c>
      <c r="E1906">
        <v>0</v>
      </c>
      <c r="F1906">
        <v>0.6</v>
      </c>
      <c r="G1906">
        <v>0.6</v>
      </c>
      <c r="H1906">
        <v>0</v>
      </c>
      <c r="I1906">
        <v>0</v>
      </c>
      <c r="J1906">
        <v>0</v>
      </c>
      <c r="K1906">
        <v>50</v>
      </c>
      <c r="L1906" t="s">
        <v>113</v>
      </c>
      <c r="M1906" t="s">
        <v>114</v>
      </c>
    </row>
    <row r="1907" spans="2:13" x14ac:dyDescent="0.2">
      <c r="B1907">
        <v>3076</v>
      </c>
      <c r="C1907">
        <v>2</v>
      </c>
      <c r="D1907">
        <v>5.9</v>
      </c>
      <c r="E1907">
        <v>0.1</v>
      </c>
      <c r="F1907">
        <v>0.6</v>
      </c>
      <c r="G1907">
        <v>0.6</v>
      </c>
      <c r="H1907">
        <v>64</v>
      </c>
      <c r="I1907">
        <v>0</v>
      </c>
      <c r="J1907">
        <v>1</v>
      </c>
      <c r="K1907">
        <v>39.1</v>
      </c>
      <c r="L1907" t="s">
        <v>122</v>
      </c>
      <c r="M1907" t="s">
        <v>118</v>
      </c>
    </row>
    <row r="1908" spans="2:13" x14ac:dyDescent="0.2">
      <c r="B1908">
        <v>3076</v>
      </c>
      <c r="C1908">
        <v>2</v>
      </c>
      <c r="D1908">
        <v>6</v>
      </c>
      <c r="E1908">
        <v>0.1</v>
      </c>
      <c r="F1908">
        <v>0.6</v>
      </c>
      <c r="G1908">
        <v>0.6</v>
      </c>
      <c r="H1908">
        <v>65</v>
      </c>
      <c r="I1908">
        <v>1</v>
      </c>
      <c r="J1908">
        <v>1</v>
      </c>
      <c r="K1908">
        <v>38.4</v>
      </c>
      <c r="L1908" t="s">
        <v>132</v>
      </c>
      <c r="M1908" t="s">
        <v>116</v>
      </c>
    </row>
    <row r="1909" spans="2:13" x14ac:dyDescent="0.2">
      <c r="B1909">
        <v>3076</v>
      </c>
      <c r="C1909">
        <v>2</v>
      </c>
      <c r="D1909">
        <v>8.8000000000000007</v>
      </c>
      <c r="E1909">
        <v>0.15</v>
      </c>
      <c r="F1909">
        <v>0.6</v>
      </c>
      <c r="G1909">
        <v>0.6</v>
      </c>
      <c r="H1909">
        <v>95</v>
      </c>
      <c r="I1909">
        <v>2</v>
      </c>
      <c r="J1909">
        <v>2</v>
      </c>
      <c r="K1909">
        <v>38.9</v>
      </c>
      <c r="L1909" t="s">
        <v>127</v>
      </c>
      <c r="M1909" t="s">
        <v>118</v>
      </c>
    </row>
    <row r="1910" spans="2:13" x14ac:dyDescent="0.2">
      <c r="B1910">
        <v>3076</v>
      </c>
      <c r="C1910">
        <v>2</v>
      </c>
      <c r="D1910">
        <v>12.1</v>
      </c>
      <c r="E1910">
        <v>0.2</v>
      </c>
      <c r="F1910">
        <v>0.6</v>
      </c>
      <c r="G1910">
        <v>0.6</v>
      </c>
      <c r="H1910">
        <v>130</v>
      </c>
      <c r="I1910">
        <v>5</v>
      </c>
      <c r="J1910">
        <v>2</v>
      </c>
      <c r="K1910">
        <v>39</v>
      </c>
      <c r="L1910" t="s">
        <v>132</v>
      </c>
      <c r="M1910" t="s">
        <v>116</v>
      </c>
    </row>
    <row r="1911" spans="2:13" x14ac:dyDescent="0.2">
      <c r="B1911">
        <v>3076</v>
      </c>
      <c r="C1911">
        <v>2</v>
      </c>
      <c r="D1911">
        <v>15.8</v>
      </c>
      <c r="E1911">
        <v>0.26</v>
      </c>
      <c r="F1911">
        <v>0.6</v>
      </c>
      <c r="G1911">
        <v>0.6</v>
      </c>
      <c r="H1911">
        <v>170</v>
      </c>
      <c r="I1911">
        <v>7</v>
      </c>
      <c r="J1911">
        <v>3</v>
      </c>
      <c r="K1911">
        <v>52</v>
      </c>
      <c r="L1911" t="s">
        <v>125</v>
      </c>
      <c r="M1911" t="s">
        <v>118</v>
      </c>
    </row>
    <row r="1912" spans="2:13" x14ac:dyDescent="0.2">
      <c r="B1912">
        <v>3076</v>
      </c>
      <c r="C1912">
        <v>2</v>
      </c>
      <c r="D1912">
        <v>18.100000000000001</v>
      </c>
      <c r="E1912">
        <v>0.3</v>
      </c>
      <c r="F1912">
        <v>0.6</v>
      </c>
      <c r="G1912">
        <v>0.6</v>
      </c>
      <c r="H1912">
        <v>195</v>
      </c>
      <c r="I1912">
        <v>9</v>
      </c>
      <c r="J1912">
        <v>3</v>
      </c>
      <c r="K1912">
        <v>52.3</v>
      </c>
      <c r="L1912" t="s">
        <v>121</v>
      </c>
      <c r="M1912" t="s">
        <v>116</v>
      </c>
    </row>
    <row r="1913" spans="2:13" x14ac:dyDescent="0.2">
      <c r="B1913">
        <v>3076</v>
      </c>
      <c r="C1913">
        <v>3</v>
      </c>
      <c r="D1913">
        <v>0</v>
      </c>
      <c r="E1913">
        <v>0</v>
      </c>
      <c r="F1913">
        <v>0.6</v>
      </c>
      <c r="G1913">
        <v>0.6</v>
      </c>
      <c r="H1913">
        <v>0</v>
      </c>
      <c r="I1913">
        <v>0</v>
      </c>
      <c r="J1913">
        <v>0</v>
      </c>
      <c r="K1913">
        <v>50</v>
      </c>
      <c r="L1913" t="s">
        <v>113</v>
      </c>
      <c r="M1913" t="s">
        <v>114</v>
      </c>
    </row>
    <row r="1914" spans="2:13" x14ac:dyDescent="0.2">
      <c r="B1914">
        <v>3076</v>
      </c>
      <c r="C1914">
        <v>3</v>
      </c>
      <c r="D1914">
        <v>6</v>
      </c>
      <c r="E1914">
        <v>0.1</v>
      </c>
      <c r="F1914">
        <v>0.6</v>
      </c>
      <c r="G1914">
        <v>0.6</v>
      </c>
      <c r="H1914">
        <v>65</v>
      </c>
      <c r="I1914">
        <v>0</v>
      </c>
      <c r="J1914">
        <v>0</v>
      </c>
      <c r="K1914">
        <v>38.4</v>
      </c>
      <c r="L1914" t="s">
        <v>115</v>
      </c>
      <c r="M1914" t="s">
        <v>116</v>
      </c>
    </row>
    <row r="1915" spans="2:13" x14ac:dyDescent="0.2">
      <c r="B1915">
        <v>3076</v>
      </c>
      <c r="C1915">
        <v>3</v>
      </c>
      <c r="D1915">
        <v>12.1</v>
      </c>
      <c r="E1915">
        <v>0.2</v>
      </c>
      <c r="F1915">
        <v>0.6</v>
      </c>
      <c r="G1915">
        <v>0.7</v>
      </c>
      <c r="H1915">
        <v>130</v>
      </c>
      <c r="I1915">
        <v>6</v>
      </c>
      <c r="J1915">
        <v>0</v>
      </c>
      <c r="K1915">
        <v>88.4</v>
      </c>
      <c r="L1915" t="s">
        <v>128</v>
      </c>
      <c r="M1915" t="s">
        <v>116</v>
      </c>
    </row>
    <row r="1916" spans="2:13" x14ac:dyDescent="0.2">
      <c r="B1916">
        <v>3076</v>
      </c>
      <c r="C1916">
        <v>3</v>
      </c>
      <c r="D1916">
        <v>15.6</v>
      </c>
      <c r="E1916">
        <v>0.26</v>
      </c>
      <c r="F1916">
        <v>0.7</v>
      </c>
      <c r="G1916">
        <v>0.7</v>
      </c>
      <c r="H1916">
        <v>175</v>
      </c>
      <c r="I1916">
        <v>10</v>
      </c>
      <c r="J1916">
        <v>1</v>
      </c>
      <c r="K1916">
        <v>81.599999999999994</v>
      </c>
      <c r="L1916" t="s">
        <v>117</v>
      </c>
      <c r="M1916" t="s">
        <v>118</v>
      </c>
    </row>
    <row r="1917" spans="2:13" x14ac:dyDescent="0.2">
      <c r="B1917">
        <v>3076</v>
      </c>
      <c r="C1917">
        <v>4</v>
      </c>
      <c r="D1917">
        <v>0</v>
      </c>
      <c r="E1917">
        <v>0</v>
      </c>
      <c r="F1917">
        <v>0.6</v>
      </c>
      <c r="G1917">
        <v>0.6</v>
      </c>
      <c r="H1917">
        <v>0</v>
      </c>
      <c r="I1917">
        <v>0</v>
      </c>
      <c r="J1917">
        <v>0</v>
      </c>
      <c r="K1917">
        <v>50</v>
      </c>
      <c r="L1917" t="s">
        <v>113</v>
      </c>
      <c r="M1917" t="s">
        <v>114</v>
      </c>
    </row>
    <row r="1918" spans="2:13" x14ac:dyDescent="0.2">
      <c r="B1918">
        <v>3076</v>
      </c>
      <c r="C1918">
        <v>4</v>
      </c>
      <c r="D1918">
        <v>6</v>
      </c>
      <c r="E1918">
        <v>0.1</v>
      </c>
      <c r="F1918">
        <v>0.6</v>
      </c>
      <c r="G1918">
        <v>0.6</v>
      </c>
      <c r="H1918">
        <v>65</v>
      </c>
      <c r="I1918">
        <v>2</v>
      </c>
      <c r="J1918">
        <v>0</v>
      </c>
      <c r="K1918">
        <v>40.5</v>
      </c>
      <c r="L1918" t="s">
        <v>115</v>
      </c>
      <c r="M1918" t="s">
        <v>116</v>
      </c>
    </row>
    <row r="1919" spans="2:13" x14ac:dyDescent="0.2">
      <c r="B1919">
        <v>3076</v>
      </c>
      <c r="C1919">
        <v>4</v>
      </c>
      <c r="D1919">
        <v>12.1</v>
      </c>
      <c r="E1919">
        <v>0.2</v>
      </c>
      <c r="F1919">
        <v>0.6</v>
      </c>
      <c r="G1919">
        <v>0.6</v>
      </c>
      <c r="H1919">
        <v>130</v>
      </c>
      <c r="I1919">
        <v>2</v>
      </c>
      <c r="J1919">
        <v>0</v>
      </c>
      <c r="K1919">
        <v>90.9</v>
      </c>
      <c r="L1919" t="s">
        <v>115</v>
      </c>
      <c r="M1919" t="s">
        <v>116</v>
      </c>
    </row>
    <row r="1920" spans="2:13" x14ac:dyDescent="0.2">
      <c r="B1920">
        <v>3076</v>
      </c>
      <c r="C1920">
        <v>4</v>
      </c>
      <c r="D1920">
        <v>18.100000000000001</v>
      </c>
      <c r="E1920">
        <v>0.3</v>
      </c>
      <c r="F1920">
        <v>0.6</v>
      </c>
      <c r="G1920">
        <v>0.7</v>
      </c>
      <c r="H1920">
        <v>195</v>
      </c>
      <c r="I1920">
        <v>6</v>
      </c>
      <c r="J1920">
        <v>0</v>
      </c>
      <c r="K1920">
        <v>90.7</v>
      </c>
      <c r="L1920" t="s">
        <v>128</v>
      </c>
      <c r="M1920" t="s">
        <v>116</v>
      </c>
    </row>
    <row r="1921" spans="2:13" x14ac:dyDescent="0.2">
      <c r="B1921">
        <v>3076</v>
      </c>
      <c r="C1921">
        <v>5</v>
      </c>
      <c r="D1921">
        <v>0</v>
      </c>
      <c r="E1921">
        <v>0</v>
      </c>
      <c r="F1921">
        <v>0.6</v>
      </c>
      <c r="G1921">
        <v>0.6</v>
      </c>
      <c r="H1921">
        <v>0</v>
      </c>
      <c r="I1921">
        <v>0</v>
      </c>
      <c r="J1921">
        <v>0</v>
      </c>
      <c r="K1921">
        <v>50</v>
      </c>
      <c r="L1921" t="s">
        <v>113</v>
      </c>
      <c r="M1921" t="s">
        <v>114</v>
      </c>
    </row>
    <row r="1922" spans="2:13" x14ac:dyDescent="0.2">
      <c r="B1922">
        <v>3076</v>
      </c>
      <c r="C1922">
        <v>5</v>
      </c>
      <c r="D1922">
        <v>6</v>
      </c>
      <c r="E1922">
        <v>0.1</v>
      </c>
      <c r="F1922">
        <v>0.6</v>
      </c>
      <c r="G1922">
        <v>0.6</v>
      </c>
      <c r="H1922">
        <v>65</v>
      </c>
      <c r="I1922">
        <v>0</v>
      </c>
      <c r="J1922">
        <v>0</v>
      </c>
      <c r="K1922">
        <v>40.5</v>
      </c>
      <c r="L1922" t="s">
        <v>115</v>
      </c>
      <c r="M1922" t="s">
        <v>116</v>
      </c>
    </row>
    <row r="1923" spans="2:13" x14ac:dyDescent="0.2">
      <c r="B1923">
        <v>3076</v>
      </c>
      <c r="C1923">
        <v>5</v>
      </c>
      <c r="D1923">
        <v>12.1</v>
      </c>
      <c r="E1923">
        <v>0.2</v>
      </c>
      <c r="F1923">
        <v>0.6</v>
      </c>
      <c r="G1923">
        <v>0.6</v>
      </c>
      <c r="H1923">
        <v>130</v>
      </c>
      <c r="I1923">
        <v>1</v>
      </c>
      <c r="J1923">
        <v>0</v>
      </c>
      <c r="K1923">
        <v>90</v>
      </c>
      <c r="L1923" t="s">
        <v>115</v>
      </c>
      <c r="M1923" t="s">
        <v>116</v>
      </c>
    </row>
    <row r="1924" spans="2:13" x14ac:dyDescent="0.2">
      <c r="B1924">
        <v>3076</v>
      </c>
      <c r="C1924">
        <v>5</v>
      </c>
      <c r="D1924">
        <v>16.2</v>
      </c>
      <c r="E1924">
        <v>0.27</v>
      </c>
      <c r="F1924">
        <v>0.6</v>
      </c>
      <c r="G1924">
        <v>0.6</v>
      </c>
      <c r="H1924">
        <v>175</v>
      </c>
      <c r="I1924">
        <v>5</v>
      </c>
      <c r="J1924">
        <v>1</v>
      </c>
      <c r="K1924">
        <v>78.099999999999994</v>
      </c>
      <c r="L1924" t="s">
        <v>122</v>
      </c>
      <c r="M1924" t="s">
        <v>118</v>
      </c>
    </row>
    <row r="1925" spans="2:13" x14ac:dyDescent="0.2">
      <c r="B1925">
        <v>3076</v>
      </c>
      <c r="C1925">
        <v>5</v>
      </c>
      <c r="D1925">
        <v>18.100000000000001</v>
      </c>
      <c r="E1925">
        <v>0.3</v>
      </c>
      <c r="F1925">
        <v>0.6</v>
      </c>
      <c r="G1925">
        <v>0.6</v>
      </c>
      <c r="H1925">
        <v>195</v>
      </c>
      <c r="I1925">
        <v>5</v>
      </c>
      <c r="J1925">
        <v>1</v>
      </c>
      <c r="K1925">
        <v>77.900000000000006</v>
      </c>
      <c r="L1925" t="s">
        <v>124</v>
      </c>
      <c r="M1925" t="s">
        <v>116</v>
      </c>
    </row>
    <row r="1926" spans="2:13" x14ac:dyDescent="0.2">
      <c r="B1926">
        <v>3077</v>
      </c>
      <c r="C1926">
        <v>1</v>
      </c>
      <c r="D1926">
        <v>0</v>
      </c>
      <c r="E1926">
        <v>0</v>
      </c>
      <c r="F1926">
        <v>0.6</v>
      </c>
      <c r="G1926">
        <v>0.6</v>
      </c>
      <c r="H1926">
        <v>0</v>
      </c>
      <c r="I1926">
        <v>0</v>
      </c>
      <c r="J1926">
        <v>0</v>
      </c>
      <c r="K1926">
        <v>50</v>
      </c>
      <c r="L1926" t="s">
        <v>113</v>
      </c>
      <c r="M1926" t="s">
        <v>114</v>
      </c>
    </row>
    <row r="1927" spans="2:13" x14ac:dyDescent="0.2">
      <c r="B1927">
        <v>3077</v>
      </c>
      <c r="C1927">
        <v>1</v>
      </c>
      <c r="D1927">
        <v>6</v>
      </c>
      <c r="E1927">
        <v>0.1</v>
      </c>
      <c r="F1927">
        <v>0.6</v>
      </c>
      <c r="G1927">
        <v>0.6</v>
      </c>
      <c r="H1927">
        <v>65</v>
      </c>
      <c r="I1927">
        <v>0</v>
      </c>
      <c r="J1927">
        <v>0</v>
      </c>
      <c r="K1927">
        <v>37.200000000000003</v>
      </c>
      <c r="L1927" t="s">
        <v>115</v>
      </c>
      <c r="M1927" t="s">
        <v>116</v>
      </c>
    </row>
    <row r="1928" spans="2:13" x14ac:dyDescent="0.2">
      <c r="B1928">
        <v>3077</v>
      </c>
      <c r="C1928">
        <v>1</v>
      </c>
      <c r="D1928">
        <v>12.1</v>
      </c>
      <c r="E1928">
        <v>0.2</v>
      </c>
      <c r="F1928">
        <v>0.6</v>
      </c>
      <c r="G1928">
        <v>0.6</v>
      </c>
      <c r="H1928">
        <v>130</v>
      </c>
      <c r="I1928">
        <v>2</v>
      </c>
      <c r="J1928">
        <v>0</v>
      </c>
      <c r="K1928">
        <v>87.6</v>
      </c>
      <c r="L1928" t="s">
        <v>115</v>
      </c>
      <c r="M1928" t="s">
        <v>116</v>
      </c>
    </row>
    <row r="1929" spans="2:13" x14ac:dyDescent="0.2">
      <c r="B1929">
        <v>3077</v>
      </c>
      <c r="C1929">
        <v>1</v>
      </c>
      <c r="D1929">
        <v>13.8</v>
      </c>
      <c r="E1929">
        <v>0.23</v>
      </c>
      <c r="F1929">
        <v>0.6</v>
      </c>
      <c r="G1929">
        <v>0.6</v>
      </c>
      <c r="H1929">
        <v>149</v>
      </c>
      <c r="I1929">
        <v>2</v>
      </c>
      <c r="J1929">
        <v>1</v>
      </c>
      <c r="K1929">
        <v>61.5</v>
      </c>
      <c r="L1929" t="s">
        <v>122</v>
      </c>
      <c r="M1929" t="s">
        <v>118</v>
      </c>
    </row>
    <row r="1930" spans="2:13" x14ac:dyDescent="0.2">
      <c r="B1930">
        <v>3077</v>
      </c>
      <c r="C1930">
        <v>1</v>
      </c>
      <c r="D1930">
        <v>16.399999999999999</v>
      </c>
      <c r="E1930">
        <v>0.27</v>
      </c>
      <c r="F1930">
        <v>0.6</v>
      </c>
      <c r="G1930">
        <v>0.6</v>
      </c>
      <c r="H1930">
        <v>177</v>
      </c>
      <c r="I1930">
        <v>2</v>
      </c>
      <c r="J1930">
        <v>2</v>
      </c>
      <c r="K1930">
        <v>53.5</v>
      </c>
      <c r="L1930" t="s">
        <v>123</v>
      </c>
      <c r="M1930" t="s">
        <v>118</v>
      </c>
    </row>
    <row r="1931" spans="2:13" x14ac:dyDescent="0.2">
      <c r="B1931">
        <v>3077</v>
      </c>
      <c r="C1931">
        <v>1</v>
      </c>
      <c r="D1931">
        <v>18.100000000000001</v>
      </c>
      <c r="E1931">
        <v>0.3</v>
      </c>
      <c r="F1931">
        <v>0.6</v>
      </c>
      <c r="G1931">
        <v>0.45</v>
      </c>
      <c r="H1931">
        <v>195</v>
      </c>
      <c r="I1931">
        <v>3</v>
      </c>
      <c r="J1931">
        <v>2</v>
      </c>
      <c r="K1931">
        <v>62</v>
      </c>
      <c r="L1931" t="s">
        <v>120</v>
      </c>
      <c r="M1931" t="s">
        <v>116</v>
      </c>
    </row>
    <row r="1932" spans="2:13" x14ac:dyDescent="0.2">
      <c r="B1932">
        <v>3077</v>
      </c>
      <c r="C1932">
        <v>2</v>
      </c>
      <c r="D1932">
        <v>0</v>
      </c>
      <c r="E1932">
        <v>0</v>
      </c>
      <c r="F1932">
        <v>0.6</v>
      </c>
      <c r="G1932">
        <v>0.6</v>
      </c>
      <c r="H1932">
        <v>0</v>
      </c>
      <c r="I1932">
        <v>0</v>
      </c>
      <c r="J1932">
        <v>0</v>
      </c>
      <c r="K1932">
        <v>50</v>
      </c>
      <c r="L1932" t="s">
        <v>113</v>
      </c>
      <c r="M1932" t="s">
        <v>114</v>
      </c>
    </row>
    <row r="1933" spans="2:13" x14ac:dyDescent="0.2">
      <c r="B1933">
        <v>3077</v>
      </c>
      <c r="C1933">
        <v>2</v>
      </c>
      <c r="D1933">
        <v>6</v>
      </c>
      <c r="E1933">
        <v>0.1</v>
      </c>
      <c r="F1933">
        <v>0.6</v>
      </c>
      <c r="G1933">
        <v>0.6</v>
      </c>
      <c r="H1933">
        <v>65</v>
      </c>
      <c r="I1933">
        <v>0</v>
      </c>
      <c r="J1933">
        <v>0</v>
      </c>
      <c r="K1933">
        <v>40.5</v>
      </c>
      <c r="L1933" t="s">
        <v>115</v>
      </c>
      <c r="M1933" t="s">
        <v>116</v>
      </c>
    </row>
    <row r="1934" spans="2:13" x14ac:dyDescent="0.2">
      <c r="B1934">
        <v>3077</v>
      </c>
      <c r="C1934">
        <v>2</v>
      </c>
      <c r="D1934">
        <v>12.1</v>
      </c>
      <c r="E1934">
        <v>0.2</v>
      </c>
      <c r="F1934">
        <v>0.6</v>
      </c>
      <c r="G1934">
        <v>0.7</v>
      </c>
      <c r="H1934">
        <v>130</v>
      </c>
      <c r="I1934">
        <v>1</v>
      </c>
      <c r="J1934">
        <v>0</v>
      </c>
      <c r="K1934">
        <v>88.2</v>
      </c>
      <c r="L1934" t="s">
        <v>128</v>
      </c>
      <c r="M1934" t="s">
        <v>116</v>
      </c>
    </row>
    <row r="1935" spans="2:13" x14ac:dyDescent="0.2">
      <c r="B1935">
        <v>3077</v>
      </c>
      <c r="C1935">
        <v>2</v>
      </c>
      <c r="D1935">
        <v>15</v>
      </c>
      <c r="E1935">
        <v>0.25</v>
      </c>
      <c r="F1935">
        <v>0.7</v>
      </c>
      <c r="G1935">
        <v>0.7</v>
      </c>
      <c r="H1935">
        <v>167</v>
      </c>
      <c r="I1935">
        <v>4</v>
      </c>
      <c r="J1935">
        <v>1</v>
      </c>
      <c r="K1935">
        <v>76.5</v>
      </c>
      <c r="L1935" t="s">
        <v>129</v>
      </c>
      <c r="M1935" t="s">
        <v>118</v>
      </c>
    </row>
    <row r="1936" spans="2:13" x14ac:dyDescent="0.2">
      <c r="B1936">
        <v>3077</v>
      </c>
      <c r="C1936">
        <v>3</v>
      </c>
      <c r="D1936">
        <v>0</v>
      </c>
      <c r="E1936">
        <v>0</v>
      </c>
      <c r="F1936">
        <v>0.6</v>
      </c>
      <c r="G1936">
        <v>0.6</v>
      </c>
      <c r="H1936">
        <v>0</v>
      </c>
      <c r="I1936">
        <v>0</v>
      </c>
      <c r="J1936">
        <v>0</v>
      </c>
      <c r="K1936">
        <v>50</v>
      </c>
      <c r="L1936" t="s">
        <v>113</v>
      </c>
      <c r="M1936" t="s">
        <v>114</v>
      </c>
    </row>
    <row r="1937" spans="2:13" x14ac:dyDescent="0.2">
      <c r="B1937">
        <v>3077</v>
      </c>
      <c r="C1937">
        <v>3</v>
      </c>
      <c r="D1937">
        <v>6</v>
      </c>
      <c r="E1937">
        <v>0.1</v>
      </c>
      <c r="F1937">
        <v>0.6</v>
      </c>
      <c r="G1937">
        <v>0.6</v>
      </c>
      <c r="H1937">
        <v>65</v>
      </c>
      <c r="I1937">
        <v>1</v>
      </c>
      <c r="J1937">
        <v>0</v>
      </c>
      <c r="K1937">
        <v>36</v>
      </c>
      <c r="L1937" t="s">
        <v>115</v>
      </c>
      <c r="M1937" t="s">
        <v>116</v>
      </c>
    </row>
    <row r="1938" spans="2:13" x14ac:dyDescent="0.2">
      <c r="B1938">
        <v>3077</v>
      </c>
      <c r="C1938">
        <v>3</v>
      </c>
      <c r="D1938">
        <v>10.8</v>
      </c>
      <c r="E1938">
        <v>0.18</v>
      </c>
      <c r="F1938">
        <v>0.6</v>
      </c>
      <c r="G1938">
        <v>0.6</v>
      </c>
      <c r="H1938">
        <v>117</v>
      </c>
      <c r="I1938">
        <v>4</v>
      </c>
      <c r="J1938">
        <v>1</v>
      </c>
      <c r="K1938">
        <v>70.8</v>
      </c>
      <c r="L1938" t="s">
        <v>117</v>
      </c>
      <c r="M1938" t="s">
        <v>118</v>
      </c>
    </row>
    <row r="1939" spans="2:13" x14ac:dyDescent="0.2">
      <c r="B1939">
        <v>3077</v>
      </c>
      <c r="C1939">
        <v>3</v>
      </c>
      <c r="D1939">
        <v>12.1</v>
      </c>
      <c r="E1939">
        <v>0.2</v>
      </c>
      <c r="F1939">
        <v>0.6</v>
      </c>
      <c r="G1939">
        <v>0.6</v>
      </c>
      <c r="H1939">
        <v>130</v>
      </c>
      <c r="I1939">
        <v>4</v>
      </c>
      <c r="J1939">
        <v>1</v>
      </c>
      <c r="K1939">
        <v>75.5</v>
      </c>
      <c r="L1939" t="s">
        <v>136</v>
      </c>
      <c r="M1939" t="s">
        <v>116</v>
      </c>
    </row>
    <row r="1940" spans="2:13" x14ac:dyDescent="0.2">
      <c r="B1940">
        <v>3077</v>
      </c>
      <c r="C1940">
        <v>3</v>
      </c>
      <c r="D1940">
        <v>15.7</v>
      </c>
      <c r="E1940">
        <v>0.26</v>
      </c>
      <c r="F1940">
        <v>0.6</v>
      </c>
      <c r="G1940">
        <v>0.6</v>
      </c>
      <c r="H1940">
        <v>169</v>
      </c>
      <c r="I1940">
        <v>4</v>
      </c>
      <c r="J1940">
        <v>2</v>
      </c>
      <c r="K1940">
        <v>71.8</v>
      </c>
      <c r="L1940" t="s">
        <v>127</v>
      </c>
      <c r="M1940" t="s">
        <v>118</v>
      </c>
    </row>
    <row r="1941" spans="2:13" x14ac:dyDescent="0.2">
      <c r="B1941">
        <v>3077</v>
      </c>
      <c r="C1941">
        <v>3</v>
      </c>
      <c r="D1941">
        <v>18.100000000000001</v>
      </c>
      <c r="E1941">
        <v>0.3</v>
      </c>
      <c r="F1941">
        <v>0.6</v>
      </c>
      <c r="G1941">
        <v>0.6</v>
      </c>
      <c r="H1941">
        <v>195</v>
      </c>
      <c r="I1941">
        <v>4</v>
      </c>
      <c r="J1941">
        <v>2</v>
      </c>
      <c r="K1941">
        <v>72.400000000000006</v>
      </c>
      <c r="L1941" t="s">
        <v>121</v>
      </c>
      <c r="M1941" t="s">
        <v>116</v>
      </c>
    </row>
    <row r="1942" spans="2:13" x14ac:dyDescent="0.2">
      <c r="B1942">
        <v>3077</v>
      </c>
      <c r="C1942">
        <v>4</v>
      </c>
      <c r="D1942">
        <v>0</v>
      </c>
      <c r="E1942">
        <v>0</v>
      </c>
      <c r="F1942">
        <v>0.6</v>
      </c>
      <c r="G1942">
        <v>0.6</v>
      </c>
      <c r="H1942">
        <v>0</v>
      </c>
      <c r="I1942">
        <v>0</v>
      </c>
      <c r="J1942">
        <v>0</v>
      </c>
      <c r="K1942">
        <v>50</v>
      </c>
      <c r="L1942" t="s">
        <v>113</v>
      </c>
      <c r="M1942" t="s">
        <v>114</v>
      </c>
    </row>
    <row r="1943" spans="2:13" x14ac:dyDescent="0.2">
      <c r="B1943">
        <v>3077</v>
      </c>
      <c r="C1943">
        <v>4</v>
      </c>
      <c r="D1943">
        <v>6</v>
      </c>
      <c r="E1943">
        <v>0.1</v>
      </c>
      <c r="F1943">
        <v>0.6</v>
      </c>
      <c r="G1943">
        <v>0.6</v>
      </c>
      <c r="H1943">
        <v>65</v>
      </c>
      <c r="I1943">
        <v>1</v>
      </c>
      <c r="J1943">
        <v>0</v>
      </c>
      <c r="K1943">
        <v>36</v>
      </c>
      <c r="L1943" t="s">
        <v>115</v>
      </c>
      <c r="M1943" t="s">
        <v>116</v>
      </c>
    </row>
    <row r="1944" spans="2:13" x14ac:dyDescent="0.2">
      <c r="B1944">
        <v>3077</v>
      </c>
      <c r="C1944">
        <v>4</v>
      </c>
      <c r="D1944">
        <v>8.1999999999999993</v>
      </c>
      <c r="E1944">
        <v>0.14000000000000001</v>
      </c>
      <c r="F1944">
        <v>0.6</v>
      </c>
      <c r="G1944">
        <v>0.6</v>
      </c>
      <c r="H1944">
        <v>89</v>
      </c>
      <c r="I1944">
        <v>1</v>
      </c>
      <c r="J1944">
        <v>1</v>
      </c>
      <c r="K1944">
        <v>37.5</v>
      </c>
      <c r="L1944" t="s">
        <v>117</v>
      </c>
      <c r="M1944" t="s">
        <v>118</v>
      </c>
    </row>
    <row r="1945" spans="2:13" x14ac:dyDescent="0.2">
      <c r="B1945">
        <v>3077</v>
      </c>
      <c r="C1945">
        <v>4</v>
      </c>
      <c r="D1945">
        <v>12.1</v>
      </c>
      <c r="E1945">
        <v>0.2</v>
      </c>
      <c r="F1945">
        <v>0.6</v>
      </c>
      <c r="G1945">
        <v>0.6</v>
      </c>
      <c r="H1945">
        <v>130</v>
      </c>
      <c r="I1945">
        <v>4</v>
      </c>
      <c r="J1945">
        <v>1</v>
      </c>
      <c r="K1945">
        <v>64.2</v>
      </c>
      <c r="L1945" t="s">
        <v>121</v>
      </c>
      <c r="M1945" t="s">
        <v>116</v>
      </c>
    </row>
    <row r="1946" spans="2:13" x14ac:dyDescent="0.2">
      <c r="B1946">
        <v>3077</v>
      </c>
      <c r="C1946">
        <v>4</v>
      </c>
      <c r="D1946">
        <v>15.5</v>
      </c>
      <c r="E1946">
        <v>0.26</v>
      </c>
      <c r="F1946">
        <v>0.6</v>
      </c>
      <c r="G1946">
        <v>0.6</v>
      </c>
      <c r="H1946">
        <v>167</v>
      </c>
      <c r="I1946">
        <v>6</v>
      </c>
      <c r="J1946">
        <v>2</v>
      </c>
      <c r="K1946">
        <v>55.4</v>
      </c>
      <c r="L1946" t="s">
        <v>127</v>
      </c>
      <c r="M1946" t="s">
        <v>118</v>
      </c>
    </row>
    <row r="1947" spans="2:13" x14ac:dyDescent="0.2">
      <c r="B1947">
        <v>3077</v>
      </c>
      <c r="C1947">
        <v>4</v>
      </c>
      <c r="D1947">
        <v>18.100000000000001</v>
      </c>
      <c r="E1947">
        <v>0.3</v>
      </c>
      <c r="F1947">
        <v>0.6</v>
      </c>
      <c r="G1947">
        <v>0.6</v>
      </c>
      <c r="H1947">
        <v>195</v>
      </c>
      <c r="I1947">
        <v>8</v>
      </c>
      <c r="J1947">
        <v>2</v>
      </c>
      <c r="K1947">
        <v>56.1</v>
      </c>
      <c r="L1947" t="s">
        <v>132</v>
      </c>
      <c r="M1947" t="s">
        <v>116</v>
      </c>
    </row>
    <row r="1948" spans="2:13" x14ac:dyDescent="0.2">
      <c r="B1948">
        <v>3077</v>
      </c>
      <c r="C1948">
        <v>5</v>
      </c>
      <c r="D1948">
        <v>0</v>
      </c>
      <c r="E1948">
        <v>0</v>
      </c>
      <c r="F1948">
        <v>0.6</v>
      </c>
      <c r="G1948">
        <v>0.6</v>
      </c>
      <c r="H1948">
        <v>0</v>
      </c>
      <c r="I1948">
        <v>0</v>
      </c>
      <c r="J1948">
        <v>0</v>
      </c>
      <c r="K1948">
        <v>50</v>
      </c>
      <c r="L1948" t="s">
        <v>113</v>
      </c>
      <c r="M1948" t="s">
        <v>114</v>
      </c>
    </row>
    <row r="1949" spans="2:13" x14ac:dyDescent="0.2">
      <c r="B1949">
        <v>3077</v>
      </c>
      <c r="C1949">
        <v>5</v>
      </c>
      <c r="D1949">
        <v>6</v>
      </c>
      <c r="E1949">
        <v>0.1</v>
      </c>
      <c r="F1949">
        <v>0.6</v>
      </c>
      <c r="G1949">
        <v>0.6</v>
      </c>
      <c r="H1949">
        <v>65</v>
      </c>
      <c r="I1949">
        <v>1</v>
      </c>
      <c r="J1949">
        <v>0</v>
      </c>
      <c r="K1949">
        <v>41.3</v>
      </c>
      <c r="L1949" t="s">
        <v>115</v>
      </c>
      <c r="M1949" t="s">
        <v>116</v>
      </c>
    </row>
    <row r="1950" spans="2:13" x14ac:dyDescent="0.2">
      <c r="B1950">
        <v>3077</v>
      </c>
      <c r="C1950">
        <v>5</v>
      </c>
      <c r="D1950">
        <v>12.1</v>
      </c>
      <c r="E1950">
        <v>0.2</v>
      </c>
      <c r="F1950">
        <v>0.6</v>
      </c>
      <c r="G1950">
        <v>0.7</v>
      </c>
      <c r="H1950">
        <v>130</v>
      </c>
      <c r="I1950">
        <v>7</v>
      </c>
      <c r="J1950">
        <v>0</v>
      </c>
      <c r="K1950">
        <v>89.6</v>
      </c>
      <c r="L1950" t="s">
        <v>128</v>
      </c>
      <c r="M1950" t="s">
        <v>116</v>
      </c>
    </row>
    <row r="1951" spans="2:13" x14ac:dyDescent="0.2">
      <c r="B1951">
        <v>3077</v>
      </c>
      <c r="C1951">
        <v>5</v>
      </c>
      <c r="D1951">
        <v>12.3</v>
      </c>
      <c r="E1951">
        <v>0.2</v>
      </c>
      <c r="F1951">
        <v>0.7</v>
      </c>
      <c r="G1951">
        <v>0.7</v>
      </c>
      <c r="H1951">
        <v>133</v>
      </c>
      <c r="I1951">
        <v>7</v>
      </c>
      <c r="J1951">
        <v>1</v>
      </c>
      <c r="K1951">
        <v>79.599999999999994</v>
      </c>
      <c r="L1951" t="s">
        <v>117</v>
      </c>
      <c r="M1951" t="s">
        <v>118</v>
      </c>
    </row>
    <row r="1952" spans="2:13" x14ac:dyDescent="0.2">
      <c r="B1952">
        <v>3077</v>
      </c>
      <c r="C1952">
        <v>5</v>
      </c>
      <c r="D1952">
        <v>16.100000000000001</v>
      </c>
      <c r="E1952">
        <v>0.27</v>
      </c>
      <c r="F1952">
        <v>0.7</v>
      </c>
      <c r="G1952">
        <v>0.7</v>
      </c>
      <c r="H1952">
        <v>181</v>
      </c>
      <c r="I1952">
        <v>9</v>
      </c>
      <c r="J1952">
        <v>2</v>
      </c>
      <c r="K1952">
        <v>75</v>
      </c>
      <c r="L1952" t="s">
        <v>127</v>
      </c>
      <c r="M1952" t="s">
        <v>118</v>
      </c>
    </row>
    <row r="1953" spans="2:13" x14ac:dyDescent="0.2">
      <c r="B1953">
        <v>3078</v>
      </c>
      <c r="C1953">
        <v>1</v>
      </c>
      <c r="D1953">
        <v>0</v>
      </c>
      <c r="E1953">
        <v>0</v>
      </c>
      <c r="F1953">
        <v>0.6</v>
      </c>
      <c r="G1953">
        <v>0.6</v>
      </c>
      <c r="H1953">
        <v>0</v>
      </c>
      <c r="I1953">
        <v>0</v>
      </c>
      <c r="J1953">
        <v>0</v>
      </c>
      <c r="K1953">
        <v>50</v>
      </c>
      <c r="L1953" t="s">
        <v>113</v>
      </c>
      <c r="M1953" t="s">
        <v>114</v>
      </c>
    </row>
    <row r="1954" spans="2:13" x14ac:dyDescent="0.2">
      <c r="B1954">
        <v>3078</v>
      </c>
      <c r="C1954">
        <v>1</v>
      </c>
      <c r="D1954">
        <v>6</v>
      </c>
      <c r="E1954">
        <v>0.1</v>
      </c>
      <c r="F1954">
        <v>0.6</v>
      </c>
      <c r="G1954">
        <v>0.6</v>
      </c>
      <c r="H1954">
        <v>65</v>
      </c>
      <c r="I1954">
        <v>0</v>
      </c>
      <c r="J1954">
        <v>0</v>
      </c>
      <c r="K1954">
        <v>44.6</v>
      </c>
      <c r="L1954" t="s">
        <v>115</v>
      </c>
      <c r="M1954" t="s">
        <v>116</v>
      </c>
    </row>
    <row r="1955" spans="2:13" x14ac:dyDescent="0.2">
      <c r="B1955">
        <v>3078</v>
      </c>
      <c r="C1955">
        <v>1</v>
      </c>
      <c r="D1955">
        <v>12.1</v>
      </c>
      <c r="E1955">
        <v>0.2</v>
      </c>
      <c r="F1955">
        <v>0.6</v>
      </c>
      <c r="G1955">
        <v>0.7</v>
      </c>
      <c r="H1955">
        <v>130</v>
      </c>
      <c r="I1955">
        <v>7</v>
      </c>
      <c r="J1955">
        <v>0</v>
      </c>
      <c r="K1955">
        <v>94.6</v>
      </c>
      <c r="L1955" t="s">
        <v>128</v>
      </c>
      <c r="M1955" t="s">
        <v>116</v>
      </c>
    </row>
    <row r="1956" spans="2:13" x14ac:dyDescent="0.2">
      <c r="B1956">
        <v>3078</v>
      </c>
      <c r="C1956">
        <v>2</v>
      </c>
      <c r="D1956">
        <v>0</v>
      </c>
      <c r="E1956">
        <v>0</v>
      </c>
      <c r="F1956">
        <v>0.6</v>
      </c>
      <c r="G1956">
        <v>0.6</v>
      </c>
      <c r="H1956">
        <v>0</v>
      </c>
      <c r="I1956">
        <v>0</v>
      </c>
      <c r="J1956">
        <v>0</v>
      </c>
      <c r="K1956">
        <v>50</v>
      </c>
      <c r="L1956" t="s">
        <v>113</v>
      </c>
      <c r="M1956" t="s">
        <v>114</v>
      </c>
    </row>
    <row r="1957" spans="2:13" x14ac:dyDescent="0.2">
      <c r="B1957">
        <v>3078</v>
      </c>
      <c r="C1957">
        <v>2</v>
      </c>
      <c r="D1957">
        <v>6</v>
      </c>
      <c r="E1957">
        <v>0.1</v>
      </c>
      <c r="F1957">
        <v>0.6</v>
      </c>
      <c r="G1957">
        <v>0.6</v>
      </c>
      <c r="H1957">
        <v>65</v>
      </c>
      <c r="I1957">
        <v>0</v>
      </c>
      <c r="J1957">
        <v>0</v>
      </c>
      <c r="K1957">
        <v>41.3</v>
      </c>
      <c r="L1957" t="s">
        <v>115</v>
      </c>
      <c r="M1957" t="s">
        <v>116</v>
      </c>
    </row>
    <row r="1958" spans="2:13" x14ac:dyDescent="0.2">
      <c r="B1958">
        <v>3078</v>
      </c>
      <c r="C1958">
        <v>2</v>
      </c>
      <c r="D1958">
        <v>12</v>
      </c>
      <c r="E1958">
        <v>0.2</v>
      </c>
      <c r="F1958">
        <v>0.6</v>
      </c>
      <c r="G1958">
        <v>0.6</v>
      </c>
      <c r="H1958">
        <v>129</v>
      </c>
      <c r="I1958">
        <v>6</v>
      </c>
      <c r="J1958">
        <v>1</v>
      </c>
      <c r="K1958">
        <v>81.2</v>
      </c>
      <c r="L1958" t="s">
        <v>122</v>
      </c>
      <c r="M1958" t="s">
        <v>118</v>
      </c>
    </row>
    <row r="1959" spans="2:13" x14ac:dyDescent="0.2">
      <c r="B1959">
        <v>3078</v>
      </c>
      <c r="C1959">
        <v>2</v>
      </c>
      <c r="D1959">
        <v>12.1</v>
      </c>
      <c r="E1959">
        <v>0.2</v>
      </c>
      <c r="F1959">
        <v>0.6</v>
      </c>
      <c r="G1959">
        <v>0.6</v>
      </c>
      <c r="H1959">
        <v>130</v>
      </c>
      <c r="I1959">
        <v>6</v>
      </c>
      <c r="J1959">
        <v>1</v>
      </c>
      <c r="K1959">
        <v>81.3</v>
      </c>
      <c r="L1959" t="s">
        <v>136</v>
      </c>
      <c r="M1959" t="s">
        <v>116</v>
      </c>
    </row>
    <row r="1960" spans="2:13" x14ac:dyDescent="0.2">
      <c r="B1960">
        <v>3078</v>
      </c>
      <c r="C1960">
        <v>2</v>
      </c>
      <c r="D1960">
        <v>18.100000000000001</v>
      </c>
      <c r="E1960">
        <v>0.3</v>
      </c>
      <c r="F1960">
        <v>0.6</v>
      </c>
      <c r="G1960">
        <v>0.6</v>
      </c>
      <c r="H1960">
        <v>195</v>
      </c>
      <c r="I1960">
        <v>12</v>
      </c>
      <c r="J1960">
        <v>1</v>
      </c>
      <c r="K1960">
        <v>83.5</v>
      </c>
      <c r="L1960" t="s">
        <v>115</v>
      </c>
      <c r="M1960" t="s">
        <v>116</v>
      </c>
    </row>
    <row r="1961" spans="2:13" x14ac:dyDescent="0.2">
      <c r="B1961">
        <v>3078</v>
      </c>
      <c r="C1961">
        <v>3</v>
      </c>
      <c r="D1961">
        <v>0</v>
      </c>
      <c r="E1961">
        <v>0</v>
      </c>
      <c r="F1961">
        <v>0.6</v>
      </c>
      <c r="G1961">
        <v>0.6</v>
      </c>
      <c r="H1961">
        <v>0</v>
      </c>
      <c r="I1961">
        <v>0</v>
      </c>
      <c r="J1961">
        <v>0</v>
      </c>
      <c r="K1961">
        <v>50</v>
      </c>
      <c r="L1961" t="s">
        <v>113</v>
      </c>
      <c r="M1961" t="s">
        <v>114</v>
      </c>
    </row>
    <row r="1962" spans="2:13" x14ac:dyDescent="0.2">
      <c r="B1962">
        <v>3078</v>
      </c>
      <c r="C1962">
        <v>3</v>
      </c>
      <c r="D1962">
        <v>6</v>
      </c>
      <c r="E1962">
        <v>0.1</v>
      </c>
      <c r="F1962">
        <v>0.6</v>
      </c>
      <c r="G1962">
        <v>0.6</v>
      </c>
      <c r="H1962">
        <v>65</v>
      </c>
      <c r="I1962">
        <v>1</v>
      </c>
      <c r="J1962">
        <v>0</v>
      </c>
      <c r="K1962">
        <v>45.5</v>
      </c>
      <c r="L1962" t="s">
        <v>115</v>
      </c>
      <c r="M1962" t="s">
        <v>116</v>
      </c>
    </row>
    <row r="1963" spans="2:13" x14ac:dyDescent="0.2">
      <c r="B1963">
        <v>3078</v>
      </c>
      <c r="C1963">
        <v>3</v>
      </c>
      <c r="D1963">
        <v>12.1</v>
      </c>
      <c r="E1963">
        <v>0.2</v>
      </c>
      <c r="F1963">
        <v>0.6</v>
      </c>
      <c r="G1963">
        <v>0.7</v>
      </c>
      <c r="H1963">
        <v>130</v>
      </c>
      <c r="I1963">
        <v>4</v>
      </c>
      <c r="J1963">
        <v>0</v>
      </c>
      <c r="K1963">
        <v>94.6</v>
      </c>
      <c r="L1963" t="s">
        <v>128</v>
      </c>
      <c r="M1963" t="s">
        <v>116</v>
      </c>
    </row>
    <row r="1964" spans="2:13" x14ac:dyDescent="0.2">
      <c r="B1964">
        <v>3078</v>
      </c>
      <c r="C1964">
        <v>4</v>
      </c>
      <c r="D1964">
        <v>0</v>
      </c>
      <c r="E1964">
        <v>0</v>
      </c>
      <c r="F1964">
        <v>0.6</v>
      </c>
      <c r="G1964">
        <v>0.6</v>
      </c>
      <c r="H1964">
        <v>0</v>
      </c>
      <c r="I1964">
        <v>0</v>
      </c>
      <c r="J1964">
        <v>0</v>
      </c>
      <c r="K1964">
        <v>50</v>
      </c>
      <c r="L1964" t="s">
        <v>113</v>
      </c>
      <c r="M1964" t="s">
        <v>114</v>
      </c>
    </row>
    <row r="1965" spans="2:13" x14ac:dyDescent="0.2">
      <c r="B1965">
        <v>3078</v>
      </c>
      <c r="C1965">
        <v>4</v>
      </c>
      <c r="D1965">
        <v>6</v>
      </c>
      <c r="E1965">
        <v>0.1</v>
      </c>
      <c r="F1965">
        <v>0.6</v>
      </c>
      <c r="G1965">
        <v>0.6</v>
      </c>
      <c r="H1965">
        <v>65</v>
      </c>
      <c r="I1965">
        <v>0</v>
      </c>
      <c r="J1965">
        <v>0</v>
      </c>
      <c r="K1965">
        <v>43.8</v>
      </c>
      <c r="L1965" t="s">
        <v>115</v>
      </c>
      <c r="M1965" t="s">
        <v>116</v>
      </c>
    </row>
    <row r="1966" spans="2:13" x14ac:dyDescent="0.2">
      <c r="B1966">
        <v>3078</v>
      </c>
      <c r="C1966">
        <v>4</v>
      </c>
      <c r="D1966">
        <v>10.6</v>
      </c>
      <c r="E1966">
        <v>0.18</v>
      </c>
      <c r="F1966">
        <v>0.6</v>
      </c>
      <c r="G1966">
        <v>0.6</v>
      </c>
      <c r="H1966">
        <v>114</v>
      </c>
      <c r="I1966">
        <v>4</v>
      </c>
      <c r="J1966">
        <v>1</v>
      </c>
      <c r="K1966">
        <v>44.3</v>
      </c>
      <c r="L1966" t="s">
        <v>122</v>
      </c>
      <c r="M1966" t="s">
        <v>118</v>
      </c>
    </row>
    <row r="1967" spans="2:13" x14ac:dyDescent="0.2">
      <c r="B1967">
        <v>3078</v>
      </c>
      <c r="C1967">
        <v>4</v>
      </c>
      <c r="D1967">
        <v>12.1</v>
      </c>
      <c r="E1967">
        <v>0.2</v>
      </c>
      <c r="F1967">
        <v>0.6</v>
      </c>
      <c r="G1967">
        <v>0.6</v>
      </c>
      <c r="H1967">
        <v>130</v>
      </c>
      <c r="I1967">
        <v>4</v>
      </c>
      <c r="J1967">
        <v>1</v>
      </c>
      <c r="K1967">
        <v>44.2</v>
      </c>
      <c r="L1967" t="s">
        <v>132</v>
      </c>
      <c r="M1967" t="s">
        <v>116</v>
      </c>
    </row>
    <row r="1968" spans="2:13" x14ac:dyDescent="0.2">
      <c r="B1968">
        <v>3078</v>
      </c>
      <c r="C1968">
        <v>4</v>
      </c>
      <c r="D1968">
        <v>18.100000000000001</v>
      </c>
      <c r="E1968">
        <v>0.3</v>
      </c>
      <c r="F1968">
        <v>0.6</v>
      </c>
      <c r="G1968">
        <v>0.6</v>
      </c>
      <c r="H1968">
        <v>195</v>
      </c>
      <c r="I1968">
        <v>12</v>
      </c>
      <c r="J1968">
        <v>1</v>
      </c>
      <c r="K1968">
        <v>68.599999999999994</v>
      </c>
      <c r="L1968" t="s">
        <v>115</v>
      </c>
      <c r="M1968" t="s">
        <v>116</v>
      </c>
    </row>
    <row r="1969" spans="2:13" x14ac:dyDescent="0.2">
      <c r="B1969">
        <v>3078</v>
      </c>
      <c r="C1969">
        <v>5</v>
      </c>
      <c r="D1969">
        <v>0</v>
      </c>
      <c r="E1969">
        <v>0</v>
      </c>
      <c r="F1969">
        <v>0.6</v>
      </c>
      <c r="G1969">
        <v>0.6</v>
      </c>
      <c r="H1969">
        <v>0</v>
      </c>
      <c r="I1969">
        <v>0</v>
      </c>
      <c r="J1969">
        <v>0</v>
      </c>
      <c r="K1969">
        <v>50</v>
      </c>
      <c r="L1969" t="s">
        <v>113</v>
      </c>
      <c r="M1969" t="s">
        <v>114</v>
      </c>
    </row>
    <row r="1970" spans="2:13" x14ac:dyDescent="0.2">
      <c r="B1970">
        <v>3078</v>
      </c>
      <c r="C1970">
        <v>5</v>
      </c>
      <c r="D1970">
        <v>6</v>
      </c>
      <c r="E1970">
        <v>0.1</v>
      </c>
      <c r="F1970">
        <v>0.6</v>
      </c>
      <c r="G1970">
        <v>0.6</v>
      </c>
      <c r="H1970">
        <v>65</v>
      </c>
      <c r="I1970">
        <v>0</v>
      </c>
      <c r="J1970">
        <v>0</v>
      </c>
      <c r="K1970">
        <v>45.9</v>
      </c>
      <c r="L1970" t="s">
        <v>115</v>
      </c>
      <c r="M1970" t="s">
        <v>116</v>
      </c>
    </row>
    <row r="1971" spans="2:13" x14ac:dyDescent="0.2">
      <c r="B1971">
        <v>3078</v>
      </c>
      <c r="C1971">
        <v>5</v>
      </c>
      <c r="D1971">
        <v>12.1</v>
      </c>
      <c r="E1971">
        <v>0.2</v>
      </c>
      <c r="F1971">
        <v>0.6</v>
      </c>
      <c r="G1971">
        <v>0.7</v>
      </c>
      <c r="H1971">
        <v>130</v>
      </c>
      <c r="I1971">
        <v>3</v>
      </c>
      <c r="J1971">
        <v>0</v>
      </c>
      <c r="K1971">
        <v>95</v>
      </c>
      <c r="L1971" t="s">
        <v>128</v>
      </c>
      <c r="M1971" t="s">
        <v>116</v>
      </c>
    </row>
    <row r="1972" spans="2:13" x14ac:dyDescent="0.2">
      <c r="B1972">
        <v>3079</v>
      </c>
      <c r="C1972">
        <v>1</v>
      </c>
      <c r="D1972">
        <v>0</v>
      </c>
      <c r="E1972">
        <v>0</v>
      </c>
      <c r="F1972">
        <v>0.6</v>
      </c>
      <c r="G1972">
        <v>0.6</v>
      </c>
      <c r="H1972">
        <v>0</v>
      </c>
      <c r="I1972">
        <v>0</v>
      </c>
      <c r="J1972">
        <v>0</v>
      </c>
      <c r="K1972">
        <v>50</v>
      </c>
      <c r="L1972" t="s">
        <v>113</v>
      </c>
      <c r="M1972" t="s">
        <v>114</v>
      </c>
    </row>
    <row r="1973" spans="2:13" x14ac:dyDescent="0.2">
      <c r="B1973">
        <v>3079</v>
      </c>
      <c r="C1973">
        <v>1</v>
      </c>
      <c r="D1973">
        <v>6</v>
      </c>
      <c r="E1973">
        <v>0.1</v>
      </c>
      <c r="F1973">
        <v>0.6</v>
      </c>
      <c r="G1973">
        <v>0.6</v>
      </c>
      <c r="H1973">
        <v>65</v>
      </c>
      <c r="I1973">
        <v>1</v>
      </c>
      <c r="J1973">
        <v>0</v>
      </c>
      <c r="K1973">
        <v>29.8</v>
      </c>
      <c r="L1973" t="s">
        <v>115</v>
      </c>
      <c r="M1973" t="s">
        <v>116</v>
      </c>
    </row>
    <row r="1974" spans="2:13" x14ac:dyDescent="0.2">
      <c r="B1974">
        <v>3079</v>
      </c>
      <c r="C1974">
        <v>1</v>
      </c>
      <c r="D1974">
        <v>7</v>
      </c>
      <c r="E1974">
        <v>0.12</v>
      </c>
      <c r="F1974">
        <v>0.6</v>
      </c>
      <c r="G1974">
        <v>0.6</v>
      </c>
      <c r="H1974">
        <v>76</v>
      </c>
      <c r="I1974">
        <v>1</v>
      </c>
      <c r="J1974">
        <v>1</v>
      </c>
      <c r="K1974">
        <v>31.6</v>
      </c>
      <c r="L1974" t="s">
        <v>142</v>
      </c>
      <c r="M1974" t="s">
        <v>118</v>
      </c>
    </row>
    <row r="1975" spans="2:13" x14ac:dyDescent="0.2">
      <c r="B1975">
        <v>3079</v>
      </c>
      <c r="C1975">
        <v>1</v>
      </c>
      <c r="D1975">
        <v>12.1</v>
      </c>
      <c r="E1975">
        <v>0.2</v>
      </c>
      <c r="F1975">
        <v>0.6</v>
      </c>
      <c r="G1975">
        <v>0.6</v>
      </c>
      <c r="H1975">
        <v>130</v>
      </c>
      <c r="I1975">
        <v>2</v>
      </c>
      <c r="J1975">
        <v>1</v>
      </c>
      <c r="K1975">
        <v>33.200000000000003</v>
      </c>
      <c r="L1975" t="s">
        <v>132</v>
      </c>
      <c r="M1975" t="s">
        <v>116</v>
      </c>
    </row>
    <row r="1976" spans="2:13" x14ac:dyDescent="0.2">
      <c r="B1976">
        <v>3079</v>
      </c>
      <c r="C1976">
        <v>1</v>
      </c>
      <c r="D1976">
        <v>14.2</v>
      </c>
      <c r="E1976">
        <v>0.24</v>
      </c>
      <c r="F1976">
        <v>0.6</v>
      </c>
      <c r="G1976">
        <v>0.6</v>
      </c>
      <c r="H1976">
        <v>153</v>
      </c>
      <c r="I1976">
        <v>2</v>
      </c>
      <c r="J1976">
        <v>2</v>
      </c>
      <c r="K1976">
        <v>33.6</v>
      </c>
      <c r="L1976" t="s">
        <v>127</v>
      </c>
      <c r="M1976" t="s">
        <v>118</v>
      </c>
    </row>
    <row r="1977" spans="2:13" x14ac:dyDescent="0.2">
      <c r="B1977">
        <v>3079</v>
      </c>
      <c r="C1977">
        <v>1</v>
      </c>
      <c r="D1977">
        <v>18.100000000000001</v>
      </c>
      <c r="E1977">
        <v>0.3</v>
      </c>
      <c r="F1977">
        <v>0.6</v>
      </c>
      <c r="G1977">
        <v>0.6</v>
      </c>
      <c r="H1977">
        <v>195</v>
      </c>
      <c r="I1977">
        <v>6</v>
      </c>
      <c r="J1977">
        <v>2</v>
      </c>
      <c r="K1977">
        <v>33.799999999999997</v>
      </c>
      <c r="L1977" t="s">
        <v>132</v>
      </c>
      <c r="M1977" t="s">
        <v>116</v>
      </c>
    </row>
    <row r="1978" spans="2:13" x14ac:dyDescent="0.2">
      <c r="B1978">
        <v>3079</v>
      </c>
      <c r="C1978">
        <v>2</v>
      </c>
      <c r="D1978">
        <v>0</v>
      </c>
      <c r="E1978">
        <v>0</v>
      </c>
      <c r="F1978">
        <v>0.6</v>
      </c>
      <c r="G1978">
        <v>0.6</v>
      </c>
      <c r="H1978">
        <v>0</v>
      </c>
      <c r="I1978">
        <v>0</v>
      </c>
      <c r="J1978">
        <v>0</v>
      </c>
      <c r="K1978">
        <v>50</v>
      </c>
      <c r="L1978" t="s">
        <v>113</v>
      </c>
      <c r="M1978" t="s">
        <v>114</v>
      </c>
    </row>
    <row r="1979" spans="2:13" x14ac:dyDescent="0.2">
      <c r="B1979">
        <v>3079</v>
      </c>
      <c r="C1979">
        <v>2</v>
      </c>
      <c r="D1979">
        <v>6</v>
      </c>
      <c r="E1979">
        <v>0.1</v>
      </c>
      <c r="F1979">
        <v>0.6</v>
      </c>
      <c r="G1979">
        <v>0.6</v>
      </c>
      <c r="H1979">
        <v>65</v>
      </c>
      <c r="I1979">
        <v>1</v>
      </c>
      <c r="J1979">
        <v>0</v>
      </c>
      <c r="K1979">
        <v>36.799999999999997</v>
      </c>
      <c r="L1979" t="s">
        <v>115</v>
      </c>
      <c r="M1979" t="s">
        <v>116</v>
      </c>
    </row>
    <row r="1980" spans="2:13" x14ac:dyDescent="0.2">
      <c r="B1980">
        <v>3079</v>
      </c>
      <c r="C1980">
        <v>2</v>
      </c>
      <c r="D1980">
        <v>7.2</v>
      </c>
      <c r="E1980">
        <v>0.12</v>
      </c>
      <c r="F1980">
        <v>0.6</v>
      </c>
      <c r="G1980">
        <v>0.6</v>
      </c>
      <c r="H1980">
        <v>78</v>
      </c>
      <c r="I1980">
        <v>1</v>
      </c>
      <c r="J1980">
        <v>1</v>
      </c>
      <c r="K1980">
        <v>36.9</v>
      </c>
      <c r="L1980" t="s">
        <v>122</v>
      </c>
      <c r="M1980" t="s">
        <v>118</v>
      </c>
    </row>
    <row r="1981" spans="2:13" x14ac:dyDescent="0.2">
      <c r="B1981">
        <v>3079</v>
      </c>
      <c r="C1981">
        <v>2</v>
      </c>
      <c r="D1981">
        <v>12.1</v>
      </c>
      <c r="E1981">
        <v>0.2</v>
      </c>
      <c r="F1981">
        <v>0.6</v>
      </c>
      <c r="G1981">
        <v>0.6</v>
      </c>
      <c r="H1981">
        <v>130</v>
      </c>
      <c r="I1981">
        <v>3</v>
      </c>
      <c r="J1981">
        <v>1</v>
      </c>
      <c r="K1981">
        <v>35.9</v>
      </c>
      <c r="L1981" t="s">
        <v>132</v>
      </c>
      <c r="M1981" t="s">
        <v>116</v>
      </c>
    </row>
    <row r="1982" spans="2:13" x14ac:dyDescent="0.2">
      <c r="B1982">
        <v>3079</v>
      </c>
      <c r="C1982">
        <v>2</v>
      </c>
      <c r="D1982">
        <v>12.2</v>
      </c>
      <c r="E1982">
        <v>0.2</v>
      </c>
      <c r="F1982">
        <v>0.6</v>
      </c>
      <c r="G1982">
        <v>0.6</v>
      </c>
      <c r="H1982">
        <v>132</v>
      </c>
      <c r="I1982">
        <v>3</v>
      </c>
      <c r="J1982">
        <v>2</v>
      </c>
      <c r="K1982">
        <v>36.1</v>
      </c>
      <c r="L1982" t="s">
        <v>119</v>
      </c>
      <c r="M1982" t="s">
        <v>118</v>
      </c>
    </row>
    <row r="1983" spans="2:13" x14ac:dyDescent="0.2">
      <c r="B1983">
        <v>3079</v>
      </c>
      <c r="C1983">
        <v>2</v>
      </c>
      <c r="D1983">
        <v>14.5</v>
      </c>
      <c r="E1983">
        <v>0.24</v>
      </c>
      <c r="F1983">
        <v>0.6</v>
      </c>
      <c r="G1983">
        <v>0.6</v>
      </c>
      <c r="H1983">
        <v>157</v>
      </c>
      <c r="I1983">
        <v>3</v>
      </c>
      <c r="J1983">
        <v>3</v>
      </c>
      <c r="K1983">
        <v>35.9</v>
      </c>
      <c r="L1983" t="s">
        <v>125</v>
      </c>
      <c r="M1983" t="s">
        <v>118</v>
      </c>
    </row>
    <row r="1984" spans="2:13" x14ac:dyDescent="0.2">
      <c r="B1984">
        <v>3079</v>
      </c>
      <c r="C1984">
        <v>2</v>
      </c>
      <c r="D1984">
        <v>18.100000000000001</v>
      </c>
      <c r="E1984">
        <v>0.3</v>
      </c>
      <c r="F1984">
        <v>0.6</v>
      </c>
      <c r="G1984">
        <v>0.45</v>
      </c>
      <c r="H1984">
        <v>195</v>
      </c>
      <c r="I1984">
        <v>4</v>
      </c>
      <c r="J1984">
        <v>3</v>
      </c>
      <c r="K1984">
        <v>35.9</v>
      </c>
      <c r="L1984" t="s">
        <v>126</v>
      </c>
      <c r="M1984" t="s">
        <v>116</v>
      </c>
    </row>
    <row r="1985" spans="2:13" x14ac:dyDescent="0.2">
      <c r="B1985">
        <v>3079</v>
      </c>
      <c r="C1985">
        <v>3</v>
      </c>
      <c r="D1985">
        <v>0</v>
      </c>
      <c r="E1985">
        <v>0</v>
      </c>
      <c r="F1985">
        <v>0.6</v>
      </c>
      <c r="G1985">
        <v>0.6</v>
      </c>
      <c r="H1985">
        <v>0</v>
      </c>
      <c r="I1985">
        <v>0</v>
      </c>
      <c r="J1985">
        <v>0</v>
      </c>
      <c r="K1985">
        <v>50</v>
      </c>
      <c r="L1985" t="s">
        <v>113</v>
      </c>
      <c r="M1985" t="s">
        <v>114</v>
      </c>
    </row>
    <row r="1986" spans="2:13" x14ac:dyDescent="0.2">
      <c r="B1986">
        <v>3079</v>
      </c>
      <c r="C1986">
        <v>3</v>
      </c>
      <c r="D1986">
        <v>6</v>
      </c>
      <c r="E1986">
        <v>0.1</v>
      </c>
      <c r="F1986">
        <v>0.6</v>
      </c>
      <c r="G1986">
        <v>0.6</v>
      </c>
      <c r="H1986">
        <v>65</v>
      </c>
      <c r="I1986">
        <v>0</v>
      </c>
      <c r="J1986">
        <v>0</v>
      </c>
      <c r="K1986">
        <v>38</v>
      </c>
      <c r="L1986" t="s">
        <v>115</v>
      </c>
      <c r="M1986" t="s">
        <v>116</v>
      </c>
    </row>
    <row r="1987" spans="2:13" x14ac:dyDescent="0.2">
      <c r="B1987">
        <v>3079</v>
      </c>
      <c r="C1987">
        <v>3</v>
      </c>
      <c r="D1987">
        <v>9.6999999999999993</v>
      </c>
      <c r="E1987">
        <v>0.16</v>
      </c>
      <c r="F1987">
        <v>0.6</v>
      </c>
      <c r="G1987">
        <v>0.6</v>
      </c>
      <c r="H1987">
        <v>104</v>
      </c>
      <c r="I1987">
        <v>3</v>
      </c>
      <c r="J1987">
        <v>1</v>
      </c>
      <c r="K1987">
        <v>63.3</v>
      </c>
      <c r="L1987" t="s">
        <v>117</v>
      </c>
      <c r="M1987" t="s">
        <v>118</v>
      </c>
    </row>
    <row r="1988" spans="2:13" x14ac:dyDescent="0.2">
      <c r="B1988">
        <v>3079</v>
      </c>
      <c r="C1988">
        <v>3</v>
      </c>
      <c r="D1988">
        <v>9.8000000000000007</v>
      </c>
      <c r="E1988">
        <v>0.16</v>
      </c>
      <c r="F1988">
        <v>0.6</v>
      </c>
      <c r="G1988">
        <v>0.6</v>
      </c>
      <c r="H1988">
        <v>106</v>
      </c>
      <c r="I1988">
        <v>3</v>
      </c>
      <c r="J1988">
        <v>2</v>
      </c>
      <c r="K1988">
        <v>55.2</v>
      </c>
      <c r="L1988" t="s">
        <v>119</v>
      </c>
      <c r="M1988" t="s">
        <v>118</v>
      </c>
    </row>
    <row r="1989" spans="2:13" x14ac:dyDescent="0.2">
      <c r="B1989">
        <v>3079</v>
      </c>
      <c r="C1989">
        <v>3</v>
      </c>
      <c r="D1989">
        <v>12.1</v>
      </c>
      <c r="E1989">
        <v>0.2</v>
      </c>
      <c r="F1989">
        <v>0.6</v>
      </c>
      <c r="G1989">
        <v>0.45</v>
      </c>
      <c r="H1989">
        <v>130</v>
      </c>
      <c r="I1989">
        <v>3</v>
      </c>
      <c r="J1989">
        <v>2</v>
      </c>
      <c r="K1989">
        <v>53.6</v>
      </c>
      <c r="L1989" t="s">
        <v>120</v>
      </c>
      <c r="M1989" t="s">
        <v>116</v>
      </c>
    </row>
    <row r="1990" spans="2:13" x14ac:dyDescent="0.2">
      <c r="B1990">
        <v>3079</v>
      </c>
      <c r="C1990">
        <v>3</v>
      </c>
      <c r="D1990">
        <v>15.3</v>
      </c>
      <c r="E1990">
        <v>0.26</v>
      </c>
      <c r="F1990">
        <v>0.45</v>
      </c>
      <c r="G1990">
        <v>0.45</v>
      </c>
      <c r="H1990">
        <v>156</v>
      </c>
      <c r="I1990">
        <v>4</v>
      </c>
      <c r="J1990">
        <v>3</v>
      </c>
      <c r="K1990">
        <v>56.6</v>
      </c>
      <c r="L1990" t="s">
        <v>125</v>
      </c>
      <c r="M1990" t="s">
        <v>118</v>
      </c>
    </row>
    <row r="1991" spans="2:13" x14ac:dyDescent="0.2">
      <c r="B1991">
        <v>3079</v>
      </c>
      <c r="C1991">
        <v>3</v>
      </c>
      <c r="D1991">
        <v>18.100000000000001</v>
      </c>
      <c r="E1991">
        <v>0.3</v>
      </c>
      <c r="F1991">
        <v>0.45</v>
      </c>
      <c r="G1991">
        <v>0.45</v>
      </c>
      <c r="H1991">
        <v>179</v>
      </c>
      <c r="I1991">
        <v>5</v>
      </c>
      <c r="J1991">
        <v>3</v>
      </c>
      <c r="K1991">
        <v>56.6</v>
      </c>
      <c r="L1991" t="s">
        <v>121</v>
      </c>
      <c r="M1991" t="s">
        <v>116</v>
      </c>
    </row>
    <row r="1992" spans="2:13" x14ac:dyDescent="0.2">
      <c r="B1992">
        <v>3079</v>
      </c>
      <c r="C1992">
        <v>4</v>
      </c>
      <c r="D1992">
        <v>0</v>
      </c>
      <c r="E1992">
        <v>0</v>
      </c>
      <c r="F1992">
        <v>0.6</v>
      </c>
      <c r="G1992">
        <v>0.6</v>
      </c>
      <c r="H1992">
        <v>0</v>
      </c>
      <c r="I1992">
        <v>0</v>
      </c>
      <c r="J1992">
        <v>0</v>
      </c>
      <c r="K1992">
        <v>50</v>
      </c>
      <c r="L1992" t="s">
        <v>113</v>
      </c>
      <c r="M1992" t="s">
        <v>114</v>
      </c>
    </row>
    <row r="1993" spans="2:13" x14ac:dyDescent="0.2">
      <c r="B1993">
        <v>3079</v>
      </c>
      <c r="C1993">
        <v>4</v>
      </c>
      <c r="D1993">
        <v>6</v>
      </c>
      <c r="E1993">
        <v>0.1</v>
      </c>
      <c r="F1993">
        <v>0.6</v>
      </c>
      <c r="G1993">
        <v>0.6</v>
      </c>
      <c r="H1993">
        <v>65</v>
      </c>
      <c r="I1993">
        <v>0</v>
      </c>
      <c r="J1993">
        <v>0</v>
      </c>
      <c r="K1993">
        <v>33.5</v>
      </c>
      <c r="L1993" t="s">
        <v>115</v>
      </c>
      <c r="M1993" t="s">
        <v>116</v>
      </c>
    </row>
    <row r="1994" spans="2:13" x14ac:dyDescent="0.2">
      <c r="B1994">
        <v>3079</v>
      </c>
      <c r="C1994">
        <v>4</v>
      </c>
      <c r="D1994">
        <v>12.1</v>
      </c>
      <c r="E1994">
        <v>0.2</v>
      </c>
      <c r="F1994">
        <v>0.6</v>
      </c>
      <c r="G1994">
        <v>0.6</v>
      </c>
      <c r="H1994">
        <v>130</v>
      </c>
      <c r="I1994">
        <v>6</v>
      </c>
      <c r="J1994">
        <v>0</v>
      </c>
      <c r="K1994">
        <v>84.6</v>
      </c>
      <c r="L1994" t="s">
        <v>115</v>
      </c>
      <c r="M1994" t="s">
        <v>116</v>
      </c>
    </row>
    <row r="1995" spans="2:13" x14ac:dyDescent="0.2">
      <c r="B1995">
        <v>3079</v>
      </c>
      <c r="C1995">
        <v>4</v>
      </c>
      <c r="D1995">
        <v>16.3</v>
      </c>
      <c r="E1995">
        <v>0.27</v>
      </c>
      <c r="F1995">
        <v>0.6</v>
      </c>
      <c r="G1995">
        <v>0.6</v>
      </c>
      <c r="H1995">
        <v>175</v>
      </c>
      <c r="I1995">
        <v>7</v>
      </c>
      <c r="J1995">
        <v>1</v>
      </c>
      <c r="K1995">
        <v>59.2</v>
      </c>
      <c r="L1995" t="s">
        <v>117</v>
      </c>
      <c r="M1995" t="s">
        <v>118</v>
      </c>
    </row>
    <row r="1996" spans="2:13" x14ac:dyDescent="0.2">
      <c r="B1996">
        <v>3079</v>
      </c>
      <c r="C1996">
        <v>4</v>
      </c>
      <c r="D1996">
        <v>18.100000000000001</v>
      </c>
      <c r="E1996">
        <v>0.3</v>
      </c>
      <c r="F1996">
        <v>0.6</v>
      </c>
      <c r="G1996">
        <v>0.6</v>
      </c>
      <c r="H1996">
        <v>195</v>
      </c>
      <c r="I1996">
        <v>9</v>
      </c>
      <c r="J1996">
        <v>1</v>
      </c>
      <c r="K1996">
        <v>59.3</v>
      </c>
      <c r="L1996" t="s">
        <v>132</v>
      </c>
      <c r="M1996" t="s">
        <v>116</v>
      </c>
    </row>
    <row r="1997" spans="2:13" x14ac:dyDescent="0.2">
      <c r="B1997">
        <v>3079</v>
      </c>
      <c r="C1997">
        <v>5</v>
      </c>
      <c r="D1997">
        <v>0</v>
      </c>
      <c r="E1997">
        <v>0</v>
      </c>
      <c r="F1997">
        <v>0.6</v>
      </c>
      <c r="G1997">
        <v>0.6</v>
      </c>
      <c r="H1997">
        <v>0</v>
      </c>
      <c r="I1997">
        <v>0</v>
      </c>
      <c r="J1997">
        <v>0</v>
      </c>
      <c r="K1997">
        <v>50</v>
      </c>
      <c r="L1997" t="s">
        <v>113</v>
      </c>
      <c r="M1997" t="s">
        <v>114</v>
      </c>
    </row>
    <row r="1998" spans="2:13" x14ac:dyDescent="0.2">
      <c r="B1998">
        <v>3079</v>
      </c>
      <c r="C1998">
        <v>5</v>
      </c>
      <c r="D1998">
        <v>5.4</v>
      </c>
      <c r="E1998">
        <v>0.09</v>
      </c>
      <c r="F1998">
        <v>0.6</v>
      </c>
      <c r="G1998">
        <v>0.6</v>
      </c>
      <c r="H1998">
        <v>59</v>
      </c>
      <c r="I1998">
        <v>0</v>
      </c>
      <c r="J1998">
        <v>1</v>
      </c>
      <c r="K1998">
        <v>37.200000000000003</v>
      </c>
      <c r="L1998" t="s">
        <v>122</v>
      </c>
      <c r="M1998" t="s">
        <v>118</v>
      </c>
    </row>
    <row r="1999" spans="2:13" x14ac:dyDescent="0.2">
      <c r="B1999">
        <v>3079</v>
      </c>
      <c r="C1999">
        <v>5</v>
      </c>
      <c r="D1999">
        <v>6</v>
      </c>
      <c r="E1999">
        <v>0.1</v>
      </c>
      <c r="F1999">
        <v>0.6</v>
      </c>
      <c r="G1999">
        <v>0.6</v>
      </c>
      <c r="H1999">
        <v>65</v>
      </c>
      <c r="I1999">
        <v>0</v>
      </c>
      <c r="J1999">
        <v>1</v>
      </c>
      <c r="K1999">
        <v>62.6</v>
      </c>
      <c r="L1999" t="s">
        <v>121</v>
      </c>
      <c r="M1999" t="s">
        <v>116</v>
      </c>
    </row>
    <row r="2000" spans="2:13" x14ac:dyDescent="0.2">
      <c r="B2000">
        <v>3079</v>
      </c>
      <c r="C2000">
        <v>5</v>
      </c>
      <c r="D2000">
        <v>6.8</v>
      </c>
      <c r="E2000">
        <v>0.11</v>
      </c>
      <c r="F2000">
        <v>0.6</v>
      </c>
      <c r="G2000">
        <v>0.6</v>
      </c>
      <c r="H2000">
        <v>74</v>
      </c>
      <c r="I2000">
        <v>0</v>
      </c>
      <c r="J2000">
        <v>2</v>
      </c>
      <c r="K2000">
        <v>54.6</v>
      </c>
      <c r="L2000" t="s">
        <v>119</v>
      </c>
      <c r="M2000" t="s">
        <v>118</v>
      </c>
    </row>
    <row r="2001" spans="2:13" x14ac:dyDescent="0.2">
      <c r="B2001">
        <v>3079</v>
      </c>
      <c r="C2001">
        <v>5</v>
      </c>
      <c r="D2001">
        <v>12.1</v>
      </c>
      <c r="E2001">
        <v>0.2</v>
      </c>
      <c r="F2001">
        <v>0.6</v>
      </c>
      <c r="G2001">
        <v>0.6</v>
      </c>
      <c r="H2001">
        <v>130</v>
      </c>
      <c r="I2001">
        <v>1</v>
      </c>
      <c r="J2001">
        <v>2</v>
      </c>
      <c r="K2001">
        <v>62.3</v>
      </c>
      <c r="L2001" t="s">
        <v>121</v>
      </c>
      <c r="M2001" t="s">
        <v>116</v>
      </c>
    </row>
    <row r="2002" spans="2:13" x14ac:dyDescent="0.2">
      <c r="B2002">
        <v>3079</v>
      </c>
      <c r="C2002">
        <v>5</v>
      </c>
      <c r="D2002">
        <v>18.100000000000001</v>
      </c>
      <c r="E2002">
        <v>0.3</v>
      </c>
      <c r="F2002">
        <v>0.6</v>
      </c>
      <c r="G2002">
        <v>0.6</v>
      </c>
      <c r="H2002">
        <v>195</v>
      </c>
      <c r="I2002">
        <v>5</v>
      </c>
      <c r="J2002">
        <v>2</v>
      </c>
      <c r="K2002">
        <v>66.7</v>
      </c>
      <c r="L2002" t="s">
        <v>115</v>
      </c>
      <c r="M2002" t="s">
        <v>116</v>
      </c>
    </row>
    <row r="2003" spans="2:13" x14ac:dyDescent="0.2">
      <c r="B2003">
        <v>3080</v>
      </c>
      <c r="C2003">
        <v>1</v>
      </c>
      <c r="D2003">
        <v>0</v>
      </c>
      <c r="E2003">
        <v>0</v>
      </c>
      <c r="F2003">
        <v>0.6</v>
      </c>
      <c r="G2003">
        <v>0.6</v>
      </c>
      <c r="H2003">
        <v>0</v>
      </c>
      <c r="I2003">
        <v>0</v>
      </c>
      <c r="J2003">
        <v>0</v>
      </c>
      <c r="K2003">
        <v>50</v>
      </c>
      <c r="L2003" t="s">
        <v>113</v>
      </c>
      <c r="M2003" t="s">
        <v>114</v>
      </c>
    </row>
    <row r="2004" spans="2:13" x14ac:dyDescent="0.2">
      <c r="B2004">
        <v>3080</v>
      </c>
      <c r="C2004">
        <v>1</v>
      </c>
      <c r="D2004">
        <v>6</v>
      </c>
      <c r="E2004">
        <v>0.1</v>
      </c>
      <c r="F2004">
        <v>0.6</v>
      </c>
      <c r="G2004">
        <v>0.6</v>
      </c>
      <c r="H2004">
        <v>65</v>
      </c>
      <c r="I2004">
        <v>0</v>
      </c>
      <c r="J2004">
        <v>0</v>
      </c>
      <c r="K2004">
        <v>36.4</v>
      </c>
      <c r="L2004" t="s">
        <v>115</v>
      </c>
      <c r="M2004" t="s">
        <v>116</v>
      </c>
    </row>
    <row r="2005" spans="2:13" x14ac:dyDescent="0.2">
      <c r="B2005">
        <v>3080</v>
      </c>
      <c r="C2005">
        <v>1</v>
      </c>
      <c r="D2005">
        <v>10.9</v>
      </c>
      <c r="E2005">
        <v>0.18</v>
      </c>
      <c r="F2005">
        <v>0.6</v>
      </c>
      <c r="G2005">
        <v>0.6</v>
      </c>
      <c r="H2005">
        <v>117</v>
      </c>
      <c r="I2005">
        <v>0</v>
      </c>
      <c r="J2005">
        <v>1</v>
      </c>
      <c r="K2005">
        <v>36.4</v>
      </c>
      <c r="L2005" t="s">
        <v>117</v>
      </c>
      <c r="M2005" t="s">
        <v>118</v>
      </c>
    </row>
    <row r="2006" spans="2:13" x14ac:dyDescent="0.2">
      <c r="B2006">
        <v>3080</v>
      </c>
      <c r="C2006">
        <v>1</v>
      </c>
      <c r="D2006">
        <v>11.5</v>
      </c>
      <c r="E2006">
        <v>0.19</v>
      </c>
      <c r="F2006">
        <v>0.6</v>
      </c>
      <c r="G2006">
        <v>0.6</v>
      </c>
      <c r="H2006">
        <v>124</v>
      </c>
      <c r="I2006">
        <v>0</v>
      </c>
      <c r="J2006">
        <v>2</v>
      </c>
      <c r="K2006">
        <v>36.700000000000003</v>
      </c>
      <c r="L2006" t="s">
        <v>119</v>
      </c>
      <c r="M2006" t="s">
        <v>118</v>
      </c>
    </row>
    <row r="2007" spans="2:13" x14ac:dyDescent="0.2">
      <c r="B2007">
        <v>3080</v>
      </c>
      <c r="C2007">
        <v>1</v>
      </c>
      <c r="D2007">
        <v>12.1</v>
      </c>
      <c r="E2007">
        <v>0.2</v>
      </c>
      <c r="F2007">
        <v>0.6</v>
      </c>
      <c r="G2007">
        <v>0.45</v>
      </c>
      <c r="H2007">
        <v>130</v>
      </c>
      <c r="I2007">
        <v>0</v>
      </c>
      <c r="J2007">
        <v>2</v>
      </c>
      <c r="K2007">
        <v>36.9</v>
      </c>
      <c r="L2007" t="s">
        <v>126</v>
      </c>
      <c r="M2007" t="s">
        <v>116</v>
      </c>
    </row>
    <row r="2008" spans="2:13" x14ac:dyDescent="0.2">
      <c r="B2008">
        <v>3080</v>
      </c>
      <c r="C2008">
        <v>1</v>
      </c>
      <c r="D2008">
        <v>18.100000000000001</v>
      </c>
      <c r="E2008">
        <v>0.3</v>
      </c>
      <c r="F2008">
        <v>0.45</v>
      </c>
      <c r="G2008">
        <v>0.45</v>
      </c>
      <c r="H2008">
        <v>179</v>
      </c>
      <c r="I2008">
        <v>1</v>
      </c>
      <c r="J2008">
        <v>2</v>
      </c>
      <c r="K2008">
        <v>36.6</v>
      </c>
      <c r="L2008" t="s">
        <v>115</v>
      </c>
      <c r="M2008" t="s">
        <v>116</v>
      </c>
    </row>
    <row r="2009" spans="2:13" x14ac:dyDescent="0.2">
      <c r="B2009">
        <v>3080</v>
      </c>
      <c r="C2009">
        <v>2</v>
      </c>
      <c r="D2009">
        <v>0</v>
      </c>
      <c r="E2009">
        <v>0</v>
      </c>
      <c r="F2009">
        <v>0.6</v>
      </c>
      <c r="G2009">
        <v>0.6</v>
      </c>
      <c r="H2009">
        <v>0</v>
      </c>
      <c r="I2009">
        <v>0</v>
      </c>
      <c r="J2009">
        <v>0</v>
      </c>
      <c r="K2009">
        <v>50</v>
      </c>
      <c r="L2009" t="s">
        <v>113</v>
      </c>
      <c r="M2009" t="s">
        <v>114</v>
      </c>
    </row>
    <row r="2010" spans="2:13" x14ac:dyDescent="0.2">
      <c r="B2010">
        <v>3080</v>
      </c>
      <c r="C2010">
        <v>2</v>
      </c>
      <c r="D2010">
        <v>6</v>
      </c>
      <c r="E2010">
        <v>0.1</v>
      </c>
      <c r="F2010">
        <v>0.6</v>
      </c>
      <c r="G2010">
        <v>0.6</v>
      </c>
      <c r="H2010">
        <v>65</v>
      </c>
      <c r="I2010">
        <v>0</v>
      </c>
      <c r="J2010">
        <v>0</v>
      </c>
      <c r="K2010">
        <v>31.4</v>
      </c>
      <c r="L2010" t="s">
        <v>115</v>
      </c>
      <c r="M2010" t="s">
        <v>116</v>
      </c>
    </row>
    <row r="2011" spans="2:13" x14ac:dyDescent="0.2">
      <c r="B2011">
        <v>3080</v>
      </c>
      <c r="C2011">
        <v>2</v>
      </c>
      <c r="D2011">
        <v>12.1</v>
      </c>
      <c r="E2011">
        <v>0.2</v>
      </c>
      <c r="F2011">
        <v>0.6</v>
      </c>
      <c r="G2011">
        <v>0.6</v>
      </c>
      <c r="H2011">
        <v>130</v>
      </c>
      <c r="I2011">
        <v>2</v>
      </c>
      <c r="J2011">
        <v>0</v>
      </c>
      <c r="K2011">
        <v>34.6</v>
      </c>
      <c r="L2011" t="s">
        <v>115</v>
      </c>
      <c r="M2011" t="s">
        <v>116</v>
      </c>
    </row>
    <row r="2012" spans="2:13" x14ac:dyDescent="0.2">
      <c r="B2012">
        <v>3080</v>
      </c>
      <c r="C2012">
        <v>2</v>
      </c>
      <c r="D2012">
        <v>12.6</v>
      </c>
      <c r="E2012">
        <v>0.21</v>
      </c>
      <c r="F2012">
        <v>0.6</v>
      </c>
      <c r="G2012">
        <v>0.6</v>
      </c>
      <c r="H2012">
        <v>136</v>
      </c>
      <c r="I2012">
        <v>2</v>
      </c>
      <c r="J2012">
        <v>1</v>
      </c>
      <c r="K2012">
        <v>34.700000000000003</v>
      </c>
      <c r="L2012" t="s">
        <v>129</v>
      </c>
      <c r="M2012" t="s">
        <v>118</v>
      </c>
    </row>
    <row r="2013" spans="2:13" x14ac:dyDescent="0.2">
      <c r="B2013">
        <v>3080</v>
      </c>
      <c r="C2013">
        <v>2</v>
      </c>
      <c r="D2013">
        <v>18.100000000000001</v>
      </c>
      <c r="E2013">
        <v>0.3</v>
      </c>
      <c r="F2013">
        <v>0.6</v>
      </c>
      <c r="G2013">
        <v>0.6</v>
      </c>
      <c r="H2013">
        <v>195</v>
      </c>
      <c r="I2013">
        <v>8</v>
      </c>
      <c r="J2013">
        <v>1</v>
      </c>
      <c r="K2013">
        <v>34.1</v>
      </c>
      <c r="L2013" t="s">
        <v>132</v>
      </c>
      <c r="M2013" t="s">
        <v>116</v>
      </c>
    </row>
    <row r="2014" spans="2:13" x14ac:dyDescent="0.2">
      <c r="B2014">
        <v>3080</v>
      </c>
      <c r="C2014">
        <v>3</v>
      </c>
      <c r="D2014">
        <v>0</v>
      </c>
      <c r="E2014">
        <v>0</v>
      </c>
      <c r="F2014">
        <v>0.6</v>
      </c>
      <c r="G2014">
        <v>0.6</v>
      </c>
      <c r="H2014">
        <v>0</v>
      </c>
      <c r="I2014">
        <v>0</v>
      </c>
      <c r="J2014">
        <v>0</v>
      </c>
      <c r="K2014">
        <v>50</v>
      </c>
      <c r="L2014" t="s">
        <v>113</v>
      </c>
      <c r="M2014" t="s">
        <v>114</v>
      </c>
    </row>
    <row r="2015" spans="2:13" x14ac:dyDescent="0.2">
      <c r="B2015">
        <v>3080</v>
      </c>
      <c r="C2015">
        <v>3</v>
      </c>
      <c r="D2015">
        <v>6</v>
      </c>
      <c r="E2015">
        <v>0.1</v>
      </c>
      <c r="F2015">
        <v>0.6</v>
      </c>
      <c r="G2015">
        <v>0.6</v>
      </c>
      <c r="H2015">
        <v>65</v>
      </c>
      <c r="I2015">
        <v>0</v>
      </c>
      <c r="J2015">
        <v>1</v>
      </c>
      <c r="K2015">
        <v>37.5</v>
      </c>
      <c r="L2015" t="s">
        <v>117</v>
      </c>
      <c r="M2015" t="s">
        <v>118</v>
      </c>
    </row>
    <row r="2016" spans="2:13" x14ac:dyDescent="0.2">
      <c r="B2016">
        <v>3080</v>
      </c>
      <c r="C2016">
        <v>3</v>
      </c>
      <c r="D2016">
        <v>6</v>
      </c>
      <c r="E2016">
        <v>0.1</v>
      </c>
      <c r="F2016">
        <v>0.6</v>
      </c>
      <c r="G2016">
        <v>0.6</v>
      </c>
      <c r="H2016">
        <v>65</v>
      </c>
      <c r="I2016">
        <v>0</v>
      </c>
      <c r="J2016">
        <v>1</v>
      </c>
      <c r="K2016">
        <v>37.200000000000003</v>
      </c>
      <c r="L2016" t="s">
        <v>132</v>
      </c>
      <c r="M2016" t="s">
        <v>116</v>
      </c>
    </row>
    <row r="2017" spans="2:13" x14ac:dyDescent="0.2">
      <c r="B2017">
        <v>3080</v>
      </c>
      <c r="C2017">
        <v>3</v>
      </c>
      <c r="D2017">
        <v>12.1</v>
      </c>
      <c r="E2017">
        <v>0.2</v>
      </c>
      <c r="F2017">
        <v>0.6</v>
      </c>
      <c r="G2017">
        <v>0.6</v>
      </c>
      <c r="H2017">
        <v>130</v>
      </c>
      <c r="I2017">
        <v>3</v>
      </c>
      <c r="J2017">
        <v>1</v>
      </c>
      <c r="K2017">
        <v>62.6</v>
      </c>
      <c r="L2017" t="s">
        <v>115</v>
      </c>
      <c r="M2017" t="s">
        <v>116</v>
      </c>
    </row>
    <row r="2018" spans="2:13" x14ac:dyDescent="0.2">
      <c r="B2018">
        <v>3080</v>
      </c>
      <c r="C2018">
        <v>3</v>
      </c>
      <c r="D2018">
        <v>13.3</v>
      </c>
      <c r="E2018">
        <v>0.22</v>
      </c>
      <c r="F2018">
        <v>0.6</v>
      </c>
      <c r="G2018">
        <v>0.6</v>
      </c>
      <c r="H2018">
        <v>143</v>
      </c>
      <c r="I2018">
        <v>3</v>
      </c>
      <c r="J2018">
        <v>2</v>
      </c>
      <c r="K2018">
        <v>54.4</v>
      </c>
      <c r="L2018" t="s">
        <v>133</v>
      </c>
      <c r="M2018" t="s">
        <v>118</v>
      </c>
    </row>
    <row r="2019" spans="2:13" x14ac:dyDescent="0.2">
      <c r="B2019">
        <v>3080</v>
      </c>
      <c r="C2019">
        <v>3</v>
      </c>
      <c r="D2019">
        <v>16.3</v>
      </c>
      <c r="E2019">
        <v>0.27</v>
      </c>
      <c r="F2019">
        <v>0.6</v>
      </c>
      <c r="G2019">
        <v>0.6</v>
      </c>
      <c r="H2019">
        <v>175</v>
      </c>
      <c r="I2019">
        <v>3</v>
      </c>
      <c r="J2019">
        <v>3</v>
      </c>
      <c r="K2019">
        <v>58</v>
      </c>
      <c r="L2019" t="s">
        <v>153</v>
      </c>
      <c r="M2019" t="s">
        <v>118</v>
      </c>
    </row>
    <row r="2020" spans="2:13" x14ac:dyDescent="0.2">
      <c r="B2020">
        <v>3080</v>
      </c>
      <c r="C2020">
        <v>3</v>
      </c>
      <c r="D2020">
        <v>18.100000000000001</v>
      </c>
      <c r="E2020">
        <v>0.3</v>
      </c>
      <c r="F2020">
        <v>0.6</v>
      </c>
      <c r="G2020">
        <v>0.45</v>
      </c>
      <c r="H2020">
        <v>195</v>
      </c>
      <c r="I2020">
        <v>4</v>
      </c>
      <c r="J2020">
        <v>3</v>
      </c>
      <c r="K2020">
        <v>58.1</v>
      </c>
      <c r="L2020" t="s">
        <v>120</v>
      </c>
      <c r="M2020" t="s">
        <v>116</v>
      </c>
    </row>
    <row r="2021" spans="2:13" x14ac:dyDescent="0.2">
      <c r="B2021">
        <v>3080</v>
      </c>
      <c r="C2021">
        <v>4</v>
      </c>
      <c r="D2021">
        <v>0</v>
      </c>
      <c r="E2021">
        <v>0</v>
      </c>
      <c r="F2021">
        <v>0.6</v>
      </c>
      <c r="G2021">
        <v>0.6</v>
      </c>
      <c r="H2021">
        <v>0</v>
      </c>
      <c r="I2021">
        <v>0</v>
      </c>
      <c r="J2021">
        <v>0</v>
      </c>
      <c r="K2021">
        <v>50</v>
      </c>
      <c r="L2021" t="s">
        <v>113</v>
      </c>
      <c r="M2021" t="s">
        <v>114</v>
      </c>
    </row>
    <row r="2022" spans="2:13" x14ac:dyDescent="0.2">
      <c r="B2022">
        <v>3080</v>
      </c>
      <c r="C2022">
        <v>4</v>
      </c>
      <c r="D2022">
        <v>6</v>
      </c>
      <c r="E2022">
        <v>0.1</v>
      </c>
      <c r="F2022">
        <v>0.6</v>
      </c>
      <c r="G2022">
        <v>0.6</v>
      </c>
      <c r="H2022">
        <v>65</v>
      </c>
      <c r="I2022">
        <v>0</v>
      </c>
      <c r="J2022">
        <v>0</v>
      </c>
      <c r="K2022">
        <v>32.200000000000003</v>
      </c>
      <c r="L2022" t="s">
        <v>115</v>
      </c>
      <c r="M2022" t="s">
        <v>116</v>
      </c>
    </row>
    <row r="2023" spans="2:13" x14ac:dyDescent="0.2">
      <c r="B2023">
        <v>3080</v>
      </c>
      <c r="C2023">
        <v>4</v>
      </c>
      <c r="D2023">
        <v>6.1</v>
      </c>
      <c r="E2023">
        <v>0.1</v>
      </c>
      <c r="F2023">
        <v>0.6</v>
      </c>
      <c r="G2023">
        <v>0.6</v>
      </c>
      <c r="H2023">
        <v>66</v>
      </c>
      <c r="I2023">
        <v>0</v>
      </c>
      <c r="J2023">
        <v>1</v>
      </c>
      <c r="K2023">
        <v>32.4</v>
      </c>
      <c r="L2023" t="s">
        <v>117</v>
      </c>
      <c r="M2023" t="s">
        <v>118</v>
      </c>
    </row>
    <row r="2024" spans="2:13" x14ac:dyDescent="0.2">
      <c r="B2024">
        <v>3080</v>
      </c>
      <c r="C2024">
        <v>4</v>
      </c>
      <c r="D2024">
        <v>12.1</v>
      </c>
      <c r="E2024">
        <v>0.2</v>
      </c>
      <c r="F2024">
        <v>0.6</v>
      </c>
      <c r="G2024">
        <v>0.6</v>
      </c>
      <c r="H2024">
        <v>130</v>
      </c>
      <c r="I2024">
        <v>2</v>
      </c>
      <c r="J2024">
        <v>1</v>
      </c>
      <c r="K2024">
        <v>35.700000000000003</v>
      </c>
      <c r="L2024" t="s">
        <v>132</v>
      </c>
      <c r="M2024" t="s">
        <v>116</v>
      </c>
    </row>
    <row r="2025" spans="2:13" x14ac:dyDescent="0.2">
      <c r="B2025">
        <v>3080</v>
      </c>
      <c r="C2025">
        <v>4</v>
      </c>
      <c r="D2025">
        <v>13.5</v>
      </c>
      <c r="E2025">
        <v>0.22</v>
      </c>
      <c r="F2025">
        <v>0.6</v>
      </c>
      <c r="G2025">
        <v>0.6</v>
      </c>
      <c r="H2025">
        <v>145</v>
      </c>
      <c r="I2025">
        <v>5</v>
      </c>
      <c r="J2025">
        <v>2</v>
      </c>
      <c r="K2025">
        <v>36.1</v>
      </c>
      <c r="L2025" t="s">
        <v>119</v>
      </c>
      <c r="M2025" t="s">
        <v>118</v>
      </c>
    </row>
    <row r="2026" spans="2:13" x14ac:dyDescent="0.2">
      <c r="B2026">
        <v>3080</v>
      </c>
      <c r="C2026">
        <v>4</v>
      </c>
      <c r="D2026">
        <v>18.100000000000001</v>
      </c>
      <c r="E2026">
        <v>0.3</v>
      </c>
      <c r="F2026">
        <v>0.6</v>
      </c>
      <c r="G2026">
        <v>0.6</v>
      </c>
      <c r="H2026">
        <v>195</v>
      </c>
      <c r="I2026">
        <v>5</v>
      </c>
      <c r="J2026">
        <v>2</v>
      </c>
      <c r="K2026">
        <v>36</v>
      </c>
      <c r="L2026" t="s">
        <v>132</v>
      </c>
      <c r="M2026" t="s">
        <v>116</v>
      </c>
    </row>
    <row r="2027" spans="2:13" x14ac:dyDescent="0.2">
      <c r="B2027">
        <v>3080</v>
      </c>
      <c r="C2027">
        <v>5</v>
      </c>
      <c r="D2027">
        <v>0</v>
      </c>
      <c r="E2027">
        <v>0</v>
      </c>
      <c r="F2027">
        <v>0.6</v>
      </c>
      <c r="G2027">
        <v>0.6</v>
      </c>
      <c r="H2027">
        <v>0</v>
      </c>
      <c r="I2027">
        <v>0</v>
      </c>
      <c r="J2027">
        <v>0</v>
      </c>
      <c r="K2027">
        <v>50</v>
      </c>
      <c r="L2027" t="s">
        <v>113</v>
      </c>
      <c r="M2027" t="s">
        <v>114</v>
      </c>
    </row>
    <row r="2028" spans="2:13" x14ac:dyDescent="0.2">
      <c r="B2028">
        <v>3080</v>
      </c>
      <c r="C2028">
        <v>5</v>
      </c>
      <c r="D2028">
        <v>6</v>
      </c>
      <c r="E2028">
        <v>0.1</v>
      </c>
      <c r="F2028">
        <v>0.6</v>
      </c>
      <c r="G2028">
        <v>0.6</v>
      </c>
      <c r="H2028">
        <v>65</v>
      </c>
      <c r="I2028">
        <v>0</v>
      </c>
      <c r="J2028">
        <v>0</v>
      </c>
      <c r="K2028">
        <v>38.4</v>
      </c>
      <c r="L2028" t="s">
        <v>115</v>
      </c>
      <c r="M2028" t="s">
        <v>116</v>
      </c>
    </row>
    <row r="2029" spans="2:13" x14ac:dyDescent="0.2">
      <c r="B2029">
        <v>3080</v>
      </c>
      <c r="C2029">
        <v>5</v>
      </c>
      <c r="D2029">
        <v>7.1</v>
      </c>
      <c r="E2029">
        <v>0.12</v>
      </c>
      <c r="F2029">
        <v>0.6</v>
      </c>
      <c r="G2029">
        <v>0.6</v>
      </c>
      <c r="H2029">
        <v>77</v>
      </c>
      <c r="I2029">
        <v>1</v>
      </c>
      <c r="J2029">
        <v>1</v>
      </c>
      <c r="K2029">
        <v>39.1</v>
      </c>
      <c r="L2029" t="s">
        <v>122</v>
      </c>
      <c r="M2029" t="s">
        <v>118</v>
      </c>
    </row>
    <row r="2030" spans="2:13" x14ac:dyDescent="0.2">
      <c r="B2030">
        <v>3080</v>
      </c>
      <c r="C2030">
        <v>5</v>
      </c>
      <c r="D2030">
        <v>12.1</v>
      </c>
      <c r="E2030">
        <v>0.2</v>
      </c>
      <c r="F2030">
        <v>0.6</v>
      </c>
      <c r="G2030">
        <v>0.6</v>
      </c>
      <c r="H2030">
        <v>130</v>
      </c>
      <c r="I2030">
        <v>3</v>
      </c>
      <c r="J2030">
        <v>1</v>
      </c>
      <c r="K2030">
        <v>37.799999999999997</v>
      </c>
      <c r="L2030" t="s">
        <v>132</v>
      </c>
      <c r="M2030" t="s">
        <v>116</v>
      </c>
    </row>
    <row r="2031" spans="2:13" x14ac:dyDescent="0.2">
      <c r="B2031">
        <v>3080</v>
      </c>
      <c r="C2031">
        <v>5</v>
      </c>
      <c r="D2031">
        <v>18.100000000000001</v>
      </c>
      <c r="E2031">
        <v>0.3</v>
      </c>
      <c r="F2031">
        <v>0.6</v>
      </c>
      <c r="G2031">
        <v>0.6</v>
      </c>
      <c r="H2031">
        <v>195</v>
      </c>
      <c r="I2031">
        <v>5</v>
      </c>
      <c r="J2031">
        <v>1</v>
      </c>
      <c r="K2031">
        <v>37.700000000000003</v>
      </c>
      <c r="L2031" t="s">
        <v>115</v>
      </c>
      <c r="M2031" t="s">
        <v>116</v>
      </c>
    </row>
    <row r="2032" spans="2:13" x14ac:dyDescent="0.2">
      <c r="B2032">
        <v>3081</v>
      </c>
      <c r="C2032">
        <v>1</v>
      </c>
      <c r="D2032">
        <v>0</v>
      </c>
      <c r="E2032">
        <v>0</v>
      </c>
      <c r="F2032">
        <v>0.6</v>
      </c>
      <c r="G2032">
        <v>0.6</v>
      </c>
      <c r="H2032">
        <v>0</v>
      </c>
      <c r="I2032">
        <v>0</v>
      </c>
      <c r="J2032">
        <v>0</v>
      </c>
      <c r="K2032">
        <v>50</v>
      </c>
      <c r="L2032" t="s">
        <v>113</v>
      </c>
      <c r="M2032" t="s">
        <v>114</v>
      </c>
    </row>
    <row r="2033" spans="2:13" x14ac:dyDescent="0.2">
      <c r="B2033">
        <v>3081</v>
      </c>
      <c r="C2033">
        <v>1</v>
      </c>
      <c r="D2033">
        <v>6</v>
      </c>
      <c r="E2033">
        <v>0.1</v>
      </c>
      <c r="F2033">
        <v>0.6</v>
      </c>
      <c r="G2033">
        <v>0.6</v>
      </c>
      <c r="H2033">
        <v>65</v>
      </c>
      <c r="I2033">
        <v>1</v>
      </c>
      <c r="J2033">
        <v>0</v>
      </c>
      <c r="K2033">
        <v>35.5</v>
      </c>
      <c r="L2033" t="s">
        <v>115</v>
      </c>
      <c r="M2033" t="s">
        <v>116</v>
      </c>
    </row>
    <row r="2034" spans="2:13" x14ac:dyDescent="0.2">
      <c r="B2034">
        <v>3081</v>
      </c>
      <c r="C2034">
        <v>1</v>
      </c>
      <c r="D2034">
        <v>11.3</v>
      </c>
      <c r="E2034">
        <v>0.19</v>
      </c>
      <c r="F2034">
        <v>0.6</v>
      </c>
      <c r="G2034">
        <v>0.6</v>
      </c>
      <c r="H2034">
        <v>122</v>
      </c>
      <c r="I2034">
        <v>2</v>
      </c>
      <c r="J2034">
        <v>1</v>
      </c>
      <c r="K2034">
        <v>35.4</v>
      </c>
      <c r="L2034" t="s">
        <v>122</v>
      </c>
      <c r="M2034" t="s">
        <v>118</v>
      </c>
    </row>
    <row r="2035" spans="2:13" x14ac:dyDescent="0.2">
      <c r="B2035">
        <v>3081</v>
      </c>
      <c r="C2035">
        <v>1</v>
      </c>
      <c r="D2035">
        <v>12.1</v>
      </c>
      <c r="E2035">
        <v>0.2</v>
      </c>
      <c r="F2035">
        <v>0.6</v>
      </c>
      <c r="G2035">
        <v>0.6</v>
      </c>
      <c r="H2035">
        <v>130</v>
      </c>
      <c r="I2035">
        <v>4</v>
      </c>
      <c r="J2035">
        <v>1</v>
      </c>
      <c r="K2035">
        <v>60.3</v>
      </c>
      <c r="L2035" t="s">
        <v>121</v>
      </c>
      <c r="M2035" t="s">
        <v>116</v>
      </c>
    </row>
    <row r="2036" spans="2:13" x14ac:dyDescent="0.2">
      <c r="B2036">
        <v>3081</v>
      </c>
      <c r="C2036">
        <v>1</v>
      </c>
      <c r="D2036">
        <v>15.8</v>
      </c>
      <c r="E2036">
        <v>0.26</v>
      </c>
      <c r="F2036">
        <v>0.6</v>
      </c>
      <c r="G2036">
        <v>0.6</v>
      </c>
      <c r="H2036">
        <v>171</v>
      </c>
      <c r="I2036">
        <v>5</v>
      </c>
      <c r="J2036">
        <v>2</v>
      </c>
      <c r="K2036">
        <v>52</v>
      </c>
      <c r="L2036" t="s">
        <v>119</v>
      </c>
      <c r="M2036" t="s">
        <v>118</v>
      </c>
    </row>
    <row r="2037" spans="2:13" x14ac:dyDescent="0.2">
      <c r="B2037">
        <v>3081</v>
      </c>
      <c r="C2037">
        <v>1</v>
      </c>
      <c r="D2037">
        <v>16.5</v>
      </c>
      <c r="E2037">
        <v>0.28000000000000003</v>
      </c>
      <c r="F2037">
        <v>0.6</v>
      </c>
      <c r="G2037">
        <v>0.6</v>
      </c>
      <c r="H2037">
        <v>178</v>
      </c>
      <c r="I2037">
        <v>5</v>
      </c>
      <c r="J2037">
        <v>3</v>
      </c>
      <c r="K2037">
        <v>47.7</v>
      </c>
      <c r="L2037" t="s">
        <v>135</v>
      </c>
      <c r="M2037" t="s">
        <v>118</v>
      </c>
    </row>
    <row r="2038" spans="2:13" x14ac:dyDescent="0.2">
      <c r="B2038">
        <v>3081</v>
      </c>
      <c r="C2038">
        <v>1</v>
      </c>
      <c r="D2038">
        <v>18.100000000000001</v>
      </c>
      <c r="E2038">
        <v>0.3</v>
      </c>
      <c r="F2038">
        <v>0.6</v>
      </c>
      <c r="G2038">
        <v>0.45</v>
      </c>
      <c r="H2038">
        <v>195</v>
      </c>
      <c r="I2038">
        <v>5</v>
      </c>
      <c r="J2038">
        <v>3</v>
      </c>
      <c r="K2038">
        <v>47.5</v>
      </c>
      <c r="L2038" t="s">
        <v>126</v>
      </c>
      <c r="M2038" t="s">
        <v>116</v>
      </c>
    </row>
    <row r="2039" spans="2:13" x14ac:dyDescent="0.2">
      <c r="B2039">
        <v>3081</v>
      </c>
      <c r="C2039">
        <v>2</v>
      </c>
      <c r="D2039">
        <v>0</v>
      </c>
      <c r="E2039">
        <v>0</v>
      </c>
      <c r="F2039">
        <v>0.6</v>
      </c>
      <c r="G2039">
        <v>0.6</v>
      </c>
      <c r="H2039">
        <v>0</v>
      </c>
      <c r="I2039">
        <v>0</v>
      </c>
      <c r="J2039">
        <v>0</v>
      </c>
      <c r="K2039">
        <v>50</v>
      </c>
      <c r="L2039" t="s">
        <v>113</v>
      </c>
      <c r="M2039" t="s">
        <v>114</v>
      </c>
    </row>
    <row r="2040" spans="2:13" x14ac:dyDescent="0.2">
      <c r="B2040">
        <v>3081</v>
      </c>
      <c r="C2040">
        <v>2</v>
      </c>
      <c r="D2040">
        <v>6</v>
      </c>
      <c r="E2040">
        <v>0.1</v>
      </c>
      <c r="F2040">
        <v>0.6</v>
      </c>
      <c r="G2040">
        <v>0.6</v>
      </c>
      <c r="H2040">
        <v>65</v>
      </c>
      <c r="I2040">
        <v>0</v>
      </c>
      <c r="J2040">
        <v>0</v>
      </c>
      <c r="K2040">
        <v>36.4</v>
      </c>
      <c r="L2040" t="s">
        <v>115</v>
      </c>
      <c r="M2040" t="s">
        <v>116</v>
      </c>
    </row>
    <row r="2041" spans="2:13" x14ac:dyDescent="0.2">
      <c r="B2041">
        <v>3081</v>
      </c>
      <c r="C2041">
        <v>2</v>
      </c>
      <c r="D2041">
        <v>12</v>
      </c>
      <c r="E2041">
        <v>0.2</v>
      </c>
      <c r="F2041">
        <v>0.6</v>
      </c>
      <c r="G2041">
        <v>0.6</v>
      </c>
      <c r="H2041">
        <v>129</v>
      </c>
      <c r="I2041">
        <v>1</v>
      </c>
      <c r="J2041">
        <v>1</v>
      </c>
      <c r="K2041">
        <v>37.200000000000003</v>
      </c>
      <c r="L2041" t="s">
        <v>117</v>
      </c>
      <c r="M2041" t="s">
        <v>118</v>
      </c>
    </row>
    <row r="2042" spans="2:13" x14ac:dyDescent="0.2">
      <c r="B2042">
        <v>3081</v>
      </c>
      <c r="C2042">
        <v>2</v>
      </c>
      <c r="D2042">
        <v>12.1</v>
      </c>
      <c r="E2042">
        <v>0.2</v>
      </c>
      <c r="F2042">
        <v>0.6</v>
      </c>
      <c r="G2042">
        <v>0.6</v>
      </c>
      <c r="H2042">
        <v>130</v>
      </c>
      <c r="I2042">
        <v>1</v>
      </c>
      <c r="J2042">
        <v>1</v>
      </c>
      <c r="K2042">
        <v>37.299999999999997</v>
      </c>
      <c r="L2042" t="s">
        <v>132</v>
      </c>
      <c r="M2042" t="s">
        <v>116</v>
      </c>
    </row>
    <row r="2043" spans="2:13" x14ac:dyDescent="0.2">
      <c r="B2043">
        <v>3081</v>
      </c>
      <c r="C2043">
        <v>2</v>
      </c>
      <c r="D2043">
        <v>17</v>
      </c>
      <c r="E2043">
        <v>0.28000000000000003</v>
      </c>
      <c r="F2043">
        <v>0.6</v>
      </c>
      <c r="G2043">
        <v>0.6</v>
      </c>
      <c r="H2043">
        <v>184</v>
      </c>
      <c r="I2043">
        <v>8</v>
      </c>
      <c r="J2043">
        <v>2</v>
      </c>
      <c r="K2043">
        <v>37.200000000000003</v>
      </c>
      <c r="L2043" t="s">
        <v>127</v>
      </c>
      <c r="M2043" t="s">
        <v>118</v>
      </c>
    </row>
    <row r="2044" spans="2:13" x14ac:dyDescent="0.2">
      <c r="B2044">
        <v>3081</v>
      </c>
      <c r="C2044">
        <v>2</v>
      </c>
      <c r="D2044">
        <v>17.100000000000001</v>
      </c>
      <c r="E2044">
        <v>0.28999999999999998</v>
      </c>
      <c r="F2044">
        <v>0.6</v>
      </c>
      <c r="G2044">
        <v>0.6</v>
      </c>
      <c r="H2044">
        <v>185</v>
      </c>
      <c r="I2044">
        <v>8</v>
      </c>
      <c r="J2044">
        <v>3</v>
      </c>
      <c r="K2044">
        <v>37.299999999999997</v>
      </c>
      <c r="L2044" t="s">
        <v>125</v>
      </c>
      <c r="M2044" t="s">
        <v>118</v>
      </c>
    </row>
    <row r="2045" spans="2:13" x14ac:dyDescent="0.2">
      <c r="B2045">
        <v>3081</v>
      </c>
      <c r="C2045">
        <v>2</v>
      </c>
      <c r="D2045">
        <v>18.100000000000001</v>
      </c>
      <c r="E2045">
        <v>0.3</v>
      </c>
      <c r="F2045">
        <v>0.6</v>
      </c>
      <c r="G2045">
        <v>0.45</v>
      </c>
      <c r="H2045">
        <v>195</v>
      </c>
      <c r="I2045">
        <v>8</v>
      </c>
      <c r="J2045">
        <v>3</v>
      </c>
      <c r="K2045">
        <v>37</v>
      </c>
      <c r="L2045" t="s">
        <v>126</v>
      </c>
      <c r="M2045" t="s">
        <v>116</v>
      </c>
    </row>
    <row r="2046" spans="2:13" x14ac:dyDescent="0.2">
      <c r="B2046">
        <v>3081</v>
      </c>
      <c r="C2046">
        <v>3</v>
      </c>
      <c r="D2046">
        <v>0</v>
      </c>
      <c r="E2046">
        <v>0</v>
      </c>
      <c r="F2046">
        <v>0.6</v>
      </c>
      <c r="G2046">
        <v>0.6</v>
      </c>
      <c r="H2046">
        <v>0</v>
      </c>
      <c r="I2046">
        <v>0</v>
      </c>
      <c r="J2046">
        <v>0</v>
      </c>
      <c r="K2046">
        <v>50</v>
      </c>
      <c r="L2046" t="s">
        <v>113</v>
      </c>
      <c r="M2046" t="s">
        <v>114</v>
      </c>
    </row>
    <row r="2047" spans="2:13" x14ac:dyDescent="0.2">
      <c r="B2047">
        <v>3081</v>
      </c>
      <c r="C2047">
        <v>3</v>
      </c>
      <c r="D2047">
        <v>5.8</v>
      </c>
      <c r="E2047">
        <v>0.1</v>
      </c>
      <c r="F2047">
        <v>0.6</v>
      </c>
      <c r="G2047">
        <v>0.6</v>
      </c>
      <c r="H2047">
        <v>63</v>
      </c>
      <c r="I2047">
        <v>0</v>
      </c>
      <c r="J2047">
        <v>1</v>
      </c>
      <c r="K2047">
        <v>35.299999999999997</v>
      </c>
      <c r="L2047" t="s">
        <v>129</v>
      </c>
      <c r="M2047" t="s">
        <v>118</v>
      </c>
    </row>
    <row r="2048" spans="2:13" x14ac:dyDescent="0.2">
      <c r="B2048">
        <v>3081</v>
      </c>
      <c r="C2048">
        <v>3</v>
      </c>
      <c r="D2048">
        <v>6</v>
      </c>
      <c r="E2048">
        <v>0.1</v>
      </c>
      <c r="F2048">
        <v>0.6</v>
      </c>
      <c r="G2048">
        <v>0.6</v>
      </c>
      <c r="H2048">
        <v>65</v>
      </c>
      <c r="I2048">
        <v>0</v>
      </c>
      <c r="J2048">
        <v>1</v>
      </c>
      <c r="K2048">
        <v>36</v>
      </c>
      <c r="L2048" t="s">
        <v>132</v>
      </c>
      <c r="M2048" t="s">
        <v>116</v>
      </c>
    </row>
    <row r="2049" spans="2:13" x14ac:dyDescent="0.2">
      <c r="B2049">
        <v>3081</v>
      </c>
      <c r="C2049">
        <v>3</v>
      </c>
      <c r="D2049">
        <v>8.8000000000000007</v>
      </c>
      <c r="E2049">
        <v>0.15</v>
      </c>
      <c r="F2049">
        <v>0.6</v>
      </c>
      <c r="G2049">
        <v>0.6</v>
      </c>
      <c r="H2049">
        <v>96</v>
      </c>
      <c r="I2049">
        <v>5</v>
      </c>
      <c r="J2049">
        <v>2</v>
      </c>
      <c r="K2049">
        <v>36.700000000000003</v>
      </c>
      <c r="L2049" t="s">
        <v>123</v>
      </c>
      <c r="M2049" t="s">
        <v>118</v>
      </c>
    </row>
    <row r="2050" spans="2:13" x14ac:dyDescent="0.2">
      <c r="B2050">
        <v>3081</v>
      </c>
      <c r="C2050">
        <v>3</v>
      </c>
      <c r="D2050">
        <v>12</v>
      </c>
      <c r="E2050">
        <v>0.2</v>
      </c>
      <c r="F2050">
        <v>0.6</v>
      </c>
      <c r="G2050">
        <v>0.6</v>
      </c>
      <c r="H2050">
        <v>129</v>
      </c>
      <c r="I2050">
        <v>7</v>
      </c>
      <c r="J2050">
        <v>3</v>
      </c>
      <c r="K2050">
        <v>36.6</v>
      </c>
      <c r="L2050" t="s">
        <v>125</v>
      </c>
      <c r="M2050" t="s">
        <v>118</v>
      </c>
    </row>
    <row r="2051" spans="2:13" x14ac:dyDescent="0.2">
      <c r="B2051">
        <v>3081</v>
      </c>
      <c r="C2051">
        <v>3</v>
      </c>
      <c r="D2051">
        <v>12.1</v>
      </c>
      <c r="E2051">
        <v>0.2</v>
      </c>
      <c r="F2051">
        <v>0.6</v>
      </c>
      <c r="G2051">
        <v>0.45</v>
      </c>
      <c r="H2051">
        <v>130</v>
      </c>
      <c r="I2051">
        <v>7</v>
      </c>
      <c r="J2051">
        <v>3</v>
      </c>
      <c r="K2051">
        <v>49</v>
      </c>
      <c r="L2051" t="s">
        <v>120</v>
      </c>
      <c r="M2051" t="s">
        <v>116</v>
      </c>
    </row>
    <row r="2052" spans="2:13" x14ac:dyDescent="0.2">
      <c r="B2052">
        <v>3081</v>
      </c>
      <c r="C2052">
        <v>3</v>
      </c>
      <c r="D2052">
        <v>18.100000000000001</v>
      </c>
      <c r="E2052">
        <v>0.3</v>
      </c>
      <c r="F2052">
        <v>0.45</v>
      </c>
      <c r="G2052">
        <v>0.45</v>
      </c>
      <c r="H2052">
        <v>179</v>
      </c>
      <c r="I2052">
        <v>11</v>
      </c>
      <c r="J2052">
        <v>3</v>
      </c>
      <c r="K2052">
        <v>56.6</v>
      </c>
      <c r="L2052" t="s">
        <v>115</v>
      </c>
      <c r="M2052" t="s">
        <v>116</v>
      </c>
    </row>
    <row r="2053" spans="2:13" x14ac:dyDescent="0.2">
      <c r="B2053">
        <v>3081</v>
      </c>
      <c r="C2053">
        <v>4</v>
      </c>
      <c r="D2053">
        <v>0</v>
      </c>
      <c r="E2053">
        <v>0</v>
      </c>
      <c r="F2053">
        <v>0.6</v>
      </c>
      <c r="G2053">
        <v>0.6</v>
      </c>
      <c r="H2053">
        <v>0</v>
      </c>
      <c r="I2053">
        <v>0</v>
      </c>
      <c r="J2053">
        <v>0</v>
      </c>
      <c r="K2053">
        <v>50</v>
      </c>
      <c r="L2053" t="s">
        <v>113</v>
      </c>
      <c r="M2053" t="s">
        <v>114</v>
      </c>
    </row>
    <row r="2054" spans="2:13" x14ac:dyDescent="0.2">
      <c r="B2054">
        <v>3081</v>
      </c>
      <c r="C2054">
        <v>4</v>
      </c>
      <c r="D2054">
        <v>6</v>
      </c>
      <c r="E2054">
        <v>0.1</v>
      </c>
      <c r="F2054">
        <v>0.6</v>
      </c>
      <c r="G2054">
        <v>0.6</v>
      </c>
      <c r="H2054">
        <v>65</v>
      </c>
      <c r="I2054">
        <v>1</v>
      </c>
      <c r="J2054">
        <v>0</v>
      </c>
      <c r="K2054">
        <v>36.799999999999997</v>
      </c>
      <c r="L2054" t="s">
        <v>115</v>
      </c>
      <c r="M2054" t="s">
        <v>116</v>
      </c>
    </row>
    <row r="2055" spans="2:13" x14ac:dyDescent="0.2">
      <c r="B2055">
        <v>3081</v>
      </c>
      <c r="C2055">
        <v>4</v>
      </c>
      <c r="D2055">
        <v>6.1</v>
      </c>
      <c r="E2055">
        <v>0.1</v>
      </c>
      <c r="F2055">
        <v>0.6</v>
      </c>
      <c r="G2055">
        <v>0.6</v>
      </c>
      <c r="H2055">
        <v>66</v>
      </c>
      <c r="I2055">
        <v>1</v>
      </c>
      <c r="J2055">
        <v>1</v>
      </c>
      <c r="K2055">
        <v>36.6</v>
      </c>
      <c r="L2055" t="s">
        <v>117</v>
      </c>
      <c r="M2055" t="s">
        <v>118</v>
      </c>
    </row>
    <row r="2056" spans="2:13" x14ac:dyDescent="0.2">
      <c r="B2056">
        <v>3081</v>
      </c>
      <c r="C2056">
        <v>4</v>
      </c>
      <c r="D2056">
        <v>10</v>
      </c>
      <c r="E2056">
        <v>0.17</v>
      </c>
      <c r="F2056">
        <v>0.6</v>
      </c>
      <c r="G2056">
        <v>0.6</v>
      </c>
      <c r="H2056">
        <v>108</v>
      </c>
      <c r="I2056">
        <v>3</v>
      </c>
      <c r="J2056">
        <v>2</v>
      </c>
      <c r="K2056">
        <v>50.9</v>
      </c>
      <c r="L2056" t="s">
        <v>119</v>
      </c>
      <c r="M2056" t="s">
        <v>118</v>
      </c>
    </row>
    <row r="2057" spans="2:13" x14ac:dyDescent="0.2">
      <c r="B2057">
        <v>3081</v>
      </c>
      <c r="C2057">
        <v>4</v>
      </c>
      <c r="D2057">
        <v>12.1</v>
      </c>
      <c r="E2057">
        <v>0.2</v>
      </c>
      <c r="F2057">
        <v>0.6</v>
      </c>
      <c r="G2057">
        <v>0.45</v>
      </c>
      <c r="H2057">
        <v>130</v>
      </c>
      <c r="I2057">
        <v>4</v>
      </c>
      <c r="J2057">
        <v>2</v>
      </c>
      <c r="K2057">
        <v>51.7</v>
      </c>
      <c r="L2057" t="s">
        <v>120</v>
      </c>
      <c r="M2057" t="s">
        <v>116</v>
      </c>
    </row>
    <row r="2058" spans="2:13" x14ac:dyDescent="0.2">
      <c r="B2058">
        <v>3081</v>
      </c>
      <c r="C2058">
        <v>4</v>
      </c>
      <c r="D2058">
        <v>18.100000000000001</v>
      </c>
      <c r="E2058">
        <v>0.3</v>
      </c>
      <c r="F2058">
        <v>0.45</v>
      </c>
      <c r="G2058">
        <v>0.55000000000000004</v>
      </c>
      <c r="H2058">
        <v>179</v>
      </c>
      <c r="I2058">
        <v>6</v>
      </c>
      <c r="J2058">
        <v>2</v>
      </c>
      <c r="K2058">
        <v>69.599999999999994</v>
      </c>
      <c r="L2058" t="s">
        <v>128</v>
      </c>
      <c r="M2058" t="s">
        <v>116</v>
      </c>
    </row>
    <row r="2059" spans="2:13" x14ac:dyDescent="0.2">
      <c r="B2059">
        <v>3081</v>
      </c>
      <c r="C2059">
        <v>5</v>
      </c>
      <c r="D2059">
        <v>0</v>
      </c>
      <c r="E2059">
        <v>0</v>
      </c>
      <c r="F2059">
        <v>0.6</v>
      </c>
      <c r="G2059">
        <v>0.6</v>
      </c>
      <c r="H2059">
        <v>0</v>
      </c>
      <c r="I2059">
        <v>0</v>
      </c>
      <c r="J2059">
        <v>0</v>
      </c>
      <c r="K2059">
        <v>50</v>
      </c>
      <c r="L2059" t="s">
        <v>113</v>
      </c>
      <c r="M2059" t="s">
        <v>114</v>
      </c>
    </row>
    <row r="2060" spans="2:13" x14ac:dyDescent="0.2">
      <c r="B2060">
        <v>3081</v>
      </c>
      <c r="C2060">
        <v>5</v>
      </c>
      <c r="D2060">
        <v>6</v>
      </c>
      <c r="E2060">
        <v>0.1</v>
      </c>
      <c r="F2060">
        <v>0.6</v>
      </c>
      <c r="G2060">
        <v>0.6</v>
      </c>
      <c r="H2060">
        <v>65</v>
      </c>
      <c r="I2060">
        <v>0</v>
      </c>
      <c r="J2060">
        <v>0</v>
      </c>
      <c r="K2060">
        <v>40.9</v>
      </c>
      <c r="L2060" t="s">
        <v>115</v>
      </c>
      <c r="M2060" t="s">
        <v>116</v>
      </c>
    </row>
    <row r="2061" spans="2:13" x14ac:dyDescent="0.2">
      <c r="B2061">
        <v>3081</v>
      </c>
      <c r="C2061">
        <v>5</v>
      </c>
      <c r="D2061">
        <v>7</v>
      </c>
      <c r="E2061">
        <v>0.12</v>
      </c>
      <c r="F2061">
        <v>0.6</v>
      </c>
      <c r="G2061">
        <v>0.6</v>
      </c>
      <c r="H2061">
        <v>76</v>
      </c>
      <c r="I2061">
        <v>0</v>
      </c>
      <c r="J2061">
        <v>1</v>
      </c>
      <c r="K2061">
        <v>41.8</v>
      </c>
      <c r="L2061" t="s">
        <v>117</v>
      </c>
      <c r="M2061" t="s">
        <v>118</v>
      </c>
    </row>
    <row r="2062" spans="2:13" x14ac:dyDescent="0.2">
      <c r="B2062">
        <v>3081</v>
      </c>
      <c r="C2062">
        <v>5</v>
      </c>
      <c r="D2062">
        <v>12.1</v>
      </c>
      <c r="E2062">
        <v>0.2</v>
      </c>
      <c r="F2062">
        <v>0.6</v>
      </c>
      <c r="G2062">
        <v>0.6</v>
      </c>
      <c r="H2062">
        <v>130</v>
      </c>
      <c r="I2062">
        <v>1</v>
      </c>
      <c r="J2062">
        <v>1</v>
      </c>
      <c r="K2062">
        <v>64.599999999999994</v>
      </c>
      <c r="L2062" t="s">
        <v>121</v>
      </c>
      <c r="M2062" t="s">
        <v>116</v>
      </c>
    </row>
    <row r="2063" spans="2:13" x14ac:dyDescent="0.2">
      <c r="B2063">
        <v>3081</v>
      </c>
      <c r="C2063">
        <v>5</v>
      </c>
      <c r="D2063">
        <v>15.3</v>
      </c>
      <c r="E2063">
        <v>0.26</v>
      </c>
      <c r="F2063">
        <v>0.6</v>
      </c>
      <c r="G2063">
        <v>0.6</v>
      </c>
      <c r="H2063">
        <v>165</v>
      </c>
      <c r="I2063">
        <v>4</v>
      </c>
      <c r="J2063">
        <v>2</v>
      </c>
      <c r="K2063">
        <v>64.099999999999994</v>
      </c>
      <c r="L2063" t="s">
        <v>127</v>
      </c>
      <c r="M2063" t="s">
        <v>118</v>
      </c>
    </row>
    <row r="2064" spans="2:13" x14ac:dyDescent="0.2">
      <c r="B2064">
        <v>3081</v>
      </c>
      <c r="C2064">
        <v>5</v>
      </c>
      <c r="D2064">
        <v>18.100000000000001</v>
      </c>
      <c r="E2064">
        <v>0.3</v>
      </c>
      <c r="F2064">
        <v>0.6</v>
      </c>
      <c r="G2064">
        <v>0.6</v>
      </c>
      <c r="H2064">
        <v>195</v>
      </c>
      <c r="I2064">
        <v>7</v>
      </c>
      <c r="J2064">
        <v>2</v>
      </c>
      <c r="K2064">
        <v>64.2</v>
      </c>
      <c r="L2064" t="s">
        <v>121</v>
      </c>
      <c r="M2064" t="s">
        <v>116</v>
      </c>
    </row>
    <row r="2065" spans="2:13" x14ac:dyDescent="0.2">
      <c r="B2065">
        <v>3082</v>
      </c>
      <c r="C2065">
        <v>1</v>
      </c>
      <c r="D2065">
        <v>0</v>
      </c>
      <c r="E2065">
        <v>0</v>
      </c>
      <c r="F2065">
        <v>0.6</v>
      </c>
      <c r="G2065">
        <v>0.6</v>
      </c>
      <c r="H2065">
        <v>0</v>
      </c>
      <c r="I2065">
        <v>0</v>
      </c>
      <c r="J2065">
        <v>0</v>
      </c>
      <c r="K2065">
        <v>50</v>
      </c>
      <c r="L2065" t="s">
        <v>113</v>
      </c>
      <c r="M2065" t="s">
        <v>114</v>
      </c>
    </row>
    <row r="2066" spans="2:13" x14ac:dyDescent="0.2">
      <c r="B2066">
        <v>3082</v>
      </c>
      <c r="C2066">
        <v>1</v>
      </c>
      <c r="D2066">
        <v>6</v>
      </c>
      <c r="E2066">
        <v>0.1</v>
      </c>
      <c r="F2066">
        <v>0.6</v>
      </c>
      <c r="G2066">
        <v>0.6</v>
      </c>
      <c r="H2066">
        <v>65</v>
      </c>
      <c r="I2066">
        <v>0</v>
      </c>
      <c r="J2066">
        <v>0</v>
      </c>
      <c r="K2066">
        <v>38.799999999999997</v>
      </c>
      <c r="L2066" t="s">
        <v>115</v>
      </c>
      <c r="M2066" t="s">
        <v>116</v>
      </c>
    </row>
    <row r="2067" spans="2:13" x14ac:dyDescent="0.2">
      <c r="B2067">
        <v>3082</v>
      </c>
      <c r="C2067">
        <v>1</v>
      </c>
      <c r="D2067">
        <v>7.3</v>
      </c>
      <c r="E2067">
        <v>0.12</v>
      </c>
      <c r="F2067">
        <v>0.6</v>
      </c>
      <c r="G2067">
        <v>0.6</v>
      </c>
      <c r="H2067">
        <v>79</v>
      </c>
      <c r="I2067">
        <v>0</v>
      </c>
      <c r="J2067">
        <v>1</v>
      </c>
      <c r="K2067">
        <v>39.4</v>
      </c>
      <c r="L2067" t="s">
        <v>122</v>
      </c>
      <c r="M2067" t="s">
        <v>118</v>
      </c>
    </row>
    <row r="2068" spans="2:13" x14ac:dyDescent="0.2">
      <c r="B2068">
        <v>3082</v>
      </c>
      <c r="C2068">
        <v>1</v>
      </c>
      <c r="D2068">
        <v>11.3</v>
      </c>
      <c r="E2068">
        <v>0.19</v>
      </c>
      <c r="F2068">
        <v>0.6</v>
      </c>
      <c r="G2068">
        <v>0.6</v>
      </c>
      <c r="H2068">
        <v>122</v>
      </c>
      <c r="I2068">
        <v>0</v>
      </c>
      <c r="J2068">
        <v>2</v>
      </c>
      <c r="K2068">
        <v>72.900000000000006</v>
      </c>
      <c r="L2068" t="s">
        <v>149</v>
      </c>
      <c r="M2068" t="s">
        <v>118</v>
      </c>
    </row>
    <row r="2069" spans="2:13" x14ac:dyDescent="0.2">
      <c r="B2069">
        <v>3082</v>
      </c>
      <c r="C2069">
        <v>1</v>
      </c>
      <c r="D2069">
        <v>12.1</v>
      </c>
      <c r="E2069">
        <v>0.2</v>
      </c>
      <c r="F2069">
        <v>0.6</v>
      </c>
      <c r="G2069">
        <v>0.6</v>
      </c>
      <c r="H2069">
        <v>130</v>
      </c>
      <c r="I2069">
        <v>0</v>
      </c>
      <c r="J2069">
        <v>2</v>
      </c>
      <c r="K2069">
        <v>73.2</v>
      </c>
      <c r="L2069" t="s">
        <v>124</v>
      </c>
      <c r="M2069" t="s">
        <v>116</v>
      </c>
    </row>
    <row r="2070" spans="2:13" x14ac:dyDescent="0.2">
      <c r="B2070">
        <v>3082</v>
      </c>
      <c r="C2070">
        <v>1</v>
      </c>
      <c r="D2070">
        <v>15.4</v>
      </c>
      <c r="E2070">
        <v>0.26</v>
      </c>
      <c r="F2070">
        <v>0.6</v>
      </c>
      <c r="G2070">
        <v>0.6</v>
      </c>
      <c r="H2070">
        <v>166</v>
      </c>
      <c r="I2070">
        <v>1</v>
      </c>
      <c r="J2070">
        <v>3</v>
      </c>
      <c r="K2070">
        <v>68.5</v>
      </c>
      <c r="L2070" t="s">
        <v>125</v>
      </c>
      <c r="M2070" t="s">
        <v>118</v>
      </c>
    </row>
    <row r="2071" spans="2:13" x14ac:dyDescent="0.2">
      <c r="B2071">
        <v>3082</v>
      </c>
      <c r="C2071">
        <v>1</v>
      </c>
      <c r="D2071">
        <v>18.100000000000001</v>
      </c>
      <c r="E2071">
        <v>0.3</v>
      </c>
      <c r="F2071">
        <v>0.6</v>
      </c>
      <c r="G2071">
        <v>0.6</v>
      </c>
      <c r="H2071">
        <v>195</v>
      </c>
      <c r="I2071">
        <v>1</v>
      </c>
      <c r="J2071">
        <v>3</v>
      </c>
      <c r="K2071">
        <v>69.3</v>
      </c>
      <c r="L2071" t="s">
        <v>132</v>
      </c>
      <c r="M2071" t="s">
        <v>116</v>
      </c>
    </row>
    <row r="2072" spans="2:13" x14ac:dyDescent="0.2">
      <c r="B2072">
        <v>3082</v>
      </c>
      <c r="C2072">
        <v>2</v>
      </c>
      <c r="D2072">
        <v>0</v>
      </c>
      <c r="E2072">
        <v>0</v>
      </c>
      <c r="F2072">
        <v>0.6</v>
      </c>
      <c r="G2072">
        <v>0.6</v>
      </c>
      <c r="H2072">
        <v>0</v>
      </c>
      <c r="I2072">
        <v>0</v>
      </c>
      <c r="J2072">
        <v>0</v>
      </c>
      <c r="K2072">
        <v>50</v>
      </c>
      <c r="L2072" t="s">
        <v>113</v>
      </c>
      <c r="M2072" t="s">
        <v>114</v>
      </c>
    </row>
    <row r="2073" spans="2:13" x14ac:dyDescent="0.2">
      <c r="B2073">
        <v>3082</v>
      </c>
      <c r="C2073">
        <v>2</v>
      </c>
      <c r="D2073">
        <v>6</v>
      </c>
      <c r="E2073">
        <v>0.1</v>
      </c>
      <c r="F2073">
        <v>0.6</v>
      </c>
      <c r="G2073">
        <v>0.6</v>
      </c>
      <c r="H2073">
        <v>65</v>
      </c>
      <c r="I2073">
        <v>1</v>
      </c>
      <c r="J2073">
        <v>0</v>
      </c>
      <c r="K2073">
        <v>40.5</v>
      </c>
      <c r="L2073" t="s">
        <v>115</v>
      </c>
      <c r="M2073" t="s">
        <v>116</v>
      </c>
    </row>
    <row r="2074" spans="2:13" x14ac:dyDescent="0.2">
      <c r="B2074">
        <v>3082</v>
      </c>
      <c r="C2074">
        <v>2</v>
      </c>
      <c r="D2074">
        <v>10</v>
      </c>
      <c r="E2074">
        <v>0.17</v>
      </c>
      <c r="F2074">
        <v>0.6</v>
      </c>
      <c r="G2074">
        <v>0.6</v>
      </c>
      <c r="H2074">
        <v>107</v>
      </c>
      <c r="I2074">
        <v>3</v>
      </c>
      <c r="J2074">
        <v>1</v>
      </c>
      <c r="K2074">
        <v>66</v>
      </c>
      <c r="L2074" t="s">
        <v>122</v>
      </c>
      <c r="M2074" t="s">
        <v>118</v>
      </c>
    </row>
    <row r="2075" spans="2:13" x14ac:dyDescent="0.2">
      <c r="B2075">
        <v>3082</v>
      </c>
      <c r="C2075">
        <v>2</v>
      </c>
      <c r="D2075">
        <v>12.1</v>
      </c>
      <c r="E2075">
        <v>0.2</v>
      </c>
      <c r="F2075">
        <v>0.6</v>
      </c>
      <c r="G2075">
        <v>0.6</v>
      </c>
      <c r="H2075">
        <v>130</v>
      </c>
      <c r="I2075">
        <v>5</v>
      </c>
      <c r="J2075">
        <v>1</v>
      </c>
      <c r="K2075">
        <v>64.599999999999994</v>
      </c>
      <c r="L2075" t="s">
        <v>121</v>
      </c>
      <c r="M2075" t="s">
        <v>116</v>
      </c>
    </row>
    <row r="2076" spans="2:13" x14ac:dyDescent="0.2">
      <c r="B2076">
        <v>3082</v>
      </c>
      <c r="C2076">
        <v>2</v>
      </c>
      <c r="D2076">
        <v>14.7</v>
      </c>
      <c r="E2076">
        <v>0.24</v>
      </c>
      <c r="F2076">
        <v>0.6</v>
      </c>
      <c r="G2076">
        <v>0.6</v>
      </c>
      <c r="H2076">
        <v>158</v>
      </c>
      <c r="I2076">
        <v>7</v>
      </c>
      <c r="J2076">
        <v>2</v>
      </c>
      <c r="K2076">
        <v>64.599999999999994</v>
      </c>
      <c r="L2076" t="s">
        <v>119</v>
      </c>
      <c r="M2076" t="s">
        <v>118</v>
      </c>
    </row>
    <row r="2077" spans="2:13" x14ac:dyDescent="0.2">
      <c r="B2077">
        <v>3082</v>
      </c>
      <c r="C2077">
        <v>2</v>
      </c>
      <c r="D2077">
        <v>18.100000000000001</v>
      </c>
      <c r="E2077">
        <v>0.3</v>
      </c>
      <c r="F2077">
        <v>0.6</v>
      </c>
      <c r="G2077">
        <v>0.6</v>
      </c>
      <c r="H2077">
        <v>195</v>
      </c>
      <c r="I2077">
        <v>10</v>
      </c>
      <c r="J2077">
        <v>2</v>
      </c>
      <c r="K2077">
        <v>64.5</v>
      </c>
      <c r="L2077" t="s">
        <v>121</v>
      </c>
      <c r="M2077" t="s">
        <v>116</v>
      </c>
    </row>
    <row r="2078" spans="2:13" x14ac:dyDescent="0.2">
      <c r="B2078">
        <v>3082</v>
      </c>
      <c r="C2078">
        <v>3</v>
      </c>
      <c r="D2078">
        <v>0</v>
      </c>
      <c r="E2078">
        <v>0</v>
      </c>
      <c r="F2078">
        <v>0.6</v>
      </c>
      <c r="G2078">
        <v>0.6</v>
      </c>
      <c r="H2078">
        <v>0</v>
      </c>
      <c r="I2078">
        <v>0</v>
      </c>
      <c r="J2078">
        <v>0</v>
      </c>
      <c r="K2078">
        <v>50</v>
      </c>
      <c r="L2078" t="s">
        <v>113</v>
      </c>
      <c r="M2078" t="s">
        <v>114</v>
      </c>
    </row>
    <row r="2079" spans="2:13" x14ac:dyDescent="0.2">
      <c r="B2079">
        <v>3082</v>
      </c>
      <c r="C2079">
        <v>3</v>
      </c>
      <c r="D2079">
        <v>6</v>
      </c>
      <c r="E2079">
        <v>0.1</v>
      </c>
      <c r="F2079">
        <v>0.6</v>
      </c>
      <c r="G2079">
        <v>0.6</v>
      </c>
      <c r="H2079">
        <v>65</v>
      </c>
      <c r="I2079">
        <v>0</v>
      </c>
      <c r="J2079">
        <v>0</v>
      </c>
      <c r="K2079">
        <v>39.299999999999997</v>
      </c>
      <c r="L2079" t="s">
        <v>115</v>
      </c>
      <c r="M2079" t="s">
        <v>116</v>
      </c>
    </row>
    <row r="2080" spans="2:13" x14ac:dyDescent="0.2">
      <c r="B2080">
        <v>3082</v>
      </c>
      <c r="C2080">
        <v>3</v>
      </c>
      <c r="D2080">
        <v>12</v>
      </c>
      <c r="E2080">
        <v>0.2</v>
      </c>
      <c r="F2080">
        <v>0.6</v>
      </c>
      <c r="G2080">
        <v>0.6</v>
      </c>
      <c r="H2080">
        <v>130</v>
      </c>
      <c r="I2080">
        <v>4</v>
      </c>
      <c r="J2080">
        <v>1</v>
      </c>
      <c r="K2080">
        <v>73.8</v>
      </c>
      <c r="L2080" t="s">
        <v>117</v>
      </c>
      <c r="M2080" t="s">
        <v>118</v>
      </c>
    </row>
    <row r="2081" spans="2:13" x14ac:dyDescent="0.2">
      <c r="B2081">
        <v>3082</v>
      </c>
      <c r="C2081">
        <v>3</v>
      </c>
      <c r="D2081">
        <v>12.1</v>
      </c>
      <c r="E2081">
        <v>0.2</v>
      </c>
      <c r="F2081">
        <v>0.6</v>
      </c>
      <c r="G2081">
        <v>0.6</v>
      </c>
      <c r="H2081">
        <v>130</v>
      </c>
      <c r="I2081">
        <v>4</v>
      </c>
      <c r="J2081">
        <v>1</v>
      </c>
      <c r="K2081">
        <v>73.8</v>
      </c>
      <c r="L2081" t="s">
        <v>124</v>
      </c>
      <c r="M2081" t="s">
        <v>116</v>
      </c>
    </row>
    <row r="2082" spans="2:13" x14ac:dyDescent="0.2">
      <c r="B2082">
        <v>3082</v>
      </c>
      <c r="C2082">
        <v>3</v>
      </c>
      <c r="D2082">
        <v>12.9</v>
      </c>
      <c r="E2082">
        <v>0.22</v>
      </c>
      <c r="F2082">
        <v>0.6</v>
      </c>
      <c r="G2082">
        <v>0.6</v>
      </c>
      <c r="H2082">
        <v>139</v>
      </c>
      <c r="I2082">
        <v>5</v>
      </c>
      <c r="J2082">
        <v>2</v>
      </c>
      <c r="K2082">
        <v>66.099999999999994</v>
      </c>
      <c r="L2082" t="s">
        <v>123</v>
      </c>
      <c r="M2082" t="s">
        <v>118</v>
      </c>
    </row>
    <row r="2083" spans="2:13" x14ac:dyDescent="0.2">
      <c r="B2083">
        <v>3082</v>
      </c>
      <c r="C2083">
        <v>3</v>
      </c>
      <c r="D2083">
        <v>18.100000000000001</v>
      </c>
      <c r="E2083">
        <v>0.3</v>
      </c>
      <c r="F2083">
        <v>0.6</v>
      </c>
      <c r="G2083">
        <v>0.6</v>
      </c>
      <c r="H2083">
        <v>195</v>
      </c>
      <c r="I2083">
        <v>8</v>
      </c>
      <c r="J2083">
        <v>2</v>
      </c>
      <c r="K2083">
        <v>66.400000000000006</v>
      </c>
      <c r="L2083" t="s">
        <v>132</v>
      </c>
      <c r="M2083" t="s">
        <v>116</v>
      </c>
    </row>
    <row r="2084" spans="2:13" x14ac:dyDescent="0.2">
      <c r="B2084">
        <v>3082</v>
      </c>
      <c r="C2084">
        <v>4</v>
      </c>
      <c r="D2084">
        <v>0</v>
      </c>
      <c r="E2084">
        <v>0</v>
      </c>
      <c r="F2084">
        <v>0.6</v>
      </c>
      <c r="G2084">
        <v>0.6</v>
      </c>
      <c r="H2084">
        <v>0</v>
      </c>
      <c r="I2084">
        <v>0</v>
      </c>
      <c r="J2084">
        <v>0</v>
      </c>
      <c r="K2084">
        <v>50</v>
      </c>
      <c r="L2084" t="s">
        <v>113</v>
      </c>
      <c r="M2084" t="s">
        <v>114</v>
      </c>
    </row>
    <row r="2085" spans="2:13" x14ac:dyDescent="0.2">
      <c r="B2085">
        <v>3082</v>
      </c>
      <c r="C2085">
        <v>4</v>
      </c>
      <c r="D2085">
        <v>6</v>
      </c>
      <c r="E2085">
        <v>0.1</v>
      </c>
      <c r="F2085">
        <v>0.6</v>
      </c>
      <c r="G2085">
        <v>0.6</v>
      </c>
      <c r="H2085">
        <v>65</v>
      </c>
      <c r="I2085">
        <v>1</v>
      </c>
      <c r="J2085">
        <v>0</v>
      </c>
      <c r="K2085">
        <v>91.7</v>
      </c>
      <c r="L2085" t="s">
        <v>115</v>
      </c>
      <c r="M2085" t="s">
        <v>116</v>
      </c>
    </row>
    <row r="2086" spans="2:13" x14ac:dyDescent="0.2">
      <c r="B2086">
        <v>3082</v>
      </c>
      <c r="C2086">
        <v>4</v>
      </c>
      <c r="D2086">
        <v>7.9</v>
      </c>
      <c r="E2086">
        <v>0.13</v>
      </c>
      <c r="F2086">
        <v>0.6</v>
      </c>
      <c r="G2086">
        <v>0.6</v>
      </c>
      <c r="H2086">
        <v>85</v>
      </c>
      <c r="I2086">
        <v>2</v>
      </c>
      <c r="J2086">
        <v>1</v>
      </c>
      <c r="K2086">
        <v>66.5</v>
      </c>
      <c r="L2086" t="s">
        <v>117</v>
      </c>
      <c r="M2086" t="s">
        <v>118</v>
      </c>
    </row>
    <row r="2087" spans="2:13" x14ac:dyDescent="0.2">
      <c r="B2087">
        <v>3082</v>
      </c>
      <c r="C2087">
        <v>4</v>
      </c>
      <c r="D2087">
        <v>8.1999999999999993</v>
      </c>
      <c r="E2087">
        <v>0.14000000000000001</v>
      </c>
      <c r="F2087">
        <v>0.6</v>
      </c>
      <c r="G2087">
        <v>0.6</v>
      </c>
      <c r="H2087">
        <v>89</v>
      </c>
      <c r="I2087">
        <v>2</v>
      </c>
      <c r="J2087">
        <v>2</v>
      </c>
      <c r="K2087">
        <v>58.2</v>
      </c>
      <c r="L2087" t="s">
        <v>127</v>
      </c>
      <c r="M2087" t="s">
        <v>118</v>
      </c>
    </row>
    <row r="2088" spans="2:13" x14ac:dyDescent="0.2">
      <c r="B2088">
        <v>3082</v>
      </c>
      <c r="C2088">
        <v>4</v>
      </c>
      <c r="D2088">
        <v>12.1</v>
      </c>
      <c r="E2088">
        <v>0.2</v>
      </c>
      <c r="F2088">
        <v>0.6</v>
      </c>
      <c r="G2088">
        <v>0.45</v>
      </c>
      <c r="H2088">
        <v>130</v>
      </c>
      <c r="I2088">
        <v>6</v>
      </c>
      <c r="J2088">
        <v>2</v>
      </c>
      <c r="K2088">
        <v>57.7</v>
      </c>
      <c r="L2088" t="s">
        <v>126</v>
      </c>
      <c r="M2088" t="s">
        <v>116</v>
      </c>
    </row>
    <row r="2089" spans="2:13" x14ac:dyDescent="0.2">
      <c r="B2089">
        <v>3082</v>
      </c>
      <c r="C2089">
        <v>4</v>
      </c>
      <c r="D2089">
        <v>18.100000000000001</v>
      </c>
      <c r="E2089">
        <v>0.3</v>
      </c>
      <c r="F2089">
        <v>0.45</v>
      </c>
      <c r="G2089">
        <v>0.45</v>
      </c>
      <c r="H2089">
        <v>179</v>
      </c>
      <c r="I2089">
        <v>7</v>
      </c>
      <c r="J2089">
        <v>2</v>
      </c>
      <c r="K2089">
        <v>64.8</v>
      </c>
      <c r="L2089" t="s">
        <v>115</v>
      </c>
      <c r="M2089" t="s">
        <v>116</v>
      </c>
    </row>
    <row r="2090" spans="2:13" x14ac:dyDescent="0.2">
      <c r="B2090">
        <v>3082</v>
      </c>
      <c r="C2090">
        <v>5</v>
      </c>
      <c r="D2090">
        <v>0</v>
      </c>
      <c r="E2090">
        <v>0</v>
      </c>
      <c r="F2090">
        <v>0.6</v>
      </c>
      <c r="G2090">
        <v>0.6</v>
      </c>
      <c r="H2090">
        <v>0</v>
      </c>
      <c r="I2090">
        <v>0</v>
      </c>
      <c r="J2090">
        <v>0</v>
      </c>
      <c r="K2090">
        <v>50</v>
      </c>
      <c r="L2090" t="s">
        <v>113</v>
      </c>
      <c r="M2090" t="s">
        <v>114</v>
      </c>
    </row>
    <row r="2091" spans="2:13" x14ac:dyDescent="0.2">
      <c r="B2091">
        <v>3082</v>
      </c>
      <c r="C2091">
        <v>5</v>
      </c>
      <c r="D2091">
        <v>6</v>
      </c>
      <c r="E2091">
        <v>0.1</v>
      </c>
      <c r="F2091">
        <v>0.6</v>
      </c>
      <c r="G2091">
        <v>0.6</v>
      </c>
      <c r="H2091">
        <v>65</v>
      </c>
      <c r="I2091">
        <v>1</v>
      </c>
      <c r="J2091">
        <v>0</v>
      </c>
      <c r="K2091">
        <v>91.3</v>
      </c>
      <c r="L2091" t="s">
        <v>115</v>
      </c>
      <c r="M2091" t="s">
        <v>116</v>
      </c>
    </row>
    <row r="2092" spans="2:13" x14ac:dyDescent="0.2">
      <c r="B2092">
        <v>3082</v>
      </c>
      <c r="C2092">
        <v>5</v>
      </c>
      <c r="D2092">
        <v>8.6999999999999993</v>
      </c>
      <c r="E2092">
        <v>0.14000000000000001</v>
      </c>
      <c r="F2092">
        <v>0.6</v>
      </c>
      <c r="G2092">
        <v>0.6</v>
      </c>
      <c r="H2092">
        <v>94</v>
      </c>
      <c r="I2092">
        <v>3</v>
      </c>
      <c r="J2092">
        <v>1</v>
      </c>
      <c r="K2092">
        <v>79.2</v>
      </c>
      <c r="L2092" t="s">
        <v>117</v>
      </c>
      <c r="M2092" t="s">
        <v>118</v>
      </c>
    </row>
    <row r="2093" spans="2:13" x14ac:dyDescent="0.2">
      <c r="B2093">
        <v>3082</v>
      </c>
      <c r="C2093">
        <v>5</v>
      </c>
      <c r="D2093">
        <v>12.1</v>
      </c>
      <c r="E2093">
        <v>0.2</v>
      </c>
      <c r="F2093">
        <v>0.6</v>
      </c>
      <c r="G2093">
        <v>0.6</v>
      </c>
      <c r="H2093">
        <v>130</v>
      </c>
      <c r="I2093">
        <v>6</v>
      </c>
      <c r="J2093">
        <v>1</v>
      </c>
      <c r="K2093">
        <v>82.1</v>
      </c>
      <c r="L2093" t="s">
        <v>136</v>
      </c>
      <c r="M2093" t="s">
        <v>116</v>
      </c>
    </row>
    <row r="2094" spans="2:13" x14ac:dyDescent="0.2">
      <c r="B2094">
        <v>3082</v>
      </c>
      <c r="C2094">
        <v>5</v>
      </c>
      <c r="D2094">
        <v>18.100000000000001</v>
      </c>
      <c r="E2094">
        <v>0.3</v>
      </c>
      <c r="F2094">
        <v>0.6</v>
      </c>
      <c r="G2094">
        <v>0.6</v>
      </c>
      <c r="H2094">
        <v>195</v>
      </c>
      <c r="I2094">
        <v>7</v>
      </c>
      <c r="J2094">
        <v>1</v>
      </c>
      <c r="K2094">
        <v>83.1</v>
      </c>
      <c r="L2094" t="s">
        <v>115</v>
      </c>
      <c r="M2094" t="s">
        <v>116</v>
      </c>
    </row>
    <row r="2095" spans="2:13" x14ac:dyDescent="0.2">
      <c r="B2095">
        <v>3083</v>
      </c>
      <c r="C2095">
        <v>1</v>
      </c>
      <c r="D2095">
        <v>0</v>
      </c>
      <c r="E2095">
        <v>0</v>
      </c>
      <c r="F2095">
        <v>0.6</v>
      </c>
      <c r="G2095">
        <v>0.6</v>
      </c>
      <c r="H2095">
        <v>0</v>
      </c>
      <c r="I2095">
        <v>0</v>
      </c>
      <c r="J2095">
        <v>0</v>
      </c>
      <c r="K2095">
        <v>50</v>
      </c>
      <c r="L2095" t="s">
        <v>113</v>
      </c>
      <c r="M2095" t="s">
        <v>114</v>
      </c>
    </row>
    <row r="2096" spans="2:13" x14ac:dyDescent="0.2">
      <c r="B2096">
        <v>3083</v>
      </c>
      <c r="C2096">
        <v>1</v>
      </c>
      <c r="D2096">
        <v>6</v>
      </c>
      <c r="E2096">
        <v>0.1</v>
      </c>
      <c r="F2096">
        <v>0.6</v>
      </c>
      <c r="G2096">
        <v>0.6</v>
      </c>
      <c r="H2096">
        <v>65</v>
      </c>
      <c r="I2096">
        <v>1</v>
      </c>
      <c r="J2096">
        <v>0</v>
      </c>
      <c r="K2096">
        <v>38.4</v>
      </c>
      <c r="L2096" t="s">
        <v>115</v>
      </c>
      <c r="M2096" t="s">
        <v>116</v>
      </c>
    </row>
    <row r="2097" spans="2:13" x14ac:dyDescent="0.2">
      <c r="B2097">
        <v>3083</v>
      </c>
      <c r="C2097">
        <v>1</v>
      </c>
      <c r="D2097">
        <v>8</v>
      </c>
      <c r="E2097">
        <v>0.13</v>
      </c>
      <c r="F2097">
        <v>0.6</v>
      </c>
      <c r="G2097">
        <v>0.6</v>
      </c>
      <c r="H2097">
        <v>86</v>
      </c>
      <c r="I2097">
        <v>1</v>
      </c>
      <c r="J2097">
        <v>1</v>
      </c>
      <c r="K2097">
        <v>62.8</v>
      </c>
      <c r="L2097" t="s">
        <v>122</v>
      </c>
      <c r="M2097" t="s">
        <v>118</v>
      </c>
    </row>
    <row r="2098" spans="2:13" x14ac:dyDescent="0.2">
      <c r="B2098">
        <v>3083</v>
      </c>
      <c r="C2098">
        <v>1</v>
      </c>
      <c r="D2098">
        <v>12.1</v>
      </c>
      <c r="E2098">
        <v>0.2</v>
      </c>
      <c r="F2098">
        <v>0.6</v>
      </c>
      <c r="G2098">
        <v>0.6</v>
      </c>
      <c r="H2098">
        <v>130</v>
      </c>
      <c r="I2098">
        <v>2</v>
      </c>
      <c r="J2098">
        <v>1</v>
      </c>
      <c r="K2098">
        <v>74.8</v>
      </c>
      <c r="L2098" t="s">
        <v>136</v>
      </c>
      <c r="M2098" t="s">
        <v>116</v>
      </c>
    </row>
    <row r="2099" spans="2:13" x14ac:dyDescent="0.2">
      <c r="B2099">
        <v>3083</v>
      </c>
      <c r="C2099">
        <v>1</v>
      </c>
      <c r="D2099">
        <v>12.2</v>
      </c>
      <c r="E2099">
        <v>0.2</v>
      </c>
      <c r="F2099">
        <v>0.6</v>
      </c>
      <c r="G2099">
        <v>0.6</v>
      </c>
      <c r="H2099">
        <v>131</v>
      </c>
      <c r="I2099">
        <v>2</v>
      </c>
      <c r="J2099">
        <v>2</v>
      </c>
      <c r="K2099">
        <v>67.400000000000006</v>
      </c>
      <c r="L2099" t="s">
        <v>127</v>
      </c>
      <c r="M2099" t="s">
        <v>118</v>
      </c>
    </row>
    <row r="2100" spans="2:13" x14ac:dyDescent="0.2">
      <c r="B2100">
        <v>3083</v>
      </c>
      <c r="C2100">
        <v>1</v>
      </c>
      <c r="D2100">
        <v>14.6</v>
      </c>
      <c r="E2100">
        <v>0.24</v>
      </c>
      <c r="F2100">
        <v>0.6</v>
      </c>
      <c r="G2100">
        <v>0.6</v>
      </c>
      <c r="H2100">
        <v>158</v>
      </c>
      <c r="I2100">
        <v>5</v>
      </c>
      <c r="J2100">
        <v>3</v>
      </c>
      <c r="K2100">
        <v>62.2</v>
      </c>
      <c r="L2100" t="s">
        <v>125</v>
      </c>
      <c r="M2100" t="s">
        <v>118</v>
      </c>
    </row>
    <row r="2101" spans="2:13" x14ac:dyDescent="0.2">
      <c r="B2101">
        <v>3083</v>
      </c>
      <c r="C2101">
        <v>1</v>
      </c>
      <c r="D2101">
        <v>18.100000000000001</v>
      </c>
      <c r="E2101">
        <v>0.3</v>
      </c>
      <c r="F2101">
        <v>0.6</v>
      </c>
      <c r="G2101">
        <v>0.45</v>
      </c>
      <c r="H2101">
        <v>195</v>
      </c>
      <c r="I2101">
        <v>5</v>
      </c>
      <c r="J2101">
        <v>3</v>
      </c>
      <c r="K2101">
        <v>62.1</v>
      </c>
      <c r="L2101" t="s">
        <v>126</v>
      </c>
      <c r="M2101" t="s">
        <v>116</v>
      </c>
    </row>
    <row r="2102" spans="2:13" x14ac:dyDescent="0.2">
      <c r="B2102">
        <v>3083</v>
      </c>
      <c r="C2102">
        <v>2</v>
      </c>
      <c r="D2102">
        <v>0</v>
      </c>
      <c r="E2102">
        <v>0</v>
      </c>
      <c r="F2102">
        <v>0.6</v>
      </c>
      <c r="G2102">
        <v>0.6</v>
      </c>
      <c r="H2102">
        <v>0</v>
      </c>
      <c r="I2102">
        <v>0</v>
      </c>
      <c r="J2102">
        <v>0</v>
      </c>
      <c r="K2102">
        <v>50</v>
      </c>
      <c r="L2102" t="s">
        <v>113</v>
      </c>
      <c r="M2102" t="s">
        <v>114</v>
      </c>
    </row>
    <row r="2103" spans="2:13" x14ac:dyDescent="0.2">
      <c r="B2103">
        <v>3083</v>
      </c>
      <c r="C2103">
        <v>2</v>
      </c>
      <c r="D2103">
        <v>5.4</v>
      </c>
      <c r="E2103">
        <v>0.09</v>
      </c>
      <c r="F2103">
        <v>0.6</v>
      </c>
      <c r="G2103">
        <v>0.6</v>
      </c>
      <c r="H2103">
        <v>59</v>
      </c>
      <c r="I2103">
        <v>0</v>
      </c>
      <c r="J2103">
        <v>1</v>
      </c>
      <c r="K2103">
        <v>37.6</v>
      </c>
      <c r="L2103" t="s">
        <v>117</v>
      </c>
      <c r="M2103" t="s">
        <v>118</v>
      </c>
    </row>
    <row r="2104" spans="2:13" x14ac:dyDescent="0.2">
      <c r="B2104">
        <v>3083</v>
      </c>
      <c r="C2104">
        <v>2</v>
      </c>
      <c r="D2104">
        <v>6</v>
      </c>
      <c r="E2104">
        <v>0.1</v>
      </c>
      <c r="F2104">
        <v>0.6</v>
      </c>
      <c r="G2104">
        <v>0.6</v>
      </c>
      <c r="H2104">
        <v>65</v>
      </c>
      <c r="I2104">
        <v>0</v>
      </c>
      <c r="J2104">
        <v>1</v>
      </c>
      <c r="K2104">
        <v>62.6</v>
      </c>
      <c r="L2104" t="s">
        <v>121</v>
      </c>
      <c r="M2104" t="s">
        <v>116</v>
      </c>
    </row>
    <row r="2105" spans="2:13" x14ac:dyDescent="0.2">
      <c r="B2105">
        <v>3083</v>
      </c>
      <c r="C2105">
        <v>2</v>
      </c>
      <c r="D2105">
        <v>8.3000000000000007</v>
      </c>
      <c r="E2105">
        <v>0.14000000000000001</v>
      </c>
      <c r="F2105">
        <v>0.6</v>
      </c>
      <c r="G2105">
        <v>0.6</v>
      </c>
      <c r="H2105">
        <v>90</v>
      </c>
      <c r="I2105">
        <v>2</v>
      </c>
      <c r="J2105">
        <v>2</v>
      </c>
      <c r="K2105">
        <v>63.3</v>
      </c>
      <c r="L2105" t="s">
        <v>127</v>
      </c>
      <c r="M2105" t="s">
        <v>118</v>
      </c>
    </row>
    <row r="2106" spans="2:13" x14ac:dyDescent="0.2">
      <c r="B2106">
        <v>3083</v>
      </c>
      <c r="C2106">
        <v>2</v>
      </c>
      <c r="D2106">
        <v>12.1</v>
      </c>
      <c r="E2106">
        <v>0.2</v>
      </c>
      <c r="F2106">
        <v>0.6</v>
      </c>
      <c r="G2106">
        <v>0.6</v>
      </c>
      <c r="H2106">
        <v>130</v>
      </c>
      <c r="I2106">
        <v>6</v>
      </c>
      <c r="J2106">
        <v>2</v>
      </c>
      <c r="K2106">
        <v>62.3</v>
      </c>
      <c r="L2106" t="s">
        <v>121</v>
      </c>
      <c r="M2106" t="s">
        <v>116</v>
      </c>
    </row>
    <row r="2107" spans="2:13" x14ac:dyDescent="0.2">
      <c r="B2107">
        <v>3083</v>
      </c>
      <c r="C2107">
        <v>2</v>
      </c>
      <c r="D2107">
        <v>14.7</v>
      </c>
      <c r="E2107">
        <v>0.24</v>
      </c>
      <c r="F2107">
        <v>0.6</v>
      </c>
      <c r="G2107">
        <v>0.6</v>
      </c>
      <c r="H2107">
        <v>158</v>
      </c>
      <c r="I2107">
        <v>6</v>
      </c>
      <c r="J2107">
        <v>3</v>
      </c>
      <c r="K2107">
        <v>65.900000000000006</v>
      </c>
      <c r="L2107" t="s">
        <v>125</v>
      </c>
      <c r="M2107" t="s">
        <v>118</v>
      </c>
    </row>
    <row r="2108" spans="2:13" x14ac:dyDescent="0.2">
      <c r="B2108">
        <v>3083</v>
      </c>
      <c r="C2108">
        <v>2</v>
      </c>
      <c r="D2108">
        <v>18.100000000000001</v>
      </c>
      <c r="E2108">
        <v>0.3</v>
      </c>
      <c r="F2108">
        <v>0.6</v>
      </c>
      <c r="G2108">
        <v>0.6</v>
      </c>
      <c r="H2108">
        <v>195</v>
      </c>
      <c r="I2108">
        <v>7</v>
      </c>
      <c r="J2108">
        <v>3</v>
      </c>
      <c r="K2108">
        <v>66.7</v>
      </c>
      <c r="L2108" t="s">
        <v>124</v>
      </c>
      <c r="M2108" t="s">
        <v>116</v>
      </c>
    </row>
    <row r="2109" spans="2:13" x14ac:dyDescent="0.2">
      <c r="B2109">
        <v>3083</v>
      </c>
      <c r="C2109">
        <v>3</v>
      </c>
      <c r="D2109">
        <v>0</v>
      </c>
      <c r="E2109">
        <v>0</v>
      </c>
      <c r="F2109">
        <v>0.6</v>
      </c>
      <c r="G2109">
        <v>0.6</v>
      </c>
      <c r="H2109">
        <v>0</v>
      </c>
      <c r="I2109">
        <v>0</v>
      </c>
      <c r="J2109">
        <v>0</v>
      </c>
      <c r="K2109">
        <v>50</v>
      </c>
      <c r="L2109" t="s">
        <v>113</v>
      </c>
      <c r="M2109" t="s">
        <v>114</v>
      </c>
    </row>
    <row r="2110" spans="2:13" x14ac:dyDescent="0.2">
      <c r="B2110">
        <v>3083</v>
      </c>
      <c r="C2110">
        <v>3</v>
      </c>
      <c r="D2110">
        <v>6</v>
      </c>
      <c r="E2110">
        <v>0.1</v>
      </c>
      <c r="F2110">
        <v>0.6</v>
      </c>
      <c r="G2110">
        <v>0.6</v>
      </c>
      <c r="H2110">
        <v>65</v>
      </c>
      <c r="I2110">
        <v>0</v>
      </c>
      <c r="J2110">
        <v>0</v>
      </c>
      <c r="K2110">
        <v>34.700000000000003</v>
      </c>
      <c r="L2110" t="s">
        <v>115</v>
      </c>
      <c r="M2110" t="s">
        <v>116</v>
      </c>
    </row>
    <row r="2111" spans="2:13" x14ac:dyDescent="0.2">
      <c r="B2111">
        <v>3083</v>
      </c>
      <c r="C2111">
        <v>3</v>
      </c>
      <c r="D2111">
        <v>8.9</v>
      </c>
      <c r="E2111">
        <v>0.15</v>
      </c>
      <c r="F2111">
        <v>0.6</v>
      </c>
      <c r="G2111">
        <v>0.6</v>
      </c>
      <c r="H2111">
        <v>97</v>
      </c>
      <c r="I2111">
        <v>2</v>
      </c>
      <c r="J2111">
        <v>1</v>
      </c>
      <c r="K2111">
        <v>59.9</v>
      </c>
      <c r="L2111" t="s">
        <v>117</v>
      </c>
      <c r="M2111" t="s">
        <v>118</v>
      </c>
    </row>
    <row r="2112" spans="2:13" x14ac:dyDescent="0.2">
      <c r="B2112">
        <v>3083</v>
      </c>
      <c r="C2112">
        <v>3</v>
      </c>
      <c r="D2112">
        <v>12.1</v>
      </c>
      <c r="E2112">
        <v>0.2</v>
      </c>
      <c r="F2112">
        <v>0.6</v>
      </c>
      <c r="G2112">
        <v>0.6</v>
      </c>
      <c r="H2112">
        <v>130</v>
      </c>
      <c r="I2112">
        <v>4</v>
      </c>
      <c r="J2112">
        <v>1</v>
      </c>
      <c r="K2112">
        <v>73.599999999999994</v>
      </c>
      <c r="L2112" t="s">
        <v>136</v>
      </c>
      <c r="M2112" t="s">
        <v>116</v>
      </c>
    </row>
    <row r="2113" spans="2:13" x14ac:dyDescent="0.2">
      <c r="B2113">
        <v>3083</v>
      </c>
      <c r="C2113">
        <v>3</v>
      </c>
      <c r="D2113">
        <v>18.100000000000001</v>
      </c>
      <c r="E2113">
        <v>0.3</v>
      </c>
      <c r="F2113">
        <v>0.6</v>
      </c>
      <c r="G2113">
        <v>0.7</v>
      </c>
      <c r="H2113">
        <v>195</v>
      </c>
      <c r="I2113">
        <v>11</v>
      </c>
      <c r="J2113">
        <v>1</v>
      </c>
      <c r="K2113">
        <v>78.2</v>
      </c>
      <c r="L2113" t="s">
        <v>128</v>
      </c>
      <c r="M2113" t="s">
        <v>116</v>
      </c>
    </row>
    <row r="2114" spans="2:13" x14ac:dyDescent="0.2">
      <c r="B2114">
        <v>3083</v>
      </c>
      <c r="C2114">
        <v>4</v>
      </c>
      <c r="D2114">
        <v>0</v>
      </c>
      <c r="E2114">
        <v>0</v>
      </c>
      <c r="F2114">
        <v>0.6</v>
      </c>
      <c r="G2114">
        <v>0.6</v>
      </c>
      <c r="H2114">
        <v>0</v>
      </c>
      <c r="I2114">
        <v>0</v>
      </c>
      <c r="J2114">
        <v>0</v>
      </c>
      <c r="K2114">
        <v>50</v>
      </c>
      <c r="L2114" t="s">
        <v>113</v>
      </c>
      <c r="M2114" t="s">
        <v>114</v>
      </c>
    </row>
    <row r="2115" spans="2:13" x14ac:dyDescent="0.2">
      <c r="B2115">
        <v>3083</v>
      </c>
      <c r="C2115">
        <v>4</v>
      </c>
      <c r="D2115">
        <v>6</v>
      </c>
      <c r="E2115">
        <v>0.1</v>
      </c>
      <c r="F2115">
        <v>0.6</v>
      </c>
      <c r="G2115">
        <v>0.6</v>
      </c>
      <c r="H2115">
        <v>65</v>
      </c>
      <c r="I2115">
        <v>1</v>
      </c>
      <c r="J2115">
        <v>0</v>
      </c>
      <c r="K2115">
        <v>37.6</v>
      </c>
      <c r="L2115" t="s">
        <v>115</v>
      </c>
      <c r="M2115" t="s">
        <v>116</v>
      </c>
    </row>
    <row r="2116" spans="2:13" x14ac:dyDescent="0.2">
      <c r="B2116">
        <v>3083</v>
      </c>
      <c r="C2116">
        <v>4</v>
      </c>
      <c r="D2116">
        <v>8.5</v>
      </c>
      <c r="E2116">
        <v>0.14000000000000001</v>
      </c>
      <c r="F2116">
        <v>0.6</v>
      </c>
      <c r="G2116">
        <v>0.6</v>
      </c>
      <c r="H2116">
        <v>92</v>
      </c>
      <c r="I2116">
        <v>2</v>
      </c>
      <c r="J2116">
        <v>1</v>
      </c>
      <c r="K2116">
        <v>72.5</v>
      </c>
      <c r="L2116" t="s">
        <v>122</v>
      </c>
      <c r="M2116" t="s">
        <v>118</v>
      </c>
    </row>
    <row r="2117" spans="2:13" x14ac:dyDescent="0.2">
      <c r="B2117">
        <v>3083</v>
      </c>
      <c r="C2117">
        <v>4</v>
      </c>
      <c r="D2117">
        <v>12.1</v>
      </c>
      <c r="E2117">
        <v>0.2</v>
      </c>
      <c r="F2117">
        <v>0.6</v>
      </c>
      <c r="G2117">
        <v>0.6</v>
      </c>
      <c r="H2117">
        <v>130</v>
      </c>
      <c r="I2117">
        <v>4</v>
      </c>
      <c r="J2117">
        <v>1</v>
      </c>
      <c r="K2117">
        <v>72.099999999999994</v>
      </c>
      <c r="L2117" t="s">
        <v>124</v>
      </c>
      <c r="M2117" t="s">
        <v>116</v>
      </c>
    </row>
    <row r="2118" spans="2:13" x14ac:dyDescent="0.2">
      <c r="B2118">
        <v>3083</v>
      </c>
      <c r="C2118">
        <v>4</v>
      </c>
      <c r="D2118">
        <v>17.5</v>
      </c>
      <c r="E2118">
        <v>0.28999999999999998</v>
      </c>
      <c r="F2118">
        <v>0.6</v>
      </c>
      <c r="G2118">
        <v>0.6</v>
      </c>
      <c r="H2118">
        <v>188</v>
      </c>
      <c r="I2118">
        <v>8</v>
      </c>
      <c r="J2118">
        <v>2</v>
      </c>
      <c r="K2118">
        <v>71.2</v>
      </c>
      <c r="L2118" t="s">
        <v>127</v>
      </c>
      <c r="M2118" t="s">
        <v>118</v>
      </c>
    </row>
    <row r="2119" spans="2:13" x14ac:dyDescent="0.2">
      <c r="B2119">
        <v>3083</v>
      </c>
      <c r="C2119">
        <v>4</v>
      </c>
      <c r="D2119">
        <v>18.100000000000001</v>
      </c>
      <c r="E2119">
        <v>0.3</v>
      </c>
      <c r="F2119">
        <v>0.6</v>
      </c>
      <c r="G2119">
        <v>0.6</v>
      </c>
      <c r="H2119">
        <v>195</v>
      </c>
      <c r="I2119">
        <v>8</v>
      </c>
      <c r="J2119">
        <v>2</v>
      </c>
      <c r="K2119">
        <v>71.400000000000006</v>
      </c>
      <c r="L2119" t="s">
        <v>124</v>
      </c>
      <c r="M2119" t="s">
        <v>116</v>
      </c>
    </row>
    <row r="2120" spans="2:13" x14ac:dyDescent="0.2">
      <c r="B2120">
        <v>3083</v>
      </c>
      <c r="C2120">
        <v>5</v>
      </c>
      <c r="D2120">
        <v>0</v>
      </c>
      <c r="E2120">
        <v>0</v>
      </c>
      <c r="F2120">
        <v>0.6</v>
      </c>
      <c r="G2120">
        <v>0.6</v>
      </c>
      <c r="H2120">
        <v>0</v>
      </c>
      <c r="I2120">
        <v>0</v>
      </c>
      <c r="J2120">
        <v>0</v>
      </c>
      <c r="K2120">
        <v>50</v>
      </c>
      <c r="L2120" t="s">
        <v>113</v>
      </c>
      <c r="M2120" t="s">
        <v>114</v>
      </c>
    </row>
    <row r="2121" spans="2:13" x14ac:dyDescent="0.2">
      <c r="B2121">
        <v>3083</v>
      </c>
      <c r="C2121">
        <v>5</v>
      </c>
      <c r="D2121">
        <v>6</v>
      </c>
      <c r="E2121">
        <v>0.1</v>
      </c>
      <c r="F2121">
        <v>0.6</v>
      </c>
      <c r="G2121">
        <v>0.6</v>
      </c>
      <c r="H2121">
        <v>65</v>
      </c>
      <c r="I2121">
        <v>0</v>
      </c>
      <c r="J2121">
        <v>0</v>
      </c>
      <c r="K2121">
        <v>37.200000000000003</v>
      </c>
      <c r="L2121" t="s">
        <v>115</v>
      </c>
      <c r="M2121" t="s">
        <v>116</v>
      </c>
    </row>
    <row r="2122" spans="2:13" x14ac:dyDescent="0.2">
      <c r="B2122">
        <v>3083</v>
      </c>
      <c r="C2122">
        <v>5</v>
      </c>
      <c r="D2122">
        <v>12.1</v>
      </c>
      <c r="E2122">
        <v>0.2</v>
      </c>
      <c r="F2122">
        <v>0.6</v>
      </c>
      <c r="G2122">
        <v>0.7</v>
      </c>
      <c r="H2122">
        <v>130</v>
      </c>
      <c r="I2122">
        <v>3</v>
      </c>
      <c r="J2122">
        <v>0</v>
      </c>
      <c r="K2122">
        <v>88.2</v>
      </c>
      <c r="L2122" t="s">
        <v>128</v>
      </c>
      <c r="M2122" t="s">
        <v>116</v>
      </c>
    </row>
    <row r="2123" spans="2:13" x14ac:dyDescent="0.2">
      <c r="B2123">
        <v>3084</v>
      </c>
      <c r="C2123">
        <v>1</v>
      </c>
      <c r="D2123">
        <v>0</v>
      </c>
      <c r="E2123">
        <v>0</v>
      </c>
      <c r="F2123">
        <v>0.6</v>
      </c>
      <c r="G2123">
        <v>0.6</v>
      </c>
      <c r="H2123">
        <v>0</v>
      </c>
      <c r="I2123">
        <v>0</v>
      </c>
      <c r="J2123">
        <v>0</v>
      </c>
      <c r="K2123">
        <v>50</v>
      </c>
      <c r="L2123" t="s">
        <v>113</v>
      </c>
      <c r="M2123" t="s">
        <v>114</v>
      </c>
    </row>
    <row r="2124" spans="2:13" x14ac:dyDescent="0.2">
      <c r="B2124">
        <v>3084</v>
      </c>
      <c r="C2124">
        <v>1</v>
      </c>
      <c r="D2124">
        <v>6</v>
      </c>
      <c r="E2124">
        <v>0.1</v>
      </c>
      <c r="F2124">
        <v>0.6</v>
      </c>
      <c r="G2124">
        <v>0.6</v>
      </c>
      <c r="H2124">
        <v>65</v>
      </c>
      <c r="I2124">
        <v>0</v>
      </c>
      <c r="J2124">
        <v>0</v>
      </c>
      <c r="K2124">
        <v>89.7</v>
      </c>
      <c r="L2124" t="s">
        <v>115</v>
      </c>
      <c r="M2124" t="s">
        <v>116</v>
      </c>
    </row>
    <row r="2125" spans="2:13" x14ac:dyDescent="0.2">
      <c r="B2125">
        <v>3084</v>
      </c>
      <c r="C2125">
        <v>1</v>
      </c>
      <c r="D2125">
        <v>6.7</v>
      </c>
      <c r="E2125">
        <v>0.11</v>
      </c>
      <c r="F2125">
        <v>0.6</v>
      </c>
      <c r="G2125">
        <v>0.6</v>
      </c>
      <c r="H2125">
        <v>72</v>
      </c>
      <c r="I2125">
        <v>0</v>
      </c>
      <c r="J2125">
        <v>1</v>
      </c>
      <c r="K2125">
        <v>74</v>
      </c>
      <c r="L2125" t="s">
        <v>129</v>
      </c>
      <c r="M2125" t="s">
        <v>118</v>
      </c>
    </row>
    <row r="2126" spans="2:13" x14ac:dyDescent="0.2">
      <c r="B2126">
        <v>3084</v>
      </c>
      <c r="C2126">
        <v>1</v>
      </c>
      <c r="D2126">
        <v>12.1</v>
      </c>
      <c r="E2126">
        <v>0.2</v>
      </c>
      <c r="F2126">
        <v>0.6</v>
      </c>
      <c r="G2126">
        <v>0.6</v>
      </c>
      <c r="H2126">
        <v>130</v>
      </c>
      <c r="I2126">
        <v>4</v>
      </c>
      <c r="J2126">
        <v>1</v>
      </c>
      <c r="K2126">
        <v>73.599999999999994</v>
      </c>
      <c r="L2126" t="s">
        <v>121</v>
      </c>
      <c r="M2126" t="s">
        <v>116</v>
      </c>
    </row>
    <row r="2127" spans="2:13" x14ac:dyDescent="0.2">
      <c r="B2127">
        <v>3084</v>
      </c>
      <c r="C2127">
        <v>1</v>
      </c>
      <c r="D2127">
        <v>18.100000000000001</v>
      </c>
      <c r="E2127">
        <v>0.3</v>
      </c>
      <c r="F2127">
        <v>0.6</v>
      </c>
      <c r="G2127">
        <v>0.7</v>
      </c>
      <c r="H2127">
        <v>195</v>
      </c>
      <c r="I2127">
        <v>8</v>
      </c>
      <c r="J2127">
        <v>1</v>
      </c>
      <c r="K2127">
        <v>80.7</v>
      </c>
      <c r="L2127" t="s">
        <v>128</v>
      </c>
      <c r="M2127" t="s">
        <v>116</v>
      </c>
    </row>
    <row r="2128" spans="2:13" x14ac:dyDescent="0.2">
      <c r="B2128">
        <v>3084</v>
      </c>
      <c r="C2128">
        <v>2</v>
      </c>
      <c r="D2128">
        <v>0</v>
      </c>
      <c r="E2128">
        <v>0</v>
      </c>
      <c r="F2128">
        <v>0.6</v>
      </c>
      <c r="G2128">
        <v>0.6</v>
      </c>
      <c r="H2128">
        <v>0</v>
      </c>
      <c r="I2128">
        <v>0</v>
      </c>
      <c r="J2128">
        <v>0</v>
      </c>
      <c r="K2128">
        <v>50</v>
      </c>
      <c r="L2128" t="s">
        <v>113</v>
      </c>
      <c r="M2128" t="s">
        <v>114</v>
      </c>
    </row>
    <row r="2129" spans="2:13" x14ac:dyDescent="0.2">
      <c r="B2129">
        <v>3084</v>
      </c>
      <c r="C2129">
        <v>2</v>
      </c>
      <c r="D2129">
        <v>6</v>
      </c>
      <c r="E2129">
        <v>0.1</v>
      </c>
      <c r="F2129">
        <v>0.6</v>
      </c>
      <c r="G2129">
        <v>0.6</v>
      </c>
      <c r="H2129">
        <v>65</v>
      </c>
      <c r="I2129">
        <v>1</v>
      </c>
      <c r="J2129">
        <v>0</v>
      </c>
      <c r="K2129">
        <v>43.8</v>
      </c>
      <c r="L2129" t="s">
        <v>115</v>
      </c>
      <c r="M2129" t="s">
        <v>116</v>
      </c>
    </row>
    <row r="2130" spans="2:13" x14ac:dyDescent="0.2">
      <c r="B2130">
        <v>3084</v>
      </c>
      <c r="C2130">
        <v>2</v>
      </c>
      <c r="D2130">
        <v>7.8</v>
      </c>
      <c r="E2130">
        <v>0.13</v>
      </c>
      <c r="F2130">
        <v>0.6</v>
      </c>
      <c r="G2130">
        <v>0.6</v>
      </c>
      <c r="H2130">
        <v>85</v>
      </c>
      <c r="I2130">
        <v>3</v>
      </c>
      <c r="J2130">
        <v>1</v>
      </c>
      <c r="K2130">
        <v>75.7</v>
      </c>
      <c r="L2130" t="s">
        <v>117</v>
      </c>
      <c r="M2130" t="s">
        <v>118</v>
      </c>
    </row>
    <row r="2131" spans="2:13" x14ac:dyDescent="0.2">
      <c r="B2131">
        <v>3084</v>
      </c>
      <c r="C2131">
        <v>2</v>
      </c>
      <c r="D2131">
        <v>12.1</v>
      </c>
      <c r="E2131">
        <v>0.2</v>
      </c>
      <c r="F2131">
        <v>0.6</v>
      </c>
      <c r="G2131">
        <v>0.6</v>
      </c>
      <c r="H2131">
        <v>130</v>
      </c>
      <c r="I2131">
        <v>4</v>
      </c>
      <c r="J2131">
        <v>1</v>
      </c>
      <c r="K2131">
        <v>74.8</v>
      </c>
      <c r="L2131" t="s">
        <v>124</v>
      </c>
      <c r="M2131" t="s">
        <v>116</v>
      </c>
    </row>
    <row r="2132" spans="2:13" x14ac:dyDescent="0.2">
      <c r="B2132">
        <v>3084</v>
      </c>
      <c r="C2132">
        <v>2</v>
      </c>
      <c r="D2132">
        <v>16.5</v>
      </c>
      <c r="E2132">
        <v>0.27</v>
      </c>
      <c r="F2132">
        <v>0.6</v>
      </c>
      <c r="G2132">
        <v>0.6</v>
      </c>
      <c r="H2132">
        <v>178</v>
      </c>
      <c r="I2132">
        <v>4</v>
      </c>
      <c r="J2132">
        <v>2</v>
      </c>
      <c r="K2132">
        <v>70.400000000000006</v>
      </c>
      <c r="L2132" t="s">
        <v>119</v>
      </c>
      <c r="M2132" t="s">
        <v>118</v>
      </c>
    </row>
    <row r="2133" spans="2:13" x14ac:dyDescent="0.2">
      <c r="B2133">
        <v>3084</v>
      </c>
      <c r="C2133">
        <v>2</v>
      </c>
      <c r="D2133">
        <v>18.100000000000001</v>
      </c>
      <c r="E2133">
        <v>0.3</v>
      </c>
      <c r="F2133">
        <v>0.6</v>
      </c>
      <c r="G2133">
        <v>0.6</v>
      </c>
      <c r="H2133">
        <v>195</v>
      </c>
      <c r="I2133">
        <v>4</v>
      </c>
      <c r="J2133">
        <v>2</v>
      </c>
      <c r="K2133">
        <v>70.599999999999994</v>
      </c>
      <c r="L2133" t="s">
        <v>121</v>
      </c>
      <c r="M2133" t="s">
        <v>116</v>
      </c>
    </row>
    <row r="2134" spans="2:13" x14ac:dyDescent="0.2">
      <c r="B2134">
        <v>3084</v>
      </c>
      <c r="C2134">
        <v>3</v>
      </c>
      <c r="D2134">
        <v>0</v>
      </c>
      <c r="E2134">
        <v>0</v>
      </c>
      <c r="F2134">
        <v>0.6</v>
      </c>
      <c r="G2134">
        <v>0.6</v>
      </c>
      <c r="H2134">
        <v>0</v>
      </c>
      <c r="I2134">
        <v>0</v>
      </c>
      <c r="J2134">
        <v>0</v>
      </c>
      <c r="K2134">
        <v>50</v>
      </c>
      <c r="L2134" t="s">
        <v>113</v>
      </c>
      <c r="M2134" t="s">
        <v>114</v>
      </c>
    </row>
    <row r="2135" spans="2:13" x14ac:dyDescent="0.2">
      <c r="B2135">
        <v>3084</v>
      </c>
      <c r="C2135">
        <v>3</v>
      </c>
      <c r="D2135">
        <v>6</v>
      </c>
      <c r="E2135">
        <v>0.1</v>
      </c>
      <c r="F2135">
        <v>0.6</v>
      </c>
      <c r="G2135">
        <v>0.6</v>
      </c>
      <c r="H2135">
        <v>65</v>
      </c>
      <c r="I2135">
        <v>1</v>
      </c>
      <c r="J2135">
        <v>0</v>
      </c>
      <c r="K2135">
        <v>40.1</v>
      </c>
      <c r="L2135" t="s">
        <v>115</v>
      </c>
      <c r="M2135" t="s">
        <v>116</v>
      </c>
    </row>
    <row r="2136" spans="2:13" x14ac:dyDescent="0.2">
      <c r="B2136">
        <v>3084</v>
      </c>
      <c r="C2136">
        <v>3</v>
      </c>
      <c r="D2136">
        <v>9.3000000000000007</v>
      </c>
      <c r="E2136">
        <v>0.16</v>
      </c>
      <c r="F2136">
        <v>0.6</v>
      </c>
      <c r="G2136">
        <v>0.6</v>
      </c>
      <c r="H2136">
        <v>101</v>
      </c>
      <c r="I2136">
        <v>2</v>
      </c>
      <c r="J2136">
        <v>1</v>
      </c>
      <c r="K2136">
        <v>74.5</v>
      </c>
      <c r="L2136" t="s">
        <v>122</v>
      </c>
      <c r="M2136" t="s">
        <v>118</v>
      </c>
    </row>
    <row r="2137" spans="2:13" x14ac:dyDescent="0.2">
      <c r="B2137">
        <v>3084</v>
      </c>
      <c r="C2137">
        <v>3</v>
      </c>
      <c r="D2137">
        <v>12.1</v>
      </c>
      <c r="E2137">
        <v>0.2</v>
      </c>
      <c r="F2137">
        <v>0.6</v>
      </c>
      <c r="G2137">
        <v>0.6</v>
      </c>
      <c r="H2137">
        <v>130</v>
      </c>
      <c r="I2137">
        <v>3</v>
      </c>
      <c r="J2137">
        <v>1</v>
      </c>
      <c r="K2137">
        <v>75.400000000000006</v>
      </c>
      <c r="L2137" t="s">
        <v>124</v>
      </c>
      <c r="M2137" t="s">
        <v>116</v>
      </c>
    </row>
    <row r="2138" spans="2:13" x14ac:dyDescent="0.2">
      <c r="B2138">
        <v>3084</v>
      </c>
      <c r="C2138">
        <v>3</v>
      </c>
      <c r="D2138">
        <v>18.100000000000001</v>
      </c>
      <c r="E2138">
        <v>0.3</v>
      </c>
      <c r="F2138">
        <v>0.6</v>
      </c>
      <c r="G2138">
        <v>0.6</v>
      </c>
      <c r="H2138">
        <v>195</v>
      </c>
      <c r="I2138">
        <v>4</v>
      </c>
      <c r="J2138">
        <v>1</v>
      </c>
      <c r="K2138">
        <v>74.5</v>
      </c>
      <c r="L2138" t="s">
        <v>115</v>
      </c>
      <c r="M2138" t="s">
        <v>116</v>
      </c>
    </row>
    <row r="2139" spans="2:13" x14ac:dyDescent="0.2">
      <c r="B2139">
        <v>3084</v>
      </c>
      <c r="C2139">
        <v>4</v>
      </c>
      <c r="D2139">
        <v>0</v>
      </c>
      <c r="E2139">
        <v>0</v>
      </c>
      <c r="F2139">
        <v>0.6</v>
      </c>
      <c r="G2139">
        <v>0.6</v>
      </c>
      <c r="H2139">
        <v>0</v>
      </c>
      <c r="I2139">
        <v>0</v>
      </c>
      <c r="J2139">
        <v>0</v>
      </c>
      <c r="K2139">
        <v>50</v>
      </c>
      <c r="L2139" t="s">
        <v>113</v>
      </c>
      <c r="M2139" t="s">
        <v>114</v>
      </c>
    </row>
    <row r="2140" spans="2:13" x14ac:dyDescent="0.2">
      <c r="B2140">
        <v>3084</v>
      </c>
      <c r="C2140">
        <v>4</v>
      </c>
      <c r="D2140">
        <v>6</v>
      </c>
      <c r="E2140">
        <v>0.1</v>
      </c>
      <c r="F2140">
        <v>0.6</v>
      </c>
      <c r="G2140">
        <v>0.6</v>
      </c>
      <c r="H2140">
        <v>65</v>
      </c>
      <c r="I2140">
        <v>0</v>
      </c>
      <c r="J2140">
        <v>0</v>
      </c>
      <c r="K2140">
        <v>42.1</v>
      </c>
      <c r="L2140" t="s">
        <v>115</v>
      </c>
      <c r="M2140" t="s">
        <v>116</v>
      </c>
    </row>
    <row r="2141" spans="2:13" x14ac:dyDescent="0.2">
      <c r="B2141">
        <v>3084</v>
      </c>
      <c r="C2141">
        <v>4</v>
      </c>
      <c r="D2141">
        <v>11</v>
      </c>
      <c r="E2141">
        <v>0.18</v>
      </c>
      <c r="F2141">
        <v>0.6</v>
      </c>
      <c r="G2141">
        <v>0.6</v>
      </c>
      <c r="H2141">
        <v>119</v>
      </c>
      <c r="I2141">
        <v>1</v>
      </c>
      <c r="J2141">
        <v>1</v>
      </c>
      <c r="K2141">
        <v>74</v>
      </c>
      <c r="L2141" t="s">
        <v>122</v>
      </c>
      <c r="M2141" t="s">
        <v>118</v>
      </c>
    </row>
    <row r="2142" spans="2:13" x14ac:dyDescent="0.2">
      <c r="B2142">
        <v>3084</v>
      </c>
      <c r="C2142">
        <v>4</v>
      </c>
      <c r="D2142">
        <v>12.1</v>
      </c>
      <c r="E2142">
        <v>0.2</v>
      </c>
      <c r="F2142">
        <v>0.6</v>
      </c>
      <c r="G2142">
        <v>0.6</v>
      </c>
      <c r="H2142">
        <v>130</v>
      </c>
      <c r="I2142">
        <v>1</v>
      </c>
      <c r="J2142">
        <v>1</v>
      </c>
      <c r="K2142">
        <v>74.400000000000006</v>
      </c>
      <c r="L2142" t="s">
        <v>124</v>
      </c>
      <c r="M2142" t="s">
        <v>116</v>
      </c>
    </row>
    <row r="2143" spans="2:13" x14ac:dyDescent="0.2">
      <c r="B2143">
        <v>3084</v>
      </c>
      <c r="C2143">
        <v>4</v>
      </c>
      <c r="D2143">
        <v>18.100000000000001</v>
      </c>
      <c r="E2143">
        <v>0.3</v>
      </c>
      <c r="F2143">
        <v>0.6</v>
      </c>
      <c r="G2143">
        <v>0.7</v>
      </c>
      <c r="H2143">
        <v>195</v>
      </c>
      <c r="I2143">
        <v>3</v>
      </c>
      <c r="J2143">
        <v>1</v>
      </c>
      <c r="K2143">
        <v>85.2</v>
      </c>
      <c r="L2143" t="s">
        <v>128</v>
      </c>
      <c r="M2143" t="s">
        <v>116</v>
      </c>
    </row>
    <row r="2144" spans="2:13" x14ac:dyDescent="0.2">
      <c r="B2144">
        <v>3084</v>
      </c>
      <c r="C2144">
        <v>5</v>
      </c>
      <c r="D2144">
        <v>0</v>
      </c>
      <c r="E2144">
        <v>0</v>
      </c>
      <c r="F2144">
        <v>0.6</v>
      </c>
      <c r="G2144">
        <v>0.6</v>
      </c>
      <c r="H2144">
        <v>0</v>
      </c>
      <c r="I2144">
        <v>0</v>
      </c>
      <c r="J2144">
        <v>0</v>
      </c>
      <c r="K2144">
        <v>50</v>
      </c>
      <c r="L2144" t="s">
        <v>113</v>
      </c>
      <c r="M2144" t="s">
        <v>114</v>
      </c>
    </row>
    <row r="2145" spans="2:13" x14ac:dyDescent="0.2">
      <c r="B2145">
        <v>3084</v>
      </c>
      <c r="C2145">
        <v>5</v>
      </c>
      <c r="D2145">
        <v>6</v>
      </c>
      <c r="E2145">
        <v>0.1</v>
      </c>
      <c r="F2145">
        <v>0.6</v>
      </c>
      <c r="G2145">
        <v>0.6</v>
      </c>
      <c r="H2145">
        <v>65</v>
      </c>
      <c r="I2145">
        <v>0</v>
      </c>
      <c r="J2145">
        <v>0</v>
      </c>
      <c r="K2145">
        <v>43</v>
      </c>
      <c r="L2145" t="s">
        <v>115</v>
      </c>
      <c r="M2145" t="s">
        <v>116</v>
      </c>
    </row>
    <row r="2146" spans="2:13" x14ac:dyDescent="0.2">
      <c r="B2146">
        <v>3084</v>
      </c>
      <c r="C2146">
        <v>5</v>
      </c>
      <c r="D2146">
        <v>12.1</v>
      </c>
      <c r="E2146">
        <v>0.2</v>
      </c>
      <c r="F2146">
        <v>0.6</v>
      </c>
      <c r="G2146">
        <v>0.6</v>
      </c>
      <c r="H2146">
        <v>130</v>
      </c>
      <c r="I2146">
        <v>2</v>
      </c>
      <c r="J2146">
        <v>0</v>
      </c>
      <c r="K2146">
        <v>42.3</v>
      </c>
      <c r="L2146" t="s">
        <v>115</v>
      </c>
      <c r="M2146" t="s">
        <v>116</v>
      </c>
    </row>
    <row r="2147" spans="2:13" x14ac:dyDescent="0.2">
      <c r="B2147">
        <v>3084</v>
      </c>
      <c r="C2147">
        <v>5</v>
      </c>
      <c r="D2147">
        <v>18.100000000000001</v>
      </c>
      <c r="E2147">
        <v>0.3</v>
      </c>
      <c r="F2147">
        <v>0.6</v>
      </c>
      <c r="G2147">
        <v>0.7</v>
      </c>
      <c r="H2147">
        <v>195</v>
      </c>
      <c r="I2147">
        <v>7</v>
      </c>
      <c r="J2147">
        <v>0</v>
      </c>
      <c r="K2147">
        <v>92</v>
      </c>
      <c r="L2147" t="s">
        <v>128</v>
      </c>
      <c r="M2147" t="s">
        <v>116</v>
      </c>
    </row>
    <row r="2148" spans="2:13" x14ac:dyDescent="0.2">
      <c r="B2148">
        <v>3085</v>
      </c>
      <c r="C2148">
        <v>1</v>
      </c>
      <c r="D2148">
        <v>0</v>
      </c>
      <c r="E2148">
        <v>0</v>
      </c>
      <c r="F2148">
        <v>0.6</v>
      </c>
      <c r="G2148">
        <v>0.6</v>
      </c>
      <c r="H2148">
        <v>0</v>
      </c>
      <c r="I2148">
        <v>0</v>
      </c>
      <c r="J2148">
        <v>0</v>
      </c>
      <c r="K2148">
        <v>50</v>
      </c>
      <c r="L2148" t="s">
        <v>113</v>
      </c>
      <c r="M2148" t="s">
        <v>114</v>
      </c>
    </row>
    <row r="2149" spans="2:13" x14ac:dyDescent="0.2">
      <c r="B2149">
        <v>3085</v>
      </c>
      <c r="C2149">
        <v>1</v>
      </c>
      <c r="D2149">
        <v>6</v>
      </c>
      <c r="E2149">
        <v>0.1</v>
      </c>
      <c r="F2149">
        <v>0.6</v>
      </c>
      <c r="G2149">
        <v>0.6</v>
      </c>
      <c r="H2149">
        <v>65</v>
      </c>
      <c r="I2149">
        <v>1</v>
      </c>
      <c r="J2149">
        <v>0</v>
      </c>
      <c r="K2149">
        <v>35.1</v>
      </c>
      <c r="L2149" t="s">
        <v>115</v>
      </c>
      <c r="M2149" t="s">
        <v>116</v>
      </c>
    </row>
    <row r="2150" spans="2:13" x14ac:dyDescent="0.2">
      <c r="B2150">
        <v>3085</v>
      </c>
      <c r="C2150">
        <v>1</v>
      </c>
      <c r="D2150">
        <v>12.1</v>
      </c>
      <c r="E2150">
        <v>0.2</v>
      </c>
      <c r="F2150">
        <v>0.6</v>
      </c>
      <c r="G2150">
        <v>0.6</v>
      </c>
      <c r="H2150">
        <v>130</v>
      </c>
      <c r="I2150">
        <v>3</v>
      </c>
      <c r="J2150">
        <v>0</v>
      </c>
      <c r="K2150">
        <v>36.299999999999997</v>
      </c>
      <c r="L2150" t="s">
        <v>115</v>
      </c>
      <c r="M2150" t="s">
        <v>116</v>
      </c>
    </row>
    <row r="2151" spans="2:13" x14ac:dyDescent="0.2">
      <c r="B2151">
        <v>3085</v>
      </c>
      <c r="C2151">
        <v>1</v>
      </c>
      <c r="D2151">
        <v>15.5</v>
      </c>
      <c r="E2151">
        <v>0.26</v>
      </c>
      <c r="F2151">
        <v>0.6</v>
      </c>
      <c r="G2151">
        <v>0.6</v>
      </c>
      <c r="H2151">
        <v>167</v>
      </c>
      <c r="I2151">
        <v>4</v>
      </c>
      <c r="J2151">
        <v>1</v>
      </c>
      <c r="K2151">
        <v>37.5</v>
      </c>
      <c r="L2151" t="s">
        <v>122</v>
      </c>
      <c r="M2151" t="s">
        <v>118</v>
      </c>
    </row>
    <row r="2152" spans="2:13" x14ac:dyDescent="0.2">
      <c r="B2152">
        <v>3085</v>
      </c>
      <c r="C2152">
        <v>1</v>
      </c>
      <c r="D2152">
        <v>17.5</v>
      </c>
      <c r="E2152">
        <v>0.28999999999999998</v>
      </c>
      <c r="F2152">
        <v>0.6</v>
      </c>
      <c r="G2152">
        <v>0.6</v>
      </c>
      <c r="H2152">
        <v>188</v>
      </c>
      <c r="I2152">
        <v>4</v>
      </c>
      <c r="J2152">
        <v>2</v>
      </c>
      <c r="K2152">
        <v>37.799999999999997</v>
      </c>
      <c r="L2152" t="s">
        <v>119</v>
      </c>
      <c r="M2152" t="s">
        <v>118</v>
      </c>
    </row>
    <row r="2153" spans="2:13" x14ac:dyDescent="0.2">
      <c r="B2153">
        <v>3085</v>
      </c>
      <c r="C2153">
        <v>1</v>
      </c>
      <c r="D2153">
        <v>18.100000000000001</v>
      </c>
      <c r="E2153">
        <v>0.3</v>
      </c>
      <c r="F2153">
        <v>0.6</v>
      </c>
      <c r="G2153">
        <v>0.45</v>
      </c>
      <c r="H2153">
        <v>195</v>
      </c>
      <c r="I2153">
        <v>4</v>
      </c>
      <c r="J2153">
        <v>2</v>
      </c>
      <c r="K2153">
        <v>38</v>
      </c>
      <c r="L2153" t="s">
        <v>126</v>
      </c>
      <c r="M2153" t="s">
        <v>116</v>
      </c>
    </row>
    <row r="2154" spans="2:13" x14ac:dyDescent="0.2">
      <c r="B2154">
        <v>3085</v>
      </c>
      <c r="C2154">
        <v>2</v>
      </c>
      <c r="D2154">
        <v>0</v>
      </c>
      <c r="E2154">
        <v>0</v>
      </c>
      <c r="F2154">
        <v>0.6</v>
      </c>
      <c r="G2154">
        <v>0.6</v>
      </c>
      <c r="H2154">
        <v>0</v>
      </c>
      <c r="I2154">
        <v>0</v>
      </c>
      <c r="J2154">
        <v>0</v>
      </c>
      <c r="K2154">
        <v>50</v>
      </c>
      <c r="L2154" t="s">
        <v>113</v>
      </c>
      <c r="M2154" t="s">
        <v>114</v>
      </c>
    </row>
    <row r="2155" spans="2:13" x14ac:dyDescent="0.2">
      <c r="B2155">
        <v>3085</v>
      </c>
      <c r="C2155">
        <v>2</v>
      </c>
      <c r="D2155">
        <v>6</v>
      </c>
      <c r="E2155">
        <v>0.1</v>
      </c>
      <c r="F2155">
        <v>0.6</v>
      </c>
      <c r="G2155">
        <v>0.6</v>
      </c>
      <c r="H2155">
        <v>65</v>
      </c>
      <c r="I2155">
        <v>0</v>
      </c>
      <c r="J2155">
        <v>0</v>
      </c>
      <c r="K2155">
        <v>35.1</v>
      </c>
      <c r="L2155" t="s">
        <v>115</v>
      </c>
      <c r="M2155" t="s">
        <v>116</v>
      </c>
    </row>
    <row r="2156" spans="2:13" x14ac:dyDescent="0.2">
      <c r="B2156">
        <v>3085</v>
      </c>
      <c r="C2156">
        <v>2</v>
      </c>
      <c r="D2156">
        <v>12.1</v>
      </c>
      <c r="E2156">
        <v>0.2</v>
      </c>
      <c r="F2156">
        <v>0.6</v>
      </c>
      <c r="G2156">
        <v>0.6</v>
      </c>
      <c r="H2156">
        <v>130</v>
      </c>
      <c r="I2156">
        <v>3</v>
      </c>
      <c r="J2156">
        <v>0</v>
      </c>
      <c r="K2156">
        <v>87.3</v>
      </c>
      <c r="L2156" t="s">
        <v>115</v>
      </c>
      <c r="M2156" t="s">
        <v>116</v>
      </c>
    </row>
    <row r="2157" spans="2:13" x14ac:dyDescent="0.2">
      <c r="B2157">
        <v>3085</v>
      </c>
      <c r="C2157">
        <v>2</v>
      </c>
      <c r="D2157">
        <v>15.9</v>
      </c>
      <c r="E2157">
        <v>0.27</v>
      </c>
      <c r="F2157">
        <v>0.6</v>
      </c>
      <c r="G2157">
        <v>0.6</v>
      </c>
      <c r="H2157">
        <v>172</v>
      </c>
      <c r="I2157">
        <v>3</v>
      </c>
      <c r="J2157">
        <v>1</v>
      </c>
      <c r="K2157">
        <v>62.3</v>
      </c>
      <c r="L2157" t="s">
        <v>122</v>
      </c>
      <c r="M2157" t="s">
        <v>118</v>
      </c>
    </row>
    <row r="2158" spans="2:13" x14ac:dyDescent="0.2">
      <c r="B2158">
        <v>3085</v>
      </c>
      <c r="C2158">
        <v>2</v>
      </c>
      <c r="D2158">
        <v>18.100000000000001</v>
      </c>
      <c r="E2158">
        <v>0.3</v>
      </c>
      <c r="F2158">
        <v>0.6</v>
      </c>
      <c r="G2158">
        <v>0.6</v>
      </c>
      <c r="H2158">
        <v>195</v>
      </c>
      <c r="I2158">
        <v>3</v>
      </c>
      <c r="J2158">
        <v>1</v>
      </c>
      <c r="K2158">
        <v>70.5</v>
      </c>
      <c r="L2158" t="s">
        <v>121</v>
      </c>
      <c r="M2158" t="s">
        <v>116</v>
      </c>
    </row>
    <row r="2159" spans="2:13" x14ac:dyDescent="0.2">
      <c r="B2159">
        <v>3085</v>
      </c>
      <c r="C2159">
        <v>3</v>
      </c>
      <c r="D2159">
        <v>0</v>
      </c>
      <c r="E2159">
        <v>0</v>
      </c>
      <c r="F2159">
        <v>0.6</v>
      </c>
      <c r="G2159">
        <v>0.6</v>
      </c>
      <c r="H2159">
        <v>0</v>
      </c>
      <c r="I2159">
        <v>0</v>
      </c>
      <c r="J2159">
        <v>0</v>
      </c>
      <c r="K2159">
        <v>50</v>
      </c>
      <c r="L2159" t="s">
        <v>113</v>
      </c>
      <c r="M2159" t="s">
        <v>114</v>
      </c>
    </row>
    <row r="2160" spans="2:13" x14ac:dyDescent="0.2">
      <c r="B2160">
        <v>3085</v>
      </c>
      <c r="C2160">
        <v>3</v>
      </c>
      <c r="D2160">
        <v>6</v>
      </c>
      <c r="E2160">
        <v>0.1</v>
      </c>
      <c r="F2160">
        <v>0.6</v>
      </c>
      <c r="G2160">
        <v>0.6</v>
      </c>
      <c r="H2160">
        <v>65</v>
      </c>
      <c r="I2160">
        <v>0</v>
      </c>
      <c r="J2160">
        <v>0</v>
      </c>
      <c r="K2160">
        <v>36.4</v>
      </c>
      <c r="L2160" t="s">
        <v>115</v>
      </c>
      <c r="M2160" t="s">
        <v>116</v>
      </c>
    </row>
    <row r="2161" spans="2:13" x14ac:dyDescent="0.2">
      <c r="B2161">
        <v>3085</v>
      </c>
      <c r="C2161">
        <v>3</v>
      </c>
      <c r="D2161">
        <v>8.9</v>
      </c>
      <c r="E2161">
        <v>0.15</v>
      </c>
      <c r="F2161">
        <v>0.6</v>
      </c>
      <c r="G2161">
        <v>0.6</v>
      </c>
      <c r="H2161">
        <v>96</v>
      </c>
      <c r="I2161">
        <v>1</v>
      </c>
      <c r="J2161">
        <v>1</v>
      </c>
      <c r="K2161">
        <v>37.4</v>
      </c>
      <c r="L2161" t="s">
        <v>122</v>
      </c>
      <c r="M2161" t="s">
        <v>118</v>
      </c>
    </row>
    <row r="2162" spans="2:13" x14ac:dyDescent="0.2">
      <c r="B2162">
        <v>3085</v>
      </c>
      <c r="C2162">
        <v>3</v>
      </c>
      <c r="D2162">
        <v>12.1</v>
      </c>
      <c r="E2162">
        <v>0.2</v>
      </c>
      <c r="F2162">
        <v>0.6</v>
      </c>
      <c r="G2162">
        <v>0.6</v>
      </c>
      <c r="H2162">
        <v>130</v>
      </c>
      <c r="I2162">
        <v>2</v>
      </c>
      <c r="J2162">
        <v>1</v>
      </c>
      <c r="K2162">
        <v>38.200000000000003</v>
      </c>
      <c r="L2162" t="s">
        <v>132</v>
      </c>
      <c r="M2162" t="s">
        <v>116</v>
      </c>
    </row>
    <row r="2163" spans="2:13" x14ac:dyDescent="0.2">
      <c r="B2163">
        <v>3085</v>
      </c>
      <c r="C2163">
        <v>3</v>
      </c>
      <c r="D2163">
        <v>15.2</v>
      </c>
      <c r="E2163">
        <v>0.25</v>
      </c>
      <c r="F2163">
        <v>0.6</v>
      </c>
      <c r="G2163">
        <v>0.6</v>
      </c>
      <c r="H2163">
        <v>164</v>
      </c>
      <c r="I2163">
        <v>4</v>
      </c>
      <c r="J2163">
        <v>2</v>
      </c>
      <c r="K2163">
        <v>54.2</v>
      </c>
      <c r="L2163" t="s">
        <v>119</v>
      </c>
      <c r="M2163" t="s">
        <v>118</v>
      </c>
    </row>
    <row r="2164" spans="2:13" x14ac:dyDescent="0.2">
      <c r="B2164">
        <v>3085</v>
      </c>
      <c r="C2164">
        <v>3</v>
      </c>
      <c r="D2164">
        <v>18.100000000000001</v>
      </c>
      <c r="E2164">
        <v>0.3</v>
      </c>
      <c r="F2164">
        <v>0.6</v>
      </c>
      <c r="G2164">
        <v>0.6</v>
      </c>
      <c r="H2164">
        <v>195</v>
      </c>
      <c r="I2164">
        <v>5</v>
      </c>
      <c r="J2164">
        <v>2</v>
      </c>
      <c r="K2164">
        <v>53.4</v>
      </c>
      <c r="L2164" t="s">
        <v>121</v>
      </c>
      <c r="M2164" t="s">
        <v>116</v>
      </c>
    </row>
    <row r="2165" spans="2:13" x14ac:dyDescent="0.2">
      <c r="B2165">
        <v>3085</v>
      </c>
      <c r="C2165">
        <v>4</v>
      </c>
      <c r="D2165">
        <v>0</v>
      </c>
      <c r="E2165">
        <v>0</v>
      </c>
      <c r="F2165">
        <v>0.6</v>
      </c>
      <c r="G2165">
        <v>0.6</v>
      </c>
      <c r="H2165">
        <v>0</v>
      </c>
      <c r="I2165">
        <v>0</v>
      </c>
      <c r="J2165">
        <v>0</v>
      </c>
      <c r="K2165">
        <v>50</v>
      </c>
      <c r="L2165" t="s">
        <v>113</v>
      </c>
      <c r="M2165" t="s">
        <v>114</v>
      </c>
    </row>
    <row r="2166" spans="2:13" x14ac:dyDescent="0.2">
      <c r="B2166">
        <v>3085</v>
      </c>
      <c r="C2166">
        <v>4</v>
      </c>
      <c r="D2166">
        <v>6</v>
      </c>
      <c r="E2166">
        <v>0.1</v>
      </c>
      <c r="F2166">
        <v>0.6</v>
      </c>
      <c r="G2166">
        <v>0.6</v>
      </c>
      <c r="H2166">
        <v>65</v>
      </c>
      <c r="I2166">
        <v>0</v>
      </c>
      <c r="J2166">
        <v>0</v>
      </c>
      <c r="K2166">
        <v>37.6</v>
      </c>
      <c r="L2166" t="s">
        <v>115</v>
      </c>
      <c r="M2166" t="s">
        <v>116</v>
      </c>
    </row>
    <row r="2167" spans="2:13" x14ac:dyDescent="0.2">
      <c r="B2167">
        <v>3085</v>
      </c>
      <c r="C2167">
        <v>4</v>
      </c>
      <c r="D2167">
        <v>12.1</v>
      </c>
      <c r="E2167">
        <v>0.2</v>
      </c>
      <c r="F2167">
        <v>0.6</v>
      </c>
      <c r="G2167">
        <v>0.6</v>
      </c>
      <c r="H2167">
        <v>130</v>
      </c>
      <c r="I2167">
        <v>1</v>
      </c>
      <c r="J2167">
        <v>0</v>
      </c>
      <c r="K2167">
        <v>37.1</v>
      </c>
      <c r="L2167" t="s">
        <v>115</v>
      </c>
      <c r="M2167" t="s">
        <v>116</v>
      </c>
    </row>
    <row r="2168" spans="2:13" x14ac:dyDescent="0.2">
      <c r="B2168">
        <v>3085</v>
      </c>
      <c r="C2168">
        <v>4</v>
      </c>
      <c r="D2168">
        <v>18.100000000000001</v>
      </c>
      <c r="E2168">
        <v>0.3</v>
      </c>
      <c r="F2168">
        <v>0.6</v>
      </c>
      <c r="G2168">
        <v>0.6</v>
      </c>
      <c r="H2168">
        <v>195</v>
      </c>
      <c r="I2168">
        <v>7</v>
      </c>
      <c r="J2168">
        <v>0</v>
      </c>
      <c r="K2168">
        <v>86.6</v>
      </c>
      <c r="L2168" t="s">
        <v>115</v>
      </c>
      <c r="M2168" t="s">
        <v>116</v>
      </c>
    </row>
    <row r="2169" spans="2:13" x14ac:dyDescent="0.2">
      <c r="B2169">
        <v>3085</v>
      </c>
      <c r="C2169">
        <v>4</v>
      </c>
      <c r="D2169">
        <v>18.5</v>
      </c>
      <c r="E2169">
        <v>0.31</v>
      </c>
      <c r="F2169">
        <v>0.6</v>
      </c>
      <c r="G2169">
        <v>0.6</v>
      </c>
      <c r="H2169">
        <v>200</v>
      </c>
      <c r="I2169">
        <v>7</v>
      </c>
      <c r="J2169">
        <v>1</v>
      </c>
      <c r="K2169">
        <v>61.8</v>
      </c>
      <c r="L2169" t="s">
        <v>117</v>
      </c>
      <c r="M2169" t="s">
        <v>118</v>
      </c>
    </row>
    <row r="2170" spans="2:13" x14ac:dyDescent="0.2">
      <c r="B2170">
        <v>3085</v>
      </c>
      <c r="C2170">
        <v>5</v>
      </c>
      <c r="D2170">
        <v>0</v>
      </c>
      <c r="E2170">
        <v>0</v>
      </c>
      <c r="F2170">
        <v>0.6</v>
      </c>
      <c r="G2170">
        <v>0.6</v>
      </c>
      <c r="H2170">
        <v>0</v>
      </c>
      <c r="I2170">
        <v>0</v>
      </c>
      <c r="J2170">
        <v>0</v>
      </c>
      <c r="K2170">
        <v>50</v>
      </c>
      <c r="L2170" t="s">
        <v>113</v>
      </c>
      <c r="M2170" t="s">
        <v>114</v>
      </c>
    </row>
    <row r="2171" spans="2:13" x14ac:dyDescent="0.2">
      <c r="B2171">
        <v>3085</v>
      </c>
      <c r="C2171">
        <v>5</v>
      </c>
      <c r="D2171">
        <v>6</v>
      </c>
      <c r="E2171">
        <v>0.1</v>
      </c>
      <c r="F2171">
        <v>0.6</v>
      </c>
      <c r="G2171">
        <v>0.7</v>
      </c>
      <c r="H2171">
        <v>65</v>
      </c>
      <c r="I2171">
        <v>0</v>
      </c>
      <c r="J2171">
        <v>0</v>
      </c>
      <c r="K2171">
        <v>87.2</v>
      </c>
      <c r="L2171" t="s">
        <v>128</v>
      </c>
      <c r="M2171" t="s">
        <v>116</v>
      </c>
    </row>
    <row r="2172" spans="2:13" x14ac:dyDescent="0.2">
      <c r="B2172">
        <v>3085</v>
      </c>
      <c r="C2172">
        <v>5</v>
      </c>
      <c r="D2172">
        <v>6.5</v>
      </c>
      <c r="E2172">
        <v>0.11</v>
      </c>
      <c r="F2172">
        <v>0.7</v>
      </c>
      <c r="G2172">
        <v>0.7</v>
      </c>
      <c r="H2172">
        <v>71</v>
      </c>
      <c r="I2172">
        <v>0</v>
      </c>
      <c r="J2172">
        <v>1</v>
      </c>
      <c r="K2172">
        <v>70.599999999999994</v>
      </c>
      <c r="L2172" t="s">
        <v>117</v>
      </c>
      <c r="M2172" t="s">
        <v>118</v>
      </c>
    </row>
    <row r="2173" spans="2:13" x14ac:dyDescent="0.2">
      <c r="B2173">
        <v>3085</v>
      </c>
      <c r="C2173">
        <v>5</v>
      </c>
      <c r="D2173">
        <v>10.7</v>
      </c>
      <c r="E2173">
        <v>0.18</v>
      </c>
      <c r="F2173">
        <v>0.7</v>
      </c>
      <c r="G2173">
        <v>0.7</v>
      </c>
      <c r="H2173">
        <v>123</v>
      </c>
      <c r="I2173">
        <v>4</v>
      </c>
      <c r="J2173">
        <v>2</v>
      </c>
      <c r="K2173">
        <v>68.5</v>
      </c>
      <c r="L2173" t="s">
        <v>119</v>
      </c>
      <c r="M2173" t="s">
        <v>118</v>
      </c>
    </row>
    <row r="2174" spans="2:13" x14ac:dyDescent="0.2">
      <c r="B2174">
        <v>3085</v>
      </c>
      <c r="C2174">
        <v>5</v>
      </c>
      <c r="D2174">
        <v>12.1</v>
      </c>
      <c r="E2174">
        <v>0.2</v>
      </c>
      <c r="F2174">
        <v>0.7</v>
      </c>
      <c r="G2174">
        <v>0.55000000000000004</v>
      </c>
      <c r="H2174">
        <v>141</v>
      </c>
      <c r="I2174">
        <v>5</v>
      </c>
      <c r="J2174">
        <v>2</v>
      </c>
      <c r="K2174">
        <v>68.599999999999994</v>
      </c>
      <c r="L2174" t="s">
        <v>120</v>
      </c>
      <c r="M2174" t="s">
        <v>116</v>
      </c>
    </row>
    <row r="2175" spans="2:13" x14ac:dyDescent="0.2">
      <c r="B2175">
        <v>3085</v>
      </c>
      <c r="C2175">
        <v>5</v>
      </c>
      <c r="D2175">
        <v>18.100000000000001</v>
      </c>
      <c r="E2175">
        <v>0.3</v>
      </c>
      <c r="F2175">
        <v>0.55000000000000004</v>
      </c>
      <c r="G2175">
        <v>0.55000000000000004</v>
      </c>
      <c r="H2175">
        <v>200</v>
      </c>
      <c r="I2175">
        <v>9</v>
      </c>
      <c r="J2175">
        <v>2</v>
      </c>
      <c r="K2175">
        <v>68.900000000000006</v>
      </c>
      <c r="L2175" t="s">
        <v>115</v>
      </c>
      <c r="M2175" t="s">
        <v>116</v>
      </c>
    </row>
    <row r="2176" spans="2:13" x14ac:dyDescent="0.2">
      <c r="B2176">
        <v>3086</v>
      </c>
      <c r="C2176">
        <v>1</v>
      </c>
      <c r="D2176">
        <v>0</v>
      </c>
      <c r="E2176">
        <v>0</v>
      </c>
      <c r="F2176">
        <v>0.6</v>
      </c>
      <c r="G2176">
        <v>0.6</v>
      </c>
      <c r="H2176">
        <v>0</v>
      </c>
      <c r="I2176">
        <v>0</v>
      </c>
      <c r="J2176">
        <v>0</v>
      </c>
      <c r="K2176">
        <v>50</v>
      </c>
      <c r="L2176" t="s">
        <v>113</v>
      </c>
      <c r="M2176" t="s">
        <v>114</v>
      </c>
    </row>
    <row r="2177" spans="2:13" x14ac:dyDescent="0.2">
      <c r="B2177">
        <v>3086</v>
      </c>
      <c r="C2177">
        <v>1</v>
      </c>
      <c r="D2177">
        <v>6</v>
      </c>
      <c r="E2177">
        <v>0.1</v>
      </c>
      <c r="F2177">
        <v>0.6</v>
      </c>
      <c r="G2177">
        <v>0.6</v>
      </c>
      <c r="H2177">
        <v>65</v>
      </c>
      <c r="I2177">
        <v>1</v>
      </c>
      <c r="J2177">
        <v>0</v>
      </c>
      <c r="K2177">
        <v>40.5</v>
      </c>
      <c r="L2177" t="s">
        <v>115</v>
      </c>
      <c r="M2177" t="s">
        <v>116</v>
      </c>
    </row>
    <row r="2178" spans="2:13" x14ac:dyDescent="0.2">
      <c r="B2178">
        <v>3086</v>
      </c>
      <c r="C2178">
        <v>1</v>
      </c>
      <c r="D2178">
        <v>12.1</v>
      </c>
      <c r="E2178">
        <v>0.2</v>
      </c>
      <c r="F2178">
        <v>0.6</v>
      </c>
      <c r="G2178">
        <v>0.7</v>
      </c>
      <c r="H2178">
        <v>130</v>
      </c>
      <c r="I2178">
        <v>2</v>
      </c>
      <c r="J2178">
        <v>0</v>
      </c>
      <c r="K2178">
        <v>89.6</v>
      </c>
      <c r="L2178" t="s">
        <v>128</v>
      </c>
      <c r="M2178" t="s">
        <v>116</v>
      </c>
    </row>
    <row r="2179" spans="2:13" x14ac:dyDescent="0.2">
      <c r="B2179">
        <v>3086</v>
      </c>
      <c r="C2179">
        <v>1</v>
      </c>
      <c r="D2179">
        <v>15.9</v>
      </c>
      <c r="E2179">
        <v>0.27</v>
      </c>
      <c r="F2179">
        <v>0.7</v>
      </c>
      <c r="G2179">
        <v>0.7</v>
      </c>
      <c r="H2179">
        <v>179</v>
      </c>
      <c r="I2179">
        <v>8</v>
      </c>
      <c r="J2179">
        <v>1</v>
      </c>
      <c r="K2179">
        <v>82.5</v>
      </c>
      <c r="L2179" t="s">
        <v>129</v>
      </c>
      <c r="M2179" t="s">
        <v>118</v>
      </c>
    </row>
    <row r="2180" spans="2:13" x14ac:dyDescent="0.2">
      <c r="B2180">
        <v>3086</v>
      </c>
      <c r="C2180">
        <v>1</v>
      </c>
      <c r="D2180">
        <v>17.600000000000001</v>
      </c>
      <c r="E2180">
        <v>0.28999999999999998</v>
      </c>
      <c r="F2180">
        <v>0.7</v>
      </c>
      <c r="G2180">
        <v>0.7</v>
      </c>
      <c r="H2180">
        <v>200</v>
      </c>
      <c r="I2180">
        <v>9</v>
      </c>
      <c r="J2180">
        <v>2</v>
      </c>
      <c r="K2180">
        <v>76.400000000000006</v>
      </c>
      <c r="L2180" t="s">
        <v>119</v>
      </c>
      <c r="M2180" t="s">
        <v>118</v>
      </c>
    </row>
    <row r="2181" spans="2:13" x14ac:dyDescent="0.2">
      <c r="B2181">
        <v>3086</v>
      </c>
      <c r="C2181">
        <v>6</v>
      </c>
      <c r="D2181">
        <v>0</v>
      </c>
      <c r="E2181">
        <v>0</v>
      </c>
      <c r="F2181">
        <v>0.6</v>
      </c>
      <c r="G2181">
        <v>0.6</v>
      </c>
      <c r="H2181">
        <v>0</v>
      </c>
      <c r="I2181">
        <v>0</v>
      </c>
      <c r="J2181">
        <v>0</v>
      </c>
      <c r="K2181">
        <v>50</v>
      </c>
      <c r="L2181" t="s">
        <v>113</v>
      </c>
      <c r="M2181" t="s">
        <v>114</v>
      </c>
    </row>
    <row r="2182" spans="2:13" x14ac:dyDescent="0.2">
      <c r="B2182">
        <v>3086</v>
      </c>
      <c r="C2182">
        <v>6</v>
      </c>
      <c r="D2182">
        <v>6</v>
      </c>
      <c r="E2182">
        <v>0.1</v>
      </c>
      <c r="F2182">
        <v>0.6</v>
      </c>
      <c r="G2182">
        <v>0.6</v>
      </c>
      <c r="H2182">
        <v>65</v>
      </c>
      <c r="I2182">
        <v>0</v>
      </c>
      <c r="J2182">
        <v>0</v>
      </c>
      <c r="K2182">
        <v>37.6</v>
      </c>
      <c r="L2182" t="s">
        <v>115</v>
      </c>
      <c r="M2182" t="s">
        <v>116</v>
      </c>
    </row>
    <row r="2183" spans="2:13" x14ac:dyDescent="0.2">
      <c r="B2183">
        <v>3086</v>
      </c>
      <c r="C2183">
        <v>6</v>
      </c>
      <c r="D2183">
        <v>8.6999999999999993</v>
      </c>
      <c r="E2183">
        <v>0.14000000000000001</v>
      </c>
      <c r="F2183">
        <v>0.6</v>
      </c>
      <c r="G2183">
        <v>0.6</v>
      </c>
      <c r="H2183">
        <v>94</v>
      </c>
      <c r="I2183">
        <v>1</v>
      </c>
      <c r="J2183">
        <v>1</v>
      </c>
      <c r="K2183">
        <v>37.9</v>
      </c>
      <c r="L2183" t="s">
        <v>117</v>
      </c>
      <c r="M2183" t="s">
        <v>118</v>
      </c>
    </row>
    <row r="2184" spans="2:13" x14ac:dyDescent="0.2">
      <c r="B2184">
        <v>3086</v>
      </c>
      <c r="C2184">
        <v>6</v>
      </c>
      <c r="D2184">
        <v>12.1</v>
      </c>
      <c r="E2184">
        <v>0.2</v>
      </c>
      <c r="F2184">
        <v>0.6</v>
      </c>
      <c r="G2184">
        <v>0.6</v>
      </c>
      <c r="H2184">
        <v>130</v>
      </c>
      <c r="I2184">
        <v>4</v>
      </c>
      <c r="J2184">
        <v>1</v>
      </c>
      <c r="K2184">
        <v>39</v>
      </c>
      <c r="L2184" t="s">
        <v>132</v>
      </c>
      <c r="M2184" t="s">
        <v>116</v>
      </c>
    </row>
    <row r="2185" spans="2:13" x14ac:dyDescent="0.2">
      <c r="B2185">
        <v>3086</v>
      </c>
      <c r="C2185">
        <v>6</v>
      </c>
      <c r="D2185">
        <v>18.100000000000001</v>
      </c>
      <c r="E2185">
        <v>0.3</v>
      </c>
      <c r="F2185">
        <v>0.6</v>
      </c>
      <c r="G2185">
        <v>0.7</v>
      </c>
      <c r="H2185">
        <v>195</v>
      </c>
      <c r="I2185">
        <v>8</v>
      </c>
      <c r="J2185">
        <v>1</v>
      </c>
      <c r="K2185">
        <v>72.5</v>
      </c>
      <c r="L2185" t="s">
        <v>128</v>
      </c>
      <c r="M2185" t="s">
        <v>116</v>
      </c>
    </row>
    <row r="2186" spans="2:13" x14ac:dyDescent="0.2">
      <c r="B2186">
        <v>3086</v>
      </c>
      <c r="C2186">
        <v>7</v>
      </c>
      <c r="D2186">
        <v>0</v>
      </c>
      <c r="E2186">
        <v>0</v>
      </c>
      <c r="F2186">
        <v>0.6</v>
      </c>
      <c r="G2186">
        <v>0.6</v>
      </c>
      <c r="H2186">
        <v>0</v>
      </c>
      <c r="I2186">
        <v>0</v>
      </c>
      <c r="J2186">
        <v>0</v>
      </c>
      <c r="K2186">
        <v>50</v>
      </c>
      <c r="L2186" t="s">
        <v>113</v>
      </c>
      <c r="M2186" t="s">
        <v>114</v>
      </c>
    </row>
    <row r="2187" spans="2:13" x14ac:dyDescent="0.2">
      <c r="B2187">
        <v>3086</v>
      </c>
      <c r="C2187">
        <v>7</v>
      </c>
      <c r="D2187">
        <v>6</v>
      </c>
      <c r="E2187">
        <v>0.1</v>
      </c>
      <c r="F2187">
        <v>0.6</v>
      </c>
      <c r="G2187">
        <v>0.6</v>
      </c>
      <c r="H2187">
        <v>65</v>
      </c>
      <c r="I2187">
        <v>0</v>
      </c>
      <c r="J2187">
        <v>0</v>
      </c>
      <c r="K2187">
        <v>90.5</v>
      </c>
      <c r="L2187" t="s">
        <v>115</v>
      </c>
      <c r="M2187" t="s">
        <v>116</v>
      </c>
    </row>
    <row r="2188" spans="2:13" x14ac:dyDescent="0.2">
      <c r="B2188">
        <v>3086</v>
      </c>
      <c r="C2188">
        <v>7</v>
      </c>
      <c r="D2188">
        <v>9.9</v>
      </c>
      <c r="E2188">
        <v>0.16</v>
      </c>
      <c r="F2188">
        <v>0.6</v>
      </c>
      <c r="G2188">
        <v>0.6</v>
      </c>
      <c r="H2188">
        <v>106</v>
      </c>
      <c r="I2188">
        <v>0</v>
      </c>
      <c r="J2188">
        <v>1</v>
      </c>
      <c r="K2188">
        <v>72.900000000000006</v>
      </c>
      <c r="L2188" t="s">
        <v>129</v>
      </c>
      <c r="M2188" t="s">
        <v>118</v>
      </c>
    </row>
    <row r="2189" spans="2:13" x14ac:dyDescent="0.2">
      <c r="B2189">
        <v>3086</v>
      </c>
      <c r="C2189">
        <v>7</v>
      </c>
      <c r="D2189">
        <v>10.9</v>
      </c>
      <c r="E2189">
        <v>0.18</v>
      </c>
      <c r="F2189">
        <v>0.6</v>
      </c>
      <c r="G2189">
        <v>0.6</v>
      </c>
      <c r="H2189">
        <v>117</v>
      </c>
      <c r="I2189">
        <v>2</v>
      </c>
      <c r="J2189">
        <v>2</v>
      </c>
      <c r="K2189">
        <v>65.099999999999994</v>
      </c>
      <c r="L2189" t="s">
        <v>119</v>
      </c>
      <c r="M2189" t="s">
        <v>118</v>
      </c>
    </row>
    <row r="2190" spans="2:13" x14ac:dyDescent="0.2">
      <c r="B2190">
        <v>3086</v>
      </c>
      <c r="C2190">
        <v>7</v>
      </c>
      <c r="D2190">
        <v>12.1</v>
      </c>
      <c r="E2190">
        <v>0.2</v>
      </c>
      <c r="F2190">
        <v>0.6</v>
      </c>
      <c r="G2190">
        <v>0.45</v>
      </c>
      <c r="H2190">
        <v>130</v>
      </c>
      <c r="I2190">
        <v>3</v>
      </c>
      <c r="J2190">
        <v>2</v>
      </c>
      <c r="K2190">
        <v>65.7</v>
      </c>
      <c r="L2190" t="s">
        <v>120</v>
      </c>
      <c r="M2190" t="s">
        <v>116</v>
      </c>
    </row>
    <row r="2191" spans="2:13" x14ac:dyDescent="0.2">
      <c r="B2191">
        <v>3086</v>
      </c>
      <c r="C2191">
        <v>7</v>
      </c>
      <c r="D2191">
        <v>18.100000000000001</v>
      </c>
      <c r="E2191">
        <v>0.3</v>
      </c>
      <c r="F2191">
        <v>0.45</v>
      </c>
      <c r="G2191">
        <v>0.45</v>
      </c>
      <c r="H2191">
        <v>179</v>
      </c>
      <c r="I2191">
        <v>6</v>
      </c>
      <c r="J2191">
        <v>2</v>
      </c>
      <c r="K2191">
        <v>69.900000000000006</v>
      </c>
      <c r="L2191" t="s">
        <v>115</v>
      </c>
      <c r="M2191" t="s">
        <v>116</v>
      </c>
    </row>
    <row r="2192" spans="2:13" x14ac:dyDescent="0.2">
      <c r="B2192">
        <v>3087</v>
      </c>
      <c r="C2192">
        <v>1</v>
      </c>
      <c r="D2192">
        <v>0</v>
      </c>
      <c r="E2192">
        <v>0</v>
      </c>
      <c r="F2192">
        <v>0.6</v>
      </c>
      <c r="G2192">
        <v>0.6</v>
      </c>
      <c r="H2192">
        <v>0</v>
      </c>
      <c r="I2192">
        <v>0</v>
      </c>
      <c r="J2192">
        <v>0</v>
      </c>
      <c r="K2192">
        <v>50</v>
      </c>
      <c r="L2192" t="s">
        <v>113</v>
      </c>
      <c r="M2192" t="s">
        <v>114</v>
      </c>
    </row>
    <row r="2193" spans="2:13" x14ac:dyDescent="0.2">
      <c r="B2193">
        <v>3087</v>
      </c>
      <c r="C2193">
        <v>1</v>
      </c>
      <c r="D2193">
        <v>6</v>
      </c>
      <c r="E2193">
        <v>0.1</v>
      </c>
      <c r="F2193">
        <v>0.6</v>
      </c>
      <c r="G2193">
        <v>0.6</v>
      </c>
      <c r="H2193">
        <v>65</v>
      </c>
      <c r="I2193">
        <v>0</v>
      </c>
      <c r="J2193">
        <v>0</v>
      </c>
      <c r="K2193">
        <v>38</v>
      </c>
      <c r="L2193" t="s">
        <v>115</v>
      </c>
      <c r="M2193" t="s">
        <v>116</v>
      </c>
    </row>
    <row r="2194" spans="2:13" x14ac:dyDescent="0.2">
      <c r="B2194">
        <v>3087</v>
      </c>
      <c r="C2194">
        <v>1</v>
      </c>
      <c r="D2194">
        <v>8.1</v>
      </c>
      <c r="E2194">
        <v>0.14000000000000001</v>
      </c>
      <c r="F2194">
        <v>0.6</v>
      </c>
      <c r="G2194">
        <v>0.6</v>
      </c>
      <c r="H2194">
        <v>88</v>
      </c>
      <c r="I2194">
        <v>0</v>
      </c>
      <c r="J2194">
        <v>1</v>
      </c>
      <c r="K2194">
        <v>35.9</v>
      </c>
      <c r="L2194" t="s">
        <v>117</v>
      </c>
      <c r="M2194" t="s">
        <v>118</v>
      </c>
    </row>
    <row r="2195" spans="2:13" x14ac:dyDescent="0.2">
      <c r="B2195">
        <v>3087</v>
      </c>
      <c r="C2195">
        <v>1</v>
      </c>
      <c r="D2195">
        <v>10.1</v>
      </c>
      <c r="E2195">
        <v>0.17</v>
      </c>
      <c r="F2195">
        <v>0.6</v>
      </c>
      <c r="G2195">
        <v>0.6</v>
      </c>
      <c r="H2195">
        <v>109</v>
      </c>
      <c r="I2195">
        <v>0</v>
      </c>
      <c r="J2195">
        <v>2</v>
      </c>
      <c r="K2195">
        <v>35.6</v>
      </c>
      <c r="L2195" t="s">
        <v>123</v>
      </c>
      <c r="M2195" t="s">
        <v>118</v>
      </c>
    </row>
    <row r="2196" spans="2:13" x14ac:dyDescent="0.2">
      <c r="B2196">
        <v>3087</v>
      </c>
      <c r="C2196">
        <v>1</v>
      </c>
      <c r="D2196">
        <v>12.1</v>
      </c>
      <c r="E2196">
        <v>0.2</v>
      </c>
      <c r="F2196">
        <v>0.6</v>
      </c>
      <c r="G2196">
        <v>0.45</v>
      </c>
      <c r="H2196">
        <v>130</v>
      </c>
      <c r="I2196">
        <v>1</v>
      </c>
      <c r="J2196">
        <v>2</v>
      </c>
      <c r="K2196">
        <v>36.9</v>
      </c>
      <c r="L2196" t="s">
        <v>126</v>
      </c>
      <c r="M2196" t="s">
        <v>116</v>
      </c>
    </row>
    <row r="2197" spans="2:13" x14ac:dyDescent="0.2">
      <c r="B2197">
        <v>3087</v>
      </c>
      <c r="C2197">
        <v>1</v>
      </c>
      <c r="D2197">
        <v>18.100000000000001</v>
      </c>
      <c r="E2197">
        <v>0.3</v>
      </c>
      <c r="F2197">
        <v>0.45</v>
      </c>
      <c r="G2197">
        <v>0.45</v>
      </c>
      <c r="H2197">
        <v>179</v>
      </c>
      <c r="I2197">
        <v>3</v>
      </c>
      <c r="J2197">
        <v>2</v>
      </c>
      <c r="K2197">
        <v>37.299999999999997</v>
      </c>
      <c r="L2197" t="s">
        <v>115</v>
      </c>
      <c r="M2197" t="s">
        <v>116</v>
      </c>
    </row>
    <row r="2198" spans="2:13" x14ac:dyDescent="0.2">
      <c r="B2198">
        <v>3088</v>
      </c>
      <c r="C2198">
        <v>1</v>
      </c>
      <c r="D2198">
        <v>0</v>
      </c>
      <c r="E2198">
        <v>0</v>
      </c>
      <c r="F2198">
        <v>0.6</v>
      </c>
      <c r="G2198">
        <v>0.6</v>
      </c>
      <c r="H2198">
        <v>0</v>
      </c>
      <c r="I2198">
        <v>0</v>
      </c>
      <c r="J2198">
        <v>0</v>
      </c>
      <c r="K2198">
        <v>50</v>
      </c>
      <c r="L2198" t="s">
        <v>113</v>
      </c>
      <c r="M2198" t="s">
        <v>114</v>
      </c>
    </row>
    <row r="2199" spans="2:13" x14ac:dyDescent="0.2">
      <c r="B2199">
        <v>3088</v>
      </c>
      <c r="C2199">
        <v>1</v>
      </c>
      <c r="D2199">
        <v>6</v>
      </c>
      <c r="E2199">
        <v>0.1</v>
      </c>
      <c r="F2199">
        <v>0.6</v>
      </c>
      <c r="G2199">
        <v>0.6</v>
      </c>
      <c r="H2199">
        <v>65</v>
      </c>
      <c r="I2199">
        <v>0</v>
      </c>
      <c r="J2199">
        <v>0</v>
      </c>
      <c r="K2199">
        <v>40.1</v>
      </c>
      <c r="L2199" t="s">
        <v>115</v>
      </c>
      <c r="M2199" t="s">
        <v>116</v>
      </c>
    </row>
    <row r="2200" spans="2:13" x14ac:dyDescent="0.2">
      <c r="B2200">
        <v>3088</v>
      </c>
      <c r="C2200">
        <v>1</v>
      </c>
      <c r="D2200">
        <v>6.8</v>
      </c>
      <c r="E2200">
        <v>0.11</v>
      </c>
      <c r="F2200">
        <v>0.6</v>
      </c>
      <c r="G2200">
        <v>0.6</v>
      </c>
      <c r="H2200">
        <v>73</v>
      </c>
      <c r="I2200">
        <v>1</v>
      </c>
      <c r="J2200">
        <v>1</v>
      </c>
      <c r="K2200">
        <v>39.299999999999997</v>
      </c>
      <c r="L2200" t="s">
        <v>117</v>
      </c>
      <c r="M2200" t="s">
        <v>118</v>
      </c>
    </row>
    <row r="2201" spans="2:13" x14ac:dyDescent="0.2">
      <c r="B2201">
        <v>3088</v>
      </c>
      <c r="C2201">
        <v>1</v>
      </c>
      <c r="D2201">
        <v>7.4</v>
      </c>
      <c r="E2201">
        <v>0.12</v>
      </c>
      <c r="F2201">
        <v>0.6</v>
      </c>
      <c r="G2201">
        <v>0.6</v>
      </c>
      <c r="H2201">
        <v>80</v>
      </c>
      <c r="I2201">
        <v>1</v>
      </c>
      <c r="J2201">
        <v>2</v>
      </c>
      <c r="K2201">
        <v>39.9</v>
      </c>
      <c r="L2201" t="s">
        <v>119</v>
      </c>
      <c r="M2201" t="s">
        <v>118</v>
      </c>
    </row>
    <row r="2202" spans="2:13" x14ac:dyDescent="0.2">
      <c r="B2202">
        <v>3088</v>
      </c>
      <c r="C2202">
        <v>1</v>
      </c>
      <c r="D2202">
        <v>12.1</v>
      </c>
      <c r="E2202">
        <v>0.2</v>
      </c>
      <c r="F2202">
        <v>0.6</v>
      </c>
      <c r="G2202">
        <v>0.6</v>
      </c>
      <c r="H2202">
        <v>130</v>
      </c>
      <c r="I2202">
        <v>1</v>
      </c>
      <c r="J2202">
        <v>2</v>
      </c>
      <c r="K2202">
        <v>61.7</v>
      </c>
      <c r="L2202" t="s">
        <v>121</v>
      </c>
      <c r="M2202" t="s">
        <v>116</v>
      </c>
    </row>
    <row r="2203" spans="2:13" x14ac:dyDescent="0.2">
      <c r="B2203">
        <v>3088</v>
      </c>
      <c r="C2203">
        <v>1</v>
      </c>
      <c r="D2203">
        <v>13.1</v>
      </c>
      <c r="E2203">
        <v>0.22</v>
      </c>
      <c r="F2203">
        <v>0.6</v>
      </c>
      <c r="G2203">
        <v>0.6</v>
      </c>
      <c r="H2203">
        <v>141</v>
      </c>
      <c r="I2203">
        <v>2</v>
      </c>
      <c r="J2203">
        <v>3</v>
      </c>
      <c r="K2203">
        <v>56.6</v>
      </c>
      <c r="L2203" t="s">
        <v>135</v>
      </c>
      <c r="M2203" t="s">
        <v>118</v>
      </c>
    </row>
    <row r="2204" spans="2:13" x14ac:dyDescent="0.2">
      <c r="B2204">
        <v>3088</v>
      </c>
      <c r="C2204">
        <v>1</v>
      </c>
      <c r="D2204">
        <v>18.100000000000001</v>
      </c>
      <c r="E2204">
        <v>0.3</v>
      </c>
      <c r="F2204">
        <v>0.6</v>
      </c>
      <c r="G2204">
        <v>0.6</v>
      </c>
      <c r="H2204">
        <v>195</v>
      </c>
      <c r="I2204">
        <v>4</v>
      </c>
      <c r="J2204">
        <v>3</v>
      </c>
      <c r="K2204">
        <v>55.7</v>
      </c>
      <c r="L2204" t="s">
        <v>132</v>
      </c>
      <c r="M2204" t="s">
        <v>116</v>
      </c>
    </row>
    <row r="2205" spans="2:13" x14ac:dyDescent="0.2">
      <c r="B2205">
        <v>3088</v>
      </c>
      <c r="C2205">
        <v>2</v>
      </c>
      <c r="D2205">
        <v>0</v>
      </c>
      <c r="E2205">
        <v>0</v>
      </c>
      <c r="F2205">
        <v>0.6</v>
      </c>
      <c r="G2205">
        <v>0.6</v>
      </c>
      <c r="H2205">
        <v>0</v>
      </c>
      <c r="I2205">
        <v>0</v>
      </c>
      <c r="J2205">
        <v>0</v>
      </c>
      <c r="K2205">
        <v>50</v>
      </c>
      <c r="L2205" t="s">
        <v>113</v>
      </c>
      <c r="M2205" t="s">
        <v>114</v>
      </c>
    </row>
    <row r="2206" spans="2:13" x14ac:dyDescent="0.2">
      <c r="B2206">
        <v>3088</v>
      </c>
      <c r="C2206">
        <v>2</v>
      </c>
      <c r="D2206">
        <v>6</v>
      </c>
      <c r="E2206">
        <v>0.1</v>
      </c>
      <c r="F2206">
        <v>0.6</v>
      </c>
      <c r="G2206">
        <v>0.6</v>
      </c>
      <c r="H2206">
        <v>65</v>
      </c>
      <c r="I2206">
        <v>0</v>
      </c>
      <c r="J2206">
        <v>0</v>
      </c>
      <c r="K2206">
        <v>85.1</v>
      </c>
      <c r="L2206" t="s">
        <v>115</v>
      </c>
      <c r="M2206" t="s">
        <v>116</v>
      </c>
    </row>
    <row r="2207" spans="2:13" x14ac:dyDescent="0.2">
      <c r="B2207">
        <v>3088</v>
      </c>
      <c r="C2207">
        <v>2</v>
      </c>
      <c r="D2207">
        <v>8.5</v>
      </c>
      <c r="E2207">
        <v>0.14000000000000001</v>
      </c>
      <c r="F2207">
        <v>0.6</v>
      </c>
      <c r="G2207">
        <v>0.6</v>
      </c>
      <c r="H2207">
        <v>92</v>
      </c>
      <c r="I2207">
        <v>1</v>
      </c>
      <c r="J2207">
        <v>1</v>
      </c>
      <c r="K2207">
        <v>63.3</v>
      </c>
      <c r="L2207" t="s">
        <v>117</v>
      </c>
      <c r="M2207" t="s">
        <v>118</v>
      </c>
    </row>
    <row r="2208" spans="2:13" x14ac:dyDescent="0.2">
      <c r="B2208">
        <v>3088</v>
      </c>
      <c r="C2208">
        <v>2</v>
      </c>
      <c r="D2208">
        <v>12.1</v>
      </c>
      <c r="E2208">
        <v>0.2</v>
      </c>
      <c r="F2208">
        <v>0.6</v>
      </c>
      <c r="G2208">
        <v>0.6</v>
      </c>
      <c r="H2208">
        <v>130</v>
      </c>
      <c r="I2208">
        <v>3</v>
      </c>
      <c r="J2208">
        <v>1</v>
      </c>
      <c r="K2208">
        <v>64.8</v>
      </c>
      <c r="L2208" t="s">
        <v>132</v>
      </c>
      <c r="M2208" t="s">
        <v>116</v>
      </c>
    </row>
    <row r="2209" spans="2:13" x14ac:dyDescent="0.2">
      <c r="B2209">
        <v>3088</v>
      </c>
      <c r="C2209">
        <v>2</v>
      </c>
      <c r="D2209">
        <v>14.7</v>
      </c>
      <c r="E2209">
        <v>0.24</v>
      </c>
      <c r="F2209">
        <v>0.6</v>
      </c>
      <c r="G2209">
        <v>0.6</v>
      </c>
      <c r="H2209">
        <v>158</v>
      </c>
      <c r="I2209">
        <v>5</v>
      </c>
      <c r="J2209">
        <v>2</v>
      </c>
      <c r="K2209">
        <v>70.099999999999994</v>
      </c>
      <c r="L2209" t="s">
        <v>127</v>
      </c>
      <c r="M2209" t="s">
        <v>118</v>
      </c>
    </row>
    <row r="2210" spans="2:13" x14ac:dyDescent="0.2">
      <c r="B2210">
        <v>3088</v>
      </c>
      <c r="C2210">
        <v>2</v>
      </c>
      <c r="D2210">
        <v>18.100000000000001</v>
      </c>
      <c r="E2210">
        <v>0.3</v>
      </c>
      <c r="F2210">
        <v>0.6</v>
      </c>
      <c r="G2210">
        <v>0.6</v>
      </c>
      <c r="H2210">
        <v>195</v>
      </c>
      <c r="I2210">
        <v>7</v>
      </c>
      <c r="J2210">
        <v>2</v>
      </c>
      <c r="K2210">
        <v>72.7</v>
      </c>
      <c r="L2210" t="s">
        <v>136</v>
      </c>
      <c r="M2210" t="s">
        <v>116</v>
      </c>
    </row>
    <row r="2211" spans="2:13" x14ac:dyDescent="0.2">
      <c r="B2211">
        <v>3088</v>
      </c>
      <c r="C2211">
        <v>3</v>
      </c>
      <c r="D2211">
        <v>0</v>
      </c>
      <c r="E2211">
        <v>0</v>
      </c>
      <c r="F2211">
        <v>0.6</v>
      </c>
      <c r="G2211">
        <v>0.6</v>
      </c>
      <c r="H2211">
        <v>0</v>
      </c>
      <c r="I2211">
        <v>0</v>
      </c>
      <c r="J2211">
        <v>0</v>
      </c>
      <c r="K2211">
        <v>50</v>
      </c>
      <c r="L2211" t="s">
        <v>113</v>
      </c>
      <c r="M2211" t="s">
        <v>114</v>
      </c>
    </row>
    <row r="2212" spans="2:13" x14ac:dyDescent="0.2">
      <c r="B2212">
        <v>3088</v>
      </c>
      <c r="C2212">
        <v>3</v>
      </c>
      <c r="D2212">
        <v>6</v>
      </c>
      <c r="E2212">
        <v>0.1</v>
      </c>
      <c r="F2212">
        <v>0.6</v>
      </c>
      <c r="G2212">
        <v>0.6</v>
      </c>
      <c r="H2212">
        <v>65</v>
      </c>
      <c r="I2212">
        <v>0</v>
      </c>
      <c r="J2212">
        <v>0</v>
      </c>
      <c r="K2212">
        <v>33.5</v>
      </c>
      <c r="L2212" t="s">
        <v>115</v>
      </c>
      <c r="M2212" t="s">
        <v>116</v>
      </c>
    </row>
    <row r="2213" spans="2:13" x14ac:dyDescent="0.2">
      <c r="B2213">
        <v>3088</v>
      </c>
      <c r="C2213">
        <v>3</v>
      </c>
      <c r="D2213">
        <v>7.7</v>
      </c>
      <c r="E2213">
        <v>0.13</v>
      </c>
      <c r="F2213">
        <v>0.6</v>
      </c>
      <c r="G2213">
        <v>0.6</v>
      </c>
      <c r="H2213">
        <v>84</v>
      </c>
      <c r="I2213">
        <v>0</v>
      </c>
      <c r="J2213">
        <v>1</v>
      </c>
      <c r="K2213">
        <v>59.5</v>
      </c>
      <c r="L2213" t="s">
        <v>117</v>
      </c>
      <c r="M2213" t="s">
        <v>118</v>
      </c>
    </row>
    <row r="2214" spans="2:13" x14ac:dyDescent="0.2">
      <c r="B2214">
        <v>3088</v>
      </c>
      <c r="C2214">
        <v>3</v>
      </c>
      <c r="D2214">
        <v>12.1</v>
      </c>
      <c r="E2214">
        <v>0.2</v>
      </c>
      <c r="F2214">
        <v>0.6</v>
      </c>
      <c r="G2214">
        <v>0.6</v>
      </c>
      <c r="H2214">
        <v>130</v>
      </c>
      <c r="I2214">
        <v>1</v>
      </c>
      <c r="J2214">
        <v>1</v>
      </c>
      <c r="K2214">
        <v>68.400000000000006</v>
      </c>
      <c r="L2214" t="s">
        <v>124</v>
      </c>
      <c r="M2214" t="s">
        <v>116</v>
      </c>
    </row>
    <row r="2215" spans="2:13" x14ac:dyDescent="0.2">
      <c r="B2215">
        <v>3088</v>
      </c>
      <c r="C2215">
        <v>3</v>
      </c>
      <c r="D2215">
        <v>15.7</v>
      </c>
      <c r="E2215">
        <v>0.26</v>
      </c>
      <c r="F2215">
        <v>0.6</v>
      </c>
      <c r="G2215">
        <v>0.6</v>
      </c>
      <c r="H2215">
        <v>170</v>
      </c>
      <c r="I2215">
        <v>2</v>
      </c>
      <c r="J2215">
        <v>2</v>
      </c>
      <c r="K2215">
        <v>69.2</v>
      </c>
      <c r="L2215" t="s">
        <v>119</v>
      </c>
      <c r="M2215" t="s">
        <v>118</v>
      </c>
    </row>
    <row r="2216" spans="2:13" x14ac:dyDescent="0.2">
      <c r="B2216">
        <v>3088</v>
      </c>
      <c r="C2216">
        <v>3</v>
      </c>
      <c r="D2216">
        <v>17.8</v>
      </c>
      <c r="E2216">
        <v>0.3</v>
      </c>
      <c r="F2216">
        <v>0.6</v>
      </c>
      <c r="G2216">
        <v>0.6</v>
      </c>
      <c r="H2216">
        <v>192</v>
      </c>
      <c r="I2216">
        <v>4</v>
      </c>
      <c r="J2216">
        <v>3</v>
      </c>
      <c r="K2216">
        <v>65.3</v>
      </c>
      <c r="L2216" t="s">
        <v>125</v>
      </c>
      <c r="M2216" t="s">
        <v>118</v>
      </c>
    </row>
    <row r="2217" spans="2:13" x14ac:dyDescent="0.2">
      <c r="B2217">
        <v>3088</v>
      </c>
      <c r="C2217">
        <v>3</v>
      </c>
      <c r="D2217">
        <v>18.100000000000001</v>
      </c>
      <c r="E2217">
        <v>0.3</v>
      </c>
      <c r="F2217">
        <v>0.6</v>
      </c>
      <c r="G2217">
        <v>0.6</v>
      </c>
      <c r="H2217">
        <v>195</v>
      </c>
      <c r="I2217">
        <v>5</v>
      </c>
      <c r="J2217">
        <v>3</v>
      </c>
      <c r="K2217">
        <v>65.400000000000006</v>
      </c>
      <c r="L2217" t="s">
        <v>121</v>
      </c>
      <c r="M2217" t="s">
        <v>116</v>
      </c>
    </row>
    <row r="2218" spans="2:13" x14ac:dyDescent="0.2">
      <c r="B2218">
        <v>3088</v>
      </c>
      <c r="C2218">
        <v>4</v>
      </c>
      <c r="D2218">
        <v>0</v>
      </c>
      <c r="E2218">
        <v>0</v>
      </c>
      <c r="F2218">
        <v>0.6</v>
      </c>
      <c r="G2218">
        <v>0.6</v>
      </c>
      <c r="H2218">
        <v>0</v>
      </c>
      <c r="I2218">
        <v>0</v>
      </c>
      <c r="J2218">
        <v>0</v>
      </c>
      <c r="K2218">
        <v>50</v>
      </c>
      <c r="L2218" t="s">
        <v>113</v>
      </c>
      <c r="M2218" t="s">
        <v>114</v>
      </c>
    </row>
    <row r="2219" spans="2:13" x14ac:dyDescent="0.2">
      <c r="B2219">
        <v>3088</v>
      </c>
      <c r="C2219">
        <v>4</v>
      </c>
      <c r="D2219">
        <v>5.7</v>
      </c>
      <c r="E2219">
        <v>0.1</v>
      </c>
      <c r="F2219">
        <v>0.6</v>
      </c>
      <c r="G2219">
        <v>0.6</v>
      </c>
      <c r="H2219">
        <v>62</v>
      </c>
      <c r="I2219">
        <v>0</v>
      </c>
      <c r="J2219">
        <v>1</v>
      </c>
      <c r="K2219">
        <v>41.3</v>
      </c>
      <c r="L2219" t="s">
        <v>117</v>
      </c>
      <c r="M2219" t="s">
        <v>118</v>
      </c>
    </row>
    <row r="2220" spans="2:13" x14ac:dyDescent="0.2">
      <c r="B2220">
        <v>3088</v>
      </c>
      <c r="C2220">
        <v>4</v>
      </c>
      <c r="D2220">
        <v>6</v>
      </c>
      <c r="E2220">
        <v>0.1</v>
      </c>
      <c r="F2220">
        <v>0.6</v>
      </c>
      <c r="G2220">
        <v>0.6</v>
      </c>
      <c r="H2220">
        <v>65</v>
      </c>
      <c r="I2220">
        <v>0</v>
      </c>
      <c r="J2220">
        <v>1</v>
      </c>
      <c r="K2220">
        <v>40.5</v>
      </c>
      <c r="L2220" t="s">
        <v>132</v>
      </c>
      <c r="M2220" t="s">
        <v>116</v>
      </c>
    </row>
    <row r="2221" spans="2:13" x14ac:dyDescent="0.2">
      <c r="B2221">
        <v>3088</v>
      </c>
      <c r="C2221">
        <v>4</v>
      </c>
      <c r="D2221">
        <v>8</v>
      </c>
      <c r="E2221">
        <v>0.13</v>
      </c>
      <c r="F2221">
        <v>0.6</v>
      </c>
      <c r="G2221">
        <v>0.6</v>
      </c>
      <c r="H2221">
        <v>86</v>
      </c>
      <c r="I2221">
        <v>1</v>
      </c>
      <c r="J2221">
        <v>2</v>
      </c>
      <c r="K2221">
        <v>39.700000000000003</v>
      </c>
      <c r="L2221" t="s">
        <v>127</v>
      </c>
      <c r="M2221" t="s">
        <v>118</v>
      </c>
    </row>
    <row r="2222" spans="2:13" x14ac:dyDescent="0.2">
      <c r="B2222">
        <v>3088</v>
      </c>
      <c r="C2222">
        <v>4</v>
      </c>
      <c r="D2222">
        <v>11.2</v>
      </c>
      <c r="E2222">
        <v>0.19</v>
      </c>
      <c r="F2222">
        <v>0.6</v>
      </c>
      <c r="G2222">
        <v>0.6</v>
      </c>
      <c r="H2222">
        <v>120</v>
      </c>
      <c r="I2222">
        <v>3</v>
      </c>
      <c r="J2222">
        <v>3</v>
      </c>
      <c r="K2222">
        <v>39.700000000000003</v>
      </c>
      <c r="L2222" t="s">
        <v>125</v>
      </c>
      <c r="M2222" t="s">
        <v>118</v>
      </c>
    </row>
    <row r="2223" spans="2:13" x14ac:dyDescent="0.2">
      <c r="B2223">
        <v>3088</v>
      </c>
      <c r="C2223">
        <v>4</v>
      </c>
      <c r="D2223">
        <v>12.1</v>
      </c>
      <c r="E2223">
        <v>0.2</v>
      </c>
      <c r="F2223">
        <v>0.6</v>
      </c>
      <c r="G2223">
        <v>0.45</v>
      </c>
      <c r="H2223">
        <v>130</v>
      </c>
      <c r="I2223">
        <v>3</v>
      </c>
      <c r="J2223">
        <v>3</v>
      </c>
      <c r="K2223">
        <v>39.6</v>
      </c>
      <c r="L2223" t="s">
        <v>126</v>
      </c>
      <c r="M2223" t="s">
        <v>116</v>
      </c>
    </row>
    <row r="2224" spans="2:13" x14ac:dyDescent="0.2">
      <c r="B2224">
        <v>3088</v>
      </c>
      <c r="C2224">
        <v>4</v>
      </c>
      <c r="D2224">
        <v>18.100000000000001</v>
      </c>
      <c r="E2224">
        <v>0.3</v>
      </c>
      <c r="F2224">
        <v>0.45</v>
      </c>
      <c r="G2224">
        <v>0.45</v>
      </c>
      <c r="H2224">
        <v>179</v>
      </c>
      <c r="I2224">
        <v>5</v>
      </c>
      <c r="J2224">
        <v>3</v>
      </c>
      <c r="K2224">
        <v>51.8</v>
      </c>
      <c r="L2224" t="s">
        <v>115</v>
      </c>
      <c r="M2224" t="s">
        <v>116</v>
      </c>
    </row>
    <row r="2225" spans="2:13" x14ac:dyDescent="0.2">
      <c r="B2225">
        <v>3088</v>
      </c>
      <c r="C2225">
        <v>4</v>
      </c>
      <c r="D2225">
        <v>18.3</v>
      </c>
      <c r="E2225">
        <v>0.3</v>
      </c>
      <c r="F2225">
        <v>0.45</v>
      </c>
      <c r="G2225">
        <v>0.45</v>
      </c>
      <c r="H2225">
        <v>180</v>
      </c>
      <c r="I2225">
        <v>5</v>
      </c>
      <c r="J2225">
        <v>4</v>
      </c>
      <c r="K2225">
        <v>49.3</v>
      </c>
      <c r="L2225" t="s">
        <v>154</v>
      </c>
      <c r="M2225" t="s">
        <v>118</v>
      </c>
    </row>
    <row r="2226" spans="2:13" x14ac:dyDescent="0.2">
      <c r="B2226">
        <v>3088</v>
      </c>
      <c r="C2226">
        <v>5</v>
      </c>
      <c r="D2226">
        <v>0</v>
      </c>
      <c r="E2226">
        <v>0</v>
      </c>
      <c r="F2226">
        <v>0.6</v>
      </c>
      <c r="G2226">
        <v>0.6</v>
      </c>
      <c r="H2226">
        <v>0</v>
      </c>
      <c r="I2226">
        <v>0</v>
      </c>
      <c r="J2226">
        <v>0</v>
      </c>
      <c r="K2226">
        <v>50</v>
      </c>
      <c r="L2226" t="s">
        <v>113</v>
      </c>
      <c r="M2226" t="s">
        <v>114</v>
      </c>
    </row>
    <row r="2227" spans="2:13" x14ac:dyDescent="0.2">
      <c r="B2227">
        <v>3088</v>
      </c>
      <c r="C2227">
        <v>5</v>
      </c>
      <c r="D2227">
        <v>6</v>
      </c>
      <c r="E2227">
        <v>0.1</v>
      </c>
      <c r="F2227">
        <v>0.6</v>
      </c>
      <c r="G2227">
        <v>0.6</v>
      </c>
      <c r="H2227">
        <v>65</v>
      </c>
      <c r="I2227">
        <v>0</v>
      </c>
      <c r="J2227">
        <v>0</v>
      </c>
      <c r="K2227">
        <v>38.4</v>
      </c>
      <c r="L2227" t="s">
        <v>115</v>
      </c>
      <c r="M2227" t="s">
        <v>116</v>
      </c>
    </row>
    <row r="2228" spans="2:13" x14ac:dyDescent="0.2">
      <c r="B2228">
        <v>3088</v>
      </c>
      <c r="C2228">
        <v>5</v>
      </c>
      <c r="D2228">
        <v>12.1</v>
      </c>
      <c r="E2228">
        <v>0.2</v>
      </c>
      <c r="F2228">
        <v>0.6</v>
      </c>
      <c r="G2228">
        <v>0.7</v>
      </c>
      <c r="H2228">
        <v>130</v>
      </c>
      <c r="I2228">
        <v>3</v>
      </c>
      <c r="J2228">
        <v>0</v>
      </c>
      <c r="K2228">
        <v>88.6</v>
      </c>
      <c r="L2228" t="s">
        <v>128</v>
      </c>
      <c r="M2228" t="s">
        <v>116</v>
      </c>
    </row>
    <row r="2229" spans="2:13" x14ac:dyDescent="0.2">
      <c r="B2229">
        <v>3088</v>
      </c>
      <c r="C2229">
        <v>5</v>
      </c>
      <c r="D2229">
        <v>15.7</v>
      </c>
      <c r="E2229">
        <v>0.26</v>
      </c>
      <c r="F2229">
        <v>0.7</v>
      </c>
      <c r="G2229">
        <v>0.7</v>
      </c>
      <c r="H2229">
        <v>176</v>
      </c>
      <c r="I2229">
        <v>5</v>
      </c>
      <c r="J2229">
        <v>1</v>
      </c>
      <c r="K2229">
        <v>79.8</v>
      </c>
      <c r="L2229" t="s">
        <v>122</v>
      </c>
      <c r="M2229" t="s">
        <v>118</v>
      </c>
    </row>
    <row r="2230" spans="2:13" x14ac:dyDescent="0.2">
      <c r="B2230">
        <v>3089</v>
      </c>
      <c r="C2230">
        <v>1</v>
      </c>
      <c r="D2230">
        <v>0</v>
      </c>
      <c r="E2230">
        <v>0</v>
      </c>
      <c r="F2230">
        <v>0.6</v>
      </c>
      <c r="G2230">
        <v>0.6</v>
      </c>
      <c r="H2230">
        <v>0</v>
      </c>
      <c r="I2230">
        <v>0</v>
      </c>
      <c r="J2230">
        <v>0</v>
      </c>
      <c r="K2230">
        <v>50</v>
      </c>
      <c r="L2230" t="s">
        <v>113</v>
      </c>
      <c r="M2230" t="s">
        <v>114</v>
      </c>
    </row>
    <row r="2231" spans="2:13" x14ac:dyDescent="0.2">
      <c r="B2231">
        <v>3089</v>
      </c>
      <c r="C2231">
        <v>1</v>
      </c>
      <c r="D2231">
        <v>5.6</v>
      </c>
      <c r="E2231">
        <v>0.09</v>
      </c>
      <c r="F2231">
        <v>0.6</v>
      </c>
      <c r="G2231">
        <v>0.6</v>
      </c>
      <c r="H2231">
        <v>61</v>
      </c>
      <c r="I2231">
        <v>0</v>
      </c>
      <c r="J2231">
        <v>1</v>
      </c>
      <c r="K2231">
        <v>40.700000000000003</v>
      </c>
      <c r="L2231" t="s">
        <v>122</v>
      </c>
      <c r="M2231" t="s">
        <v>118</v>
      </c>
    </row>
    <row r="2232" spans="2:13" x14ac:dyDescent="0.2">
      <c r="B2232">
        <v>3089</v>
      </c>
      <c r="C2232">
        <v>1</v>
      </c>
      <c r="D2232">
        <v>6</v>
      </c>
      <c r="E2232">
        <v>0.1</v>
      </c>
      <c r="F2232">
        <v>0.6</v>
      </c>
      <c r="G2232">
        <v>0.6</v>
      </c>
      <c r="H2232">
        <v>65</v>
      </c>
      <c r="I2232">
        <v>0</v>
      </c>
      <c r="J2232">
        <v>1</v>
      </c>
      <c r="K2232">
        <v>40.9</v>
      </c>
      <c r="L2232" t="s">
        <v>132</v>
      </c>
      <c r="M2232" t="s">
        <v>116</v>
      </c>
    </row>
    <row r="2233" spans="2:13" x14ac:dyDescent="0.2">
      <c r="B2233">
        <v>3089</v>
      </c>
      <c r="C2233">
        <v>1</v>
      </c>
      <c r="D2233">
        <v>6.8</v>
      </c>
      <c r="E2233">
        <v>0.11</v>
      </c>
      <c r="F2233">
        <v>0.6</v>
      </c>
      <c r="G2233">
        <v>0.6</v>
      </c>
      <c r="H2233">
        <v>74</v>
      </c>
      <c r="I2233">
        <v>1</v>
      </c>
      <c r="J2233">
        <v>2</v>
      </c>
      <c r="K2233">
        <v>39.4</v>
      </c>
      <c r="L2233" t="s">
        <v>119</v>
      </c>
      <c r="M2233" t="s">
        <v>118</v>
      </c>
    </row>
    <row r="2234" spans="2:13" x14ac:dyDescent="0.2">
      <c r="B2234">
        <v>3089</v>
      </c>
      <c r="C2234">
        <v>1</v>
      </c>
      <c r="D2234">
        <v>9.6</v>
      </c>
      <c r="E2234">
        <v>0.16</v>
      </c>
      <c r="F2234">
        <v>0.6</v>
      </c>
      <c r="G2234">
        <v>0.6</v>
      </c>
      <c r="H2234">
        <v>103</v>
      </c>
      <c r="I2234">
        <v>2</v>
      </c>
      <c r="J2234">
        <v>3</v>
      </c>
      <c r="K2234">
        <v>40.6</v>
      </c>
      <c r="L2234" t="s">
        <v>135</v>
      </c>
      <c r="M2234" t="s">
        <v>118</v>
      </c>
    </row>
    <row r="2235" spans="2:13" x14ac:dyDescent="0.2">
      <c r="B2235">
        <v>3089</v>
      </c>
      <c r="C2235">
        <v>1</v>
      </c>
      <c r="D2235">
        <v>12.1</v>
      </c>
      <c r="E2235">
        <v>0.2</v>
      </c>
      <c r="F2235">
        <v>0.6</v>
      </c>
      <c r="G2235">
        <v>0.45</v>
      </c>
      <c r="H2235">
        <v>130</v>
      </c>
      <c r="I2235">
        <v>3</v>
      </c>
      <c r="J2235">
        <v>3</v>
      </c>
      <c r="K2235">
        <v>39.6</v>
      </c>
      <c r="L2235" t="s">
        <v>126</v>
      </c>
      <c r="M2235" t="s">
        <v>116</v>
      </c>
    </row>
    <row r="2236" spans="2:13" x14ac:dyDescent="0.2">
      <c r="B2236">
        <v>3089</v>
      </c>
      <c r="C2236">
        <v>1</v>
      </c>
      <c r="D2236">
        <v>18.100000000000001</v>
      </c>
      <c r="E2236">
        <v>0.3</v>
      </c>
      <c r="F2236">
        <v>0.45</v>
      </c>
      <c r="G2236">
        <v>0.45</v>
      </c>
      <c r="H2236">
        <v>179</v>
      </c>
      <c r="I2236">
        <v>7</v>
      </c>
      <c r="J2236">
        <v>3</v>
      </c>
      <c r="K2236">
        <v>40.6</v>
      </c>
      <c r="L2236" t="s">
        <v>115</v>
      </c>
      <c r="M2236" t="s">
        <v>116</v>
      </c>
    </row>
    <row r="2237" spans="2:13" x14ac:dyDescent="0.2">
      <c r="B2237">
        <v>3089</v>
      </c>
      <c r="C2237">
        <v>2</v>
      </c>
      <c r="D2237">
        <v>0</v>
      </c>
      <c r="E2237">
        <v>0</v>
      </c>
      <c r="F2237">
        <v>0.6</v>
      </c>
      <c r="G2237">
        <v>0.6</v>
      </c>
      <c r="H2237">
        <v>0</v>
      </c>
      <c r="I2237">
        <v>0</v>
      </c>
      <c r="J2237">
        <v>0</v>
      </c>
      <c r="K2237">
        <v>50</v>
      </c>
      <c r="L2237" t="s">
        <v>113</v>
      </c>
      <c r="M2237" t="s">
        <v>114</v>
      </c>
    </row>
    <row r="2238" spans="2:13" x14ac:dyDescent="0.2">
      <c r="B2238">
        <v>3089</v>
      </c>
      <c r="C2238">
        <v>2</v>
      </c>
      <c r="D2238">
        <v>6</v>
      </c>
      <c r="E2238">
        <v>0.1</v>
      </c>
      <c r="F2238">
        <v>0.6</v>
      </c>
      <c r="G2238">
        <v>0.6</v>
      </c>
      <c r="H2238">
        <v>65</v>
      </c>
      <c r="I2238">
        <v>0</v>
      </c>
      <c r="J2238">
        <v>0</v>
      </c>
      <c r="K2238">
        <v>41.7</v>
      </c>
      <c r="L2238" t="s">
        <v>115</v>
      </c>
      <c r="M2238" t="s">
        <v>116</v>
      </c>
    </row>
    <row r="2239" spans="2:13" x14ac:dyDescent="0.2">
      <c r="B2239">
        <v>3089</v>
      </c>
      <c r="C2239">
        <v>2</v>
      </c>
      <c r="D2239">
        <v>10.4</v>
      </c>
      <c r="E2239">
        <v>0.17</v>
      </c>
      <c r="F2239">
        <v>0.6</v>
      </c>
      <c r="G2239">
        <v>0.6</v>
      </c>
      <c r="H2239">
        <v>112</v>
      </c>
      <c r="I2239">
        <v>1</v>
      </c>
      <c r="J2239">
        <v>1</v>
      </c>
      <c r="K2239">
        <v>66.5</v>
      </c>
      <c r="L2239" t="s">
        <v>122</v>
      </c>
      <c r="M2239" t="s">
        <v>118</v>
      </c>
    </row>
    <row r="2240" spans="2:13" x14ac:dyDescent="0.2">
      <c r="B2240">
        <v>3089</v>
      </c>
      <c r="C2240">
        <v>2</v>
      </c>
      <c r="D2240">
        <v>12.1</v>
      </c>
      <c r="E2240">
        <v>0.2</v>
      </c>
      <c r="F2240">
        <v>0.6</v>
      </c>
      <c r="G2240">
        <v>0.6</v>
      </c>
      <c r="H2240">
        <v>130</v>
      </c>
      <c r="I2240">
        <v>1</v>
      </c>
      <c r="J2240">
        <v>1</v>
      </c>
      <c r="K2240">
        <v>74.400000000000006</v>
      </c>
      <c r="L2240" t="s">
        <v>124</v>
      </c>
      <c r="M2240" t="s">
        <v>116</v>
      </c>
    </row>
    <row r="2241" spans="2:13" x14ac:dyDescent="0.2">
      <c r="B2241">
        <v>3089</v>
      </c>
      <c r="C2241">
        <v>2</v>
      </c>
      <c r="D2241">
        <v>16.7</v>
      </c>
      <c r="E2241">
        <v>0.28000000000000003</v>
      </c>
      <c r="F2241">
        <v>0.6</v>
      </c>
      <c r="G2241">
        <v>0.6</v>
      </c>
      <c r="H2241">
        <v>180</v>
      </c>
      <c r="I2241">
        <v>5</v>
      </c>
      <c r="J2241">
        <v>2</v>
      </c>
      <c r="K2241">
        <v>65.8</v>
      </c>
      <c r="L2241" t="s">
        <v>123</v>
      </c>
      <c r="M2241" t="s">
        <v>118</v>
      </c>
    </row>
    <row r="2242" spans="2:13" x14ac:dyDescent="0.2">
      <c r="B2242">
        <v>3089</v>
      </c>
      <c r="C2242">
        <v>2</v>
      </c>
      <c r="D2242">
        <v>18.100000000000001</v>
      </c>
      <c r="E2242">
        <v>0.3</v>
      </c>
      <c r="F2242">
        <v>0.6</v>
      </c>
      <c r="G2242">
        <v>0.6</v>
      </c>
      <c r="H2242">
        <v>195</v>
      </c>
      <c r="I2242">
        <v>5</v>
      </c>
      <c r="J2242">
        <v>2</v>
      </c>
      <c r="K2242">
        <v>65.2</v>
      </c>
      <c r="L2242" t="s">
        <v>132</v>
      </c>
      <c r="M2242" t="s">
        <v>116</v>
      </c>
    </row>
    <row r="2243" spans="2:13" x14ac:dyDescent="0.2">
      <c r="B2243">
        <v>3089</v>
      </c>
      <c r="C2243">
        <v>3</v>
      </c>
      <c r="D2243">
        <v>0</v>
      </c>
      <c r="E2243">
        <v>0</v>
      </c>
      <c r="F2243">
        <v>0.6</v>
      </c>
      <c r="G2243">
        <v>0.6</v>
      </c>
      <c r="H2243">
        <v>0</v>
      </c>
      <c r="I2243">
        <v>0</v>
      </c>
      <c r="J2243">
        <v>0</v>
      </c>
      <c r="K2243">
        <v>50</v>
      </c>
      <c r="L2243" t="s">
        <v>113</v>
      </c>
      <c r="M2243" t="s">
        <v>114</v>
      </c>
    </row>
    <row r="2244" spans="2:13" x14ac:dyDescent="0.2">
      <c r="B2244">
        <v>3089</v>
      </c>
      <c r="C2244">
        <v>3</v>
      </c>
      <c r="D2244">
        <v>6</v>
      </c>
      <c r="E2244">
        <v>0.1</v>
      </c>
      <c r="F2244">
        <v>0.6</v>
      </c>
      <c r="G2244">
        <v>0.6</v>
      </c>
      <c r="H2244">
        <v>65</v>
      </c>
      <c r="I2244">
        <v>0</v>
      </c>
      <c r="J2244">
        <v>0</v>
      </c>
      <c r="K2244">
        <v>40.9</v>
      </c>
      <c r="L2244" t="s">
        <v>115</v>
      </c>
      <c r="M2244" t="s">
        <v>116</v>
      </c>
    </row>
    <row r="2245" spans="2:13" x14ac:dyDescent="0.2">
      <c r="B2245">
        <v>3089</v>
      </c>
      <c r="C2245">
        <v>3</v>
      </c>
      <c r="D2245">
        <v>9</v>
      </c>
      <c r="E2245">
        <v>0.15</v>
      </c>
      <c r="F2245">
        <v>0.6</v>
      </c>
      <c r="G2245">
        <v>0.6</v>
      </c>
      <c r="H2245">
        <v>97</v>
      </c>
      <c r="I2245">
        <v>2</v>
      </c>
      <c r="J2245">
        <v>1</v>
      </c>
      <c r="K2245">
        <v>39.200000000000003</v>
      </c>
      <c r="L2245" t="s">
        <v>122</v>
      </c>
      <c r="M2245" t="s">
        <v>118</v>
      </c>
    </row>
    <row r="2246" spans="2:13" x14ac:dyDescent="0.2">
      <c r="B2246">
        <v>3089</v>
      </c>
      <c r="C2246">
        <v>3</v>
      </c>
      <c r="D2246">
        <v>12.1</v>
      </c>
      <c r="E2246">
        <v>0.2</v>
      </c>
      <c r="F2246">
        <v>0.6</v>
      </c>
      <c r="G2246">
        <v>0.6</v>
      </c>
      <c r="H2246">
        <v>130</v>
      </c>
      <c r="I2246">
        <v>4</v>
      </c>
      <c r="J2246">
        <v>1</v>
      </c>
      <c r="K2246">
        <v>38.799999999999997</v>
      </c>
      <c r="L2246" t="s">
        <v>132</v>
      </c>
      <c r="M2246" t="s">
        <v>116</v>
      </c>
    </row>
    <row r="2247" spans="2:13" x14ac:dyDescent="0.2">
      <c r="B2247">
        <v>3089</v>
      </c>
      <c r="C2247">
        <v>3</v>
      </c>
      <c r="D2247">
        <v>12.7</v>
      </c>
      <c r="E2247">
        <v>0.21</v>
      </c>
      <c r="F2247">
        <v>0.6</v>
      </c>
      <c r="G2247">
        <v>0.6</v>
      </c>
      <c r="H2247">
        <v>137</v>
      </c>
      <c r="I2247">
        <v>6</v>
      </c>
      <c r="J2247">
        <v>2</v>
      </c>
      <c r="K2247">
        <v>39</v>
      </c>
      <c r="L2247" t="s">
        <v>119</v>
      </c>
      <c r="M2247" t="s">
        <v>118</v>
      </c>
    </row>
    <row r="2248" spans="2:13" x14ac:dyDescent="0.2">
      <c r="B2248">
        <v>3089</v>
      </c>
      <c r="C2248">
        <v>3</v>
      </c>
      <c r="D2248">
        <v>18.100000000000001</v>
      </c>
      <c r="E2248">
        <v>0.3</v>
      </c>
      <c r="F2248">
        <v>0.6</v>
      </c>
      <c r="G2248">
        <v>0.6</v>
      </c>
      <c r="H2248">
        <v>195</v>
      </c>
      <c r="I2248">
        <v>10</v>
      </c>
      <c r="J2248">
        <v>2</v>
      </c>
      <c r="K2248">
        <v>55.7</v>
      </c>
      <c r="L2248" t="s">
        <v>121</v>
      </c>
      <c r="M2248" t="s">
        <v>116</v>
      </c>
    </row>
    <row r="2249" spans="2:13" x14ac:dyDescent="0.2">
      <c r="B2249">
        <v>3089</v>
      </c>
      <c r="C2249">
        <v>6</v>
      </c>
      <c r="D2249">
        <v>0</v>
      </c>
      <c r="E2249">
        <v>0</v>
      </c>
      <c r="F2249">
        <v>0.6</v>
      </c>
      <c r="G2249">
        <v>0.6</v>
      </c>
      <c r="H2249">
        <v>0</v>
      </c>
      <c r="I2249">
        <v>0</v>
      </c>
      <c r="J2249">
        <v>0</v>
      </c>
      <c r="K2249">
        <v>50</v>
      </c>
      <c r="L2249" t="s">
        <v>113</v>
      </c>
      <c r="M2249" t="s">
        <v>114</v>
      </c>
    </row>
    <row r="2250" spans="2:13" x14ac:dyDescent="0.2">
      <c r="B2250">
        <v>3089</v>
      </c>
      <c r="C2250">
        <v>6</v>
      </c>
      <c r="D2250">
        <v>6</v>
      </c>
      <c r="E2250">
        <v>0.1</v>
      </c>
      <c r="F2250">
        <v>0.6</v>
      </c>
      <c r="G2250">
        <v>0.6</v>
      </c>
      <c r="H2250">
        <v>65</v>
      </c>
      <c r="I2250">
        <v>0</v>
      </c>
      <c r="J2250">
        <v>0</v>
      </c>
      <c r="K2250">
        <v>43.4</v>
      </c>
      <c r="L2250" t="s">
        <v>115</v>
      </c>
      <c r="M2250" t="s">
        <v>116</v>
      </c>
    </row>
    <row r="2251" spans="2:13" x14ac:dyDescent="0.2">
      <c r="B2251">
        <v>3089</v>
      </c>
      <c r="C2251">
        <v>6</v>
      </c>
      <c r="D2251">
        <v>12.1</v>
      </c>
      <c r="E2251">
        <v>0.2</v>
      </c>
      <c r="F2251">
        <v>0.6</v>
      </c>
      <c r="G2251">
        <v>0.7</v>
      </c>
      <c r="H2251">
        <v>130</v>
      </c>
      <c r="I2251">
        <v>4</v>
      </c>
      <c r="J2251">
        <v>0</v>
      </c>
      <c r="K2251">
        <v>91.3</v>
      </c>
      <c r="L2251" t="s">
        <v>128</v>
      </c>
      <c r="M2251" t="s">
        <v>116</v>
      </c>
    </row>
    <row r="2252" spans="2:13" x14ac:dyDescent="0.2">
      <c r="B2252">
        <v>3090</v>
      </c>
      <c r="C2252">
        <v>1</v>
      </c>
      <c r="D2252">
        <v>0</v>
      </c>
      <c r="E2252">
        <v>0</v>
      </c>
      <c r="F2252">
        <v>0.6</v>
      </c>
      <c r="G2252">
        <v>0.6</v>
      </c>
      <c r="H2252">
        <v>0</v>
      </c>
      <c r="I2252">
        <v>0</v>
      </c>
      <c r="J2252">
        <v>0</v>
      </c>
      <c r="K2252">
        <v>50</v>
      </c>
      <c r="L2252" t="s">
        <v>113</v>
      </c>
      <c r="M2252" t="s">
        <v>114</v>
      </c>
    </row>
    <row r="2253" spans="2:13" x14ac:dyDescent="0.2">
      <c r="B2253">
        <v>3090</v>
      </c>
      <c r="C2253">
        <v>1</v>
      </c>
      <c r="D2253">
        <v>5.5</v>
      </c>
      <c r="E2253">
        <v>0.09</v>
      </c>
      <c r="F2253">
        <v>0.6</v>
      </c>
      <c r="G2253">
        <v>0.6</v>
      </c>
      <c r="H2253">
        <v>59</v>
      </c>
      <c r="I2253">
        <v>0</v>
      </c>
      <c r="J2253">
        <v>1</v>
      </c>
      <c r="K2253">
        <v>35</v>
      </c>
      <c r="L2253" t="s">
        <v>122</v>
      </c>
      <c r="M2253" t="s">
        <v>118</v>
      </c>
    </row>
    <row r="2254" spans="2:13" x14ac:dyDescent="0.2">
      <c r="B2254">
        <v>3090</v>
      </c>
      <c r="C2254">
        <v>1</v>
      </c>
      <c r="D2254">
        <v>6</v>
      </c>
      <c r="E2254">
        <v>0.1</v>
      </c>
      <c r="F2254">
        <v>0.6</v>
      </c>
      <c r="G2254">
        <v>0.6</v>
      </c>
      <c r="H2254">
        <v>65</v>
      </c>
      <c r="I2254">
        <v>0</v>
      </c>
      <c r="J2254">
        <v>1</v>
      </c>
      <c r="K2254">
        <v>34.299999999999997</v>
      </c>
      <c r="L2254" t="s">
        <v>132</v>
      </c>
      <c r="M2254" t="s">
        <v>116</v>
      </c>
    </row>
    <row r="2255" spans="2:13" x14ac:dyDescent="0.2">
      <c r="B2255">
        <v>3090</v>
      </c>
      <c r="C2255">
        <v>1</v>
      </c>
      <c r="D2255">
        <v>9</v>
      </c>
      <c r="E2255">
        <v>0.15</v>
      </c>
      <c r="F2255">
        <v>0.6</v>
      </c>
      <c r="G2255">
        <v>0.6</v>
      </c>
      <c r="H2255">
        <v>97</v>
      </c>
      <c r="I2255">
        <v>1</v>
      </c>
      <c r="J2255">
        <v>2</v>
      </c>
      <c r="K2255">
        <v>34.700000000000003</v>
      </c>
      <c r="L2255" t="s">
        <v>127</v>
      </c>
      <c r="M2255" t="s">
        <v>118</v>
      </c>
    </row>
    <row r="2256" spans="2:13" x14ac:dyDescent="0.2">
      <c r="B2256">
        <v>3090</v>
      </c>
      <c r="C2256">
        <v>1</v>
      </c>
      <c r="D2256">
        <v>12.1</v>
      </c>
      <c r="E2256">
        <v>0.2</v>
      </c>
      <c r="F2256">
        <v>0.6</v>
      </c>
      <c r="G2256">
        <v>0.6</v>
      </c>
      <c r="H2256">
        <v>130</v>
      </c>
      <c r="I2256">
        <v>1</v>
      </c>
      <c r="J2256">
        <v>2</v>
      </c>
      <c r="K2256">
        <v>35.700000000000003</v>
      </c>
      <c r="L2256" t="s">
        <v>132</v>
      </c>
      <c r="M2256" t="s">
        <v>116</v>
      </c>
    </row>
    <row r="2257" spans="2:13" x14ac:dyDescent="0.2">
      <c r="B2257">
        <v>3090</v>
      </c>
      <c r="C2257">
        <v>1</v>
      </c>
      <c r="D2257">
        <v>14.2</v>
      </c>
      <c r="E2257">
        <v>0.24</v>
      </c>
      <c r="F2257">
        <v>0.6</v>
      </c>
      <c r="G2257">
        <v>0.6</v>
      </c>
      <c r="H2257">
        <v>153</v>
      </c>
      <c r="I2257">
        <v>1</v>
      </c>
      <c r="J2257">
        <v>3</v>
      </c>
      <c r="K2257">
        <v>35.9</v>
      </c>
      <c r="L2257" t="s">
        <v>135</v>
      </c>
      <c r="M2257" t="s">
        <v>118</v>
      </c>
    </row>
    <row r="2258" spans="2:13" x14ac:dyDescent="0.2">
      <c r="B2258">
        <v>3090</v>
      </c>
      <c r="C2258">
        <v>1</v>
      </c>
      <c r="D2258">
        <v>18.100000000000001</v>
      </c>
      <c r="E2258">
        <v>0.3</v>
      </c>
      <c r="F2258">
        <v>0.6</v>
      </c>
      <c r="G2258">
        <v>0.6</v>
      </c>
      <c r="H2258">
        <v>195</v>
      </c>
      <c r="I2258">
        <v>2</v>
      </c>
      <c r="J2258">
        <v>3</v>
      </c>
      <c r="K2258">
        <v>35.9</v>
      </c>
      <c r="L2258" t="s">
        <v>132</v>
      </c>
      <c r="M2258" t="s">
        <v>116</v>
      </c>
    </row>
    <row r="2259" spans="2:13" x14ac:dyDescent="0.2">
      <c r="B2259">
        <v>3090</v>
      </c>
      <c r="C2259">
        <v>2</v>
      </c>
      <c r="D2259">
        <v>0</v>
      </c>
      <c r="E2259">
        <v>0</v>
      </c>
      <c r="F2259">
        <v>0.6</v>
      </c>
      <c r="G2259">
        <v>0.6</v>
      </c>
      <c r="H2259">
        <v>0</v>
      </c>
      <c r="I2259">
        <v>0</v>
      </c>
      <c r="J2259">
        <v>0</v>
      </c>
      <c r="K2259">
        <v>50</v>
      </c>
      <c r="L2259" t="s">
        <v>113</v>
      </c>
      <c r="M2259" t="s">
        <v>114</v>
      </c>
    </row>
    <row r="2260" spans="2:13" x14ac:dyDescent="0.2">
      <c r="B2260">
        <v>3090</v>
      </c>
      <c r="C2260">
        <v>2</v>
      </c>
      <c r="D2260">
        <v>6</v>
      </c>
      <c r="E2260">
        <v>0.1</v>
      </c>
      <c r="F2260">
        <v>0.6</v>
      </c>
      <c r="G2260">
        <v>0.6</v>
      </c>
      <c r="H2260">
        <v>65</v>
      </c>
      <c r="I2260">
        <v>0</v>
      </c>
      <c r="J2260">
        <v>0</v>
      </c>
      <c r="K2260">
        <v>34.299999999999997</v>
      </c>
      <c r="L2260" t="s">
        <v>115</v>
      </c>
      <c r="M2260" t="s">
        <v>116</v>
      </c>
    </row>
    <row r="2261" spans="2:13" x14ac:dyDescent="0.2">
      <c r="B2261">
        <v>3090</v>
      </c>
      <c r="C2261">
        <v>2</v>
      </c>
      <c r="D2261">
        <v>8</v>
      </c>
      <c r="E2261">
        <v>0.13</v>
      </c>
      <c r="F2261">
        <v>0.6</v>
      </c>
      <c r="G2261">
        <v>0.6</v>
      </c>
      <c r="H2261">
        <v>86</v>
      </c>
      <c r="I2261">
        <v>0</v>
      </c>
      <c r="J2261">
        <v>1</v>
      </c>
      <c r="K2261">
        <v>35.299999999999997</v>
      </c>
      <c r="L2261" t="s">
        <v>122</v>
      </c>
      <c r="M2261" t="s">
        <v>118</v>
      </c>
    </row>
    <row r="2262" spans="2:13" x14ac:dyDescent="0.2">
      <c r="B2262">
        <v>3090</v>
      </c>
      <c r="C2262">
        <v>2</v>
      </c>
      <c r="D2262">
        <v>8.1</v>
      </c>
      <c r="E2262">
        <v>0.13</v>
      </c>
      <c r="F2262">
        <v>0.6</v>
      </c>
      <c r="G2262">
        <v>0.6</v>
      </c>
      <c r="H2262">
        <v>87</v>
      </c>
      <c r="I2262">
        <v>0</v>
      </c>
      <c r="J2262">
        <v>2</v>
      </c>
      <c r="K2262">
        <v>35.5</v>
      </c>
      <c r="L2262" t="s">
        <v>119</v>
      </c>
      <c r="M2262" t="s">
        <v>118</v>
      </c>
    </row>
    <row r="2263" spans="2:13" x14ac:dyDescent="0.2">
      <c r="B2263">
        <v>3090</v>
      </c>
      <c r="C2263">
        <v>2</v>
      </c>
      <c r="D2263">
        <v>12.1</v>
      </c>
      <c r="E2263">
        <v>0.2</v>
      </c>
      <c r="F2263">
        <v>0.6</v>
      </c>
      <c r="G2263">
        <v>0.45</v>
      </c>
      <c r="H2263">
        <v>130</v>
      </c>
      <c r="I2263">
        <v>3</v>
      </c>
      <c r="J2263">
        <v>2</v>
      </c>
      <c r="K2263">
        <v>36.1</v>
      </c>
      <c r="L2263" t="s">
        <v>126</v>
      </c>
      <c r="M2263" t="s">
        <v>116</v>
      </c>
    </row>
    <row r="2264" spans="2:13" x14ac:dyDescent="0.2">
      <c r="B2264">
        <v>3090</v>
      </c>
      <c r="C2264">
        <v>2</v>
      </c>
      <c r="D2264">
        <v>18.100000000000001</v>
      </c>
      <c r="E2264">
        <v>0.3</v>
      </c>
      <c r="F2264">
        <v>0.45</v>
      </c>
      <c r="G2264">
        <v>0.45</v>
      </c>
      <c r="H2264">
        <v>179</v>
      </c>
      <c r="I2264">
        <v>6</v>
      </c>
      <c r="J2264">
        <v>2</v>
      </c>
      <c r="K2264">
        <v>36</v>
      </c>
      <c r="L2264" t="s">
        <v>115</v>
      </c>
      <c r="M2264" t="s">
        <v>116</v>
      </c>
    </row>
    <row r="2265" spans="2:13" x14ac:dyDescent="0.2">
      <c r="B2265">
        <v>3090</v>
      </c>
      <c r="C2265">
        <v>3</v>
      </c>
      <c r="D2265">
        <v>0</v>
      </c>
      <c r="E2265">
        <v>0</v>
      </c>
      <c r="F2265">
        <v>0.6</v>
      </c>
      <c r="G2265">
        <v>0.6</v>
      </c>
      <c r="H2265">
        <v>0</v>
      </c>
      <c r="I2265">
        <v>0</v>
      </c>
      <c r="J2265">
        <v>0</v>
      </c>
      <c r="K2265">
        <v>50</v>
      </c>
      <c r="L2265" t="s">
        <v>113</v>
      </c>
      <c r="M2265" t="s">
        <v>114</v>
      </c>
    </row>
    <row r="2266" spans="2:13" x14ac:dyDescent="0.2">
      <c r="B2266">
        <v>3090</v>
      </c>
      <c r="C2266">
        <v>3</v>
      </c>
      <c r="D2266">
        <v>6</v>
      </c>
      <c r="E2266">
        <v>0.1</v>
      </c>
      <c r="F2266">
        <v>0.6</v>
      </c>
      <c r="G2266">
        <v>0.6</v>
      </c>
      <c r="H2266">
        <v>65</v>
      </c>
      <c r="I2266">
        <v>0</v>
      </c>
      <c r="J2266">
        <v>0</v>
      </c>
      <c r="K2266">
        <v>36</v>
      </c>
      <c r="L2266" t="s">
        <v>115</v>
      </c>
      <c r="M2266" t="s">
        <v>116</v>
      </c>
    </row>
    <row r="2267" spans="2:13" x14ac:dyDescent="0.2">
      <c r="B2267">
        <v>3090</v>
      </c>
      <c r="C2267">
        <v>3</v>
      </c>
      <c r="D2267">
        <v>9.6999999999999993</v>
      </c>
      <c r="E2267">
        <v>0.16</v>
      </c>
      <c r="F2267">
        <v>0.6</v>
      </c>
      <c r="G2267">
        <v>0.6</v>
      </c>
      <c r="H2267">
        <v>105</v>
      </c>
      <c r="I2267">
        <v>3</v>
      </c>
      <c r="J2267">
        <v>1</v>
      </c>
      <c r="K2267">
        <v>61.6</v>
      </c>
      <c r="L2267" t="s">
        <v>117</v>
      </c>
      <c r="M2267" t="s">
        <v>118</v>
      </c>
    </row>
    <row r="2268" spans="2:13" x14ac:dyDescent="0.2">
      <c r="B2268">
        <v>3090</v>
      </c>
      <c r="C2268">
        <v>3</v>
      </c>
      <c r="D2268">
        <v>12.1</v>
      </c>
      <c r="E2268">
        <v>0.2</v>
      </c>
      <c r="F2268">
        <v>0.6</v>
      </c>
      <c r="G2268">
        <v>0.6</v>
      </c>
      <c r="H2268">
        <v>130</v>
      </c>
      <c r="I2268">
        <v>5</v>
      </c>
      <c r="J2268">
        <v>1</v>
      </c>
      <c r="K2268">
        <v>61.7</v>
      </c>
      <c r="L2268" t="s">
        <v>121</v>
      </c>
      <c r="M2268" t="s">
        <v>116</v>
      </c>
    </row>
    <row r="2269" spans="2:13" x14ac:dyDescent="0.2">
      <c r="B2269">
        <v>3090</v>
      </c>
      <c r="C2269">
        <v>3</v>
      </c>
      <c r="D2269">
        <v>13.1</v>
      </c>
      <c r="E2269">
        <v>0.22</v>
      </c>
      <c r="F2269">
        <v>0.6</v>
      </c>
      <c r="G2269">
        <v>0.6</v>
      </c>
      <c r="H2269">
        <v>141</v>
      </c>
      <c r="I2269">
        <v>6</v>
      </c>
      <c r="J2269">
        <v>2</v>
      </c>
      <c r="K2269">
        <v>52.7</v>
      </c>
      <c r="L2269" t="s">
        <v>149</v>
      </c>
      <c r="M2269" t="s">
        <v>118</v>
      </c>
    </row>
    <row r="2270" spans="2:13" x14ac:dyDescent="0.2">
      <c r="B2270">
        <v>3090</v>
      </c>
      <c r="C2270">
        <v>3</v>
      </c>
      <c r="D2270">
        <v>14.2</v>
      </c>
      <c r="E2270">
        <v>0.24</v>
      </c>
      <c r="F2270">
        <v>0.6</v>
      </c>
      <c r="G2270">
        <v>0.6</v>
      </c>
      <c r="H2270">
        <v>153</v>
      </c>
      <c r="I2270">
        <v>7</v>
      </c>
      <c r="J2270">
        <v>3</v>
      </c>
      <c r="K2270">
        <v>49.1</v>
      </c>
      <c r="L2270" t="s">
        <v>135</v>
      </c>
      <c r="M2270" t="s">
        <v>118</v>
      </c>
    </row>
    <row r="2271" spans="2:13" x14ac:dyDescent="0.2">
      <c r="B2271">
        <v>3090</v>
      </c>
      <c r="C2271">
        <v>3</v>
      </c>
      <c r="D2271">
        <v>16.5</v>
      </c>
      <c r="E2271">
        <v>0.27</v>
      </c>
      <c r="F2271">
        <v>0.6</v>
      </c>
      <c r="G2271">
        <v>0.6</v>
      </c>
      <c r="H2271">
        <v>178</v>
      </c>
      <c r="I2271">
        <v>7</v>
      </c>
      <c r="J2271">
        <v>4</v>
      </c>
      <c r="K2271">
        <v>53.1</v>
      </c>
      <c r="L2271" t="s">
        <v>140</v>
      </c>
      <c r="M2271" t="s">
        <v>118</v>
      </c>
    </row>
    <row r="2272" spans="2:13" x14ac:dyDescent="0.2">
      <c r="B2272">
        <v>3090</v>
      </c>
      <c r="C2272">
        <v>3</v>
      </c>
      <c r="D2272">
        <v>18.100000000000001</v>
      </c>
      <c r="E2272">
        <v>0.3</v>
      </c>
      <c r="F2272">
        <v>0.6</v>
      </c>
      <c r="G2272">
        <v>0.6</v>
      </c>
      <c r="H2272">
        <v>195</v>
      </c>
      <c r="I2272">
        <v>8</v>
      </c>
      <c r="J2272">
        <v>4</v>
      </c>
      <c r="K2272">
        <v>58</v>
      </c>
      <c r="L2272" t="s">
        <v>155</v>
      </c>
      <c r="M2272" t="s">
        <v>116</v>
      </c>
    </row>
    <row r="2273" spans="2:13" x14ac:dyDescent="0.2">
      <c r="B2273">
        <v>3090</v>
      </c>
      <c r="C2273">
        <v>4</v>
      </c>
      <c r="D2273">
        <v>0</v>
      </c>
      <c r="E2273">
        <v>0</v>
      </c>
      <c r="F2273">
        <v>0.6</v>
      </c>
      <c r="G2273">
        <v>0.6</v>
      </c>
      <c r="H2273">
        <v>0</v>
      </c>
      <c r="I2273">
        <v>0</v>
      </c>
      <c r="J2273">
        <v>0</v>
      </c>
      <c r="K2273">
        <v>50</v>
      </c>
      <c r="L2273" t="s">
        <v>113</v>
      </c>
      <c r="M2273" t="s">
        <v>114</v>
      </c>
    </row>
    <row r="2274" spans="2:13" x14ac:dyDescent="0.2">
      <c r="B2274">
        <v>3090</v>
      </c>
      <c r="C2274">
        <v>4</v>
      </c>
      <c r="D2274">
        <v>6</v>
      </c>
      <c r="E2274">
        <v>0.1</v>
      </c>
      <c r="F2274">
        <v>0.6</v>
      </c>
      <c r="G2274">
        <v>0.6</v>
      </c>
      <c r="H2274">
        <v>65</v>
      </c>
      <c r="I2274">
        <v>0</v>
      </c>
      <c r="J2274">
        <v>0</v>
      </c>
      <c r="K2274">
        <v>38.799999999999997</v>
      </c>
      <c r="L2274" t="s">
        <v>115</v>
      </c>
      <c r="M2274" t="s">
        <v>116</v>
      </c>
    </row>
    <row r="2275" spans="2:13" x14ac:dyDescent="0.2">
      <c r="B2275">
        <v>3090</v>
      </c>
      <c r="C2275">
        <v>4</v>
      </c>
      <c r="D2275">
        <v>7</v>
      </c>
      <c r="E2275">
        <v>0.12</v>
      </c>
      <c r="F2275">
        <v>0.6</v>
      </c>
      <c r="G2275">
        <v>0.6</v>
      </c>
      <c r="H2275">
        <v>76</v>
      </c>
      <c r="I2275">
        <v>0</v>
      </c>
      <c r="J2275">
        <v>1</v>
      </c>
      <c r="K2275">
        <v>39.700000000000003</v>
      </c>
      <c r="L2275" t="s">
        <v>117</v>
      </c>
      <c r="M2275" t="s">
        <v>118</v>
      </c>
    </row>
    <row r="2276" spans="2:13" x14ac:dyDescent="0.2">
      <c r="B2276">
        <v>3090</v>
      </c>
      <c r="C2276">
        <v>4</v>
      </c>
      <c r="D2276">
        <v>12.1</v>
      </c>
      <c r="E2276">
        <v>0.2</v>
      </c>
      <c r="F2276">
        <v>0.6</v>
      </c>
      <c r="G2276">
        <v>0.6</v>
      </c>
      <c r="H2276">
        <v>130</v>
      </c>
      <c r="I2276">
        <v>2</v>
      </c>
      <c r="J2276">
        <v>1</v>
      </c>
      <c r="K2276">
        <v>38.799999999999997</v>
      </c>
      <c r="L2276" t="s">
        <v>132</v>
      </c>
      <c r="M2276" t="s">
        <v>116</v>
      </c>
    </row>
    <row r="2277" spans="2:13" x14ac:dyDescent="0.2">
      <c r="B2277">
        <v>3090</v>
      </c>
      <c r="C2277">
        <v>4</v>
      </c>
      <c r="D2277">
        <v>17.8</v>
      </c>
      <c r="E2277">
        <v>0.3</v>
      </c>
      <c r="F2277">
        <v>0.6</v>
      </c>
      <c r="G2277">
        <v>0.6</v>
      </c>
      <c r="H2277">
        <v>192</v>
      </c>
      <c r="I2277">
        <v>4</v>
      </c>
      <c r="J2277">
        <v>2</v>
      </c>
      <c r="K2277">
        <v>54.4</v>
      </c>
      <c r="L2277" t="s">
        <v>119</v>
      </c>
      <c r="M2277" t="s">
        <v>118</v>
      </c>
    </row>
    <row r="2278" spans="2:13" x14ac:dyDescent="0.2">
      <c r="B2278">
        <v>3090</v>
      </c>
      <c r="C2278">
        <v>4</v>
      </c>
      <c r="D2278">
        <v>18.100000000000001</v>
      </c>
      <c r="E2278">
        <v>0.3</v>
      </c>
      <c r="F2278">
        <v>0.6</v>
      </c>
      <c r="G2278">
        <v>0.6</v>
      </c>
      <c r="H2278">
        <v>195</v>
      </c>
      <c r="I2278">
        <v>4</v>
      </c>
      <c r="J2278">
        <v>2</v>
      </c>
      <c r="K2278">
        <v>54.3</v>
      </c>
      <c r="L2278" t="s">
        <v>121</v>
      </c>
      <c r="M2278" t="s">
        <v>116</v>
      </c>
    </row>
    <row r="2279" spans="2:13" x14ac:dyDescent="0.2">
      <c r="B2279">
        <v>3090</v>
      </c>
      <c r="C2279">
        <v>5</v>
      </c>
      <c r="D2279">
        <v>0</v>
      </c>
      <c r="E2279">
        <v>0</v>
      </c>
      <c r="F2279">
        <v>0.6</v>
      </c>
      <c r="G2279">
        <v>0.6</v>
      </c>
      <c r="H2279">
        <v>0</v>
      </c>
      <c r="I2279">
        <v>0</v>
      </c>
      <c r="J2279">
        <v>0</v>
      </c>
      <c r="K2279">
        <v>50</v>
      </c>
      <c r="L2279" t="s">
        <v>113</v>
      </c>
      <c r="M2279" t="s">
        <v>114</v>
      </c>
    </row>
    <row r="2280" spans="2:13" x14ac:dyDescent="0.2">
      <c r="B2280">
        <v>3090</v>
      </c>
      <c r="C2280">
        <v>5</v>
      </c>
      <c r="D2280">
        <v>5.9</v>
      </c>
      <c r="E2280">
        <v>0.1</v>
      </c>
      <c r="F2280">
        <v>0.6</v>
      </c>
      <c r="G2280">
        <v>0.6</v>
      </c>
      <c r="H2280">
        <v>64</v>
      </c>
      <c r="I2280">
        <v>1</v>
      </c>
      <c r="J2280">
        <v>1</v>
      </c>
      <c r="K2280">
        <v>36.9</v>
      </c>
      <c r="L2280" t="s">
        <v>122</v>
      </c>
      <c r="M2280" t="s">
        <v>118</v>
      </c>
    </row>
    <row r="2281" spans="2:13" x14ac:dyDescent="0.2">
      <c r="B2281">
        <v>3090</v>
      </c>
      <c r="C2281">
        <v>5</v>
      </c>
      <c r="D2281">
        <v>6</v>
      </c>
      <c r="E2281">
        <v>0.1</v>
      </c>
      <c r="F2281">
        <v>0.6</v>
      </c>
      <c r="G2281">
        <v>0.6</v>
      </c>
      <c r="H2281">
        <v>65</v>
      </c>
      <c r="I2281">
        <v>1</v>
      </c>
      <c r="J2281">
        <v>1</v>
      </c>
      <c r="K2281">
        <v>36.799999999999997</v>
      </c>
      <c r="L2281" t="s">
        <v>132</v>
      </c>
      <c r="M2281" t="s">
        <v>116</v>
      </c>
    </row>
    <row r="2282" spans="2:13" x14ac:dyDescent="0.2">
      <c r="B2282">
        <v>3090</v>
      </c>
      <c r="C2282">
        <v>5</v>
      </c>
      <c r="D2282">
        <v>12.1</v>
      </c>
      <c r="E2282">
        <v>0.2</v>
      </c>
      <c r="F2282">
        <v>0.6</v>
      </c>
      <c r="G2282">
        <v>0.7</v>
      </c>
      <c r="H2282">
        <v>130</v>
      </c>
      <c r="I2282">
        <v>3</v>
      </c>
      <c r="J2282">
        <v>1</v>
      </c>
      <c r="K2282">
        <v>74</v>
      </c>
      <c r="L2282" t="s">
        <v>128</v>
      </c>
      <c r="M2282" t="s">
        <v>116</v>
      </c>
    </row>
    <row r="2283" spans="2:13" x14ac:dyDescent="0.2">
      <c r="B2283">
        <v>3091</v>
      </c>
      <c r="C2283">
        <v>1</v>
      </c>
      <c r="D2283">
        <v>0</v>
      </c>
      <c r="E2283">
        <v>0</v>
      </c>
      <c r="F2283">
        <v>0.6</v>
      </c>
      <c r="G2283">
        <v>0.6</v>
      </c>
      <c r="H2283">
        <v>0</v>
      </c>
      <c r="I2283">
        <v>0</v>
      </c>
      <c r="J2283">
        <v>0</v>
      </c>
      <c r="K2283">
        <v>50</v>
      </c>
      <c r="L2283" t="s">
        <v>113</v>
      </c>
      <c r="M2283" t="s">
        <v>114</v>
      </c>
    </row>
    <row r="2284" spans="2:13" x14ac:dyDescent="0.2">
      <c r="B2284">
        <v>3091</v>
      </c>
      <c r="C2284">
        <v>1</v>
      </c>
      <c r="D2284">
        <v>6</v>
      </c>
      <c r="E2284">
        <v>0.1</v>
      </c>
      <c r="F2284">
        <v>0.6</v>
      </c>
      <c r="G2284">
        <v>0.6</v>
      </c>
      <c r="H2284">
        <v>65</v>
      </c>
      <c r="I2284">
        <v>0</v>
      </c>
      <c r="J2284">
        <v>0</v>
      </c>
      <c r="K2284">
        <v>30.6</v>
      </c>
      <c r="L2284" t="s">
        <v>115</v>
      </c>
      <c r="M2284" t="s">
        <v>116</v>
      </c>
    </row>
    <row r="2285" spans="2:13" x14ac:dyDescent="0.2">
      <c r="B2285">
        <v>3091</v>
      </c>
      <c r="C2285">
        <v>1</v>
      </c>
      <c r="D2285">
        <v>6.6</v>
      </c>
      <c r="E2285">
        <v>0.11</v>
      </c>
      <c r="F2285">
        <v>0.6</v>
      </c>
      <c r="G2285">
        <v>0.6</v>
      </c>
      <c r="H2285">
        <v>71</v>
      </c>
      <c r="I2285">
        <v>0</v>
      </c>
      <c r="J2285">
        <v>1</v>
      </c>
      <c r="K2285">
        <v>29.9</v>
      </c>
      <c r="L2285" t="s">
        <v>122</v>
      </c>
      <c r="M2285" t="s">
        <v>118</v>
      </c>
    </row>
    <row r="2286" spans="2:13" x14ac:dyDescent="0.2">
      <c r="B2286">
        <v>3091</v>
      </c>
      <c r="C2286">
        <v>1</v>
      </c>
      <c r="D2286">
        <v>12.1</v>
      </c>
      <c r="E2286">
        <v>0.2</v>
      </c>
      <c r="F2286">
        <v>0.6</v>
      </c>
      <c r="G2286">
        <v>0.6</v>
      </c>
      <c r="H2286">
        <v>130</v>
      </c>
      <c r="I2286">
        <v>1</v>
      </c>
      <c r="J2286">
        <v>1</v>
      </c>
      <c r="K2286">
        <v>54.7</v>
      </c>
      <c r="L2286" t="s">
        <v>121</v>
      </c>
      <c r="M2286" t="s">
        <v>116</v>
      </c>
    </row>
    <row r="2287" spans="2:13" x14ac:dyDescent="0.2">
      <c r="B2287">
        <v>3091</v>
      </c>
      <c r="C2287">
        <v>1</v>
      </c>
      <c r="D2287">
        <v>13.5</v>
      </c>
      <c r="E2287">
        <v>0.23</v>
      </c>
      <c r="F2287">
        <v>0.6</v>
      </c>
      <c r="G2287">
        <v>0.6</v>
      </c>
      <c r="H2287">
        <v>146</v>
      </c>
      <c r="I2287">
        <v>2</v>
      </c>
      <c r="J2287">
        <v>2</v>
      </c>
      <c r="K2287">
        <v>54.3</v>
      </c>
      <c r="L2287" t="s">
        <v>119</v>
      </c>
      <c r="M2287" t="s">
        <v>118</v>
      </c>
    </row>
    <row r="2288" spans="2:13" x14ac:dyDescent="0.2">
      <c r="B2288">
        <v>3091</v>
      </c>
      <c r="C2288">
        <v>1</v>
      </c>
      <c r="D2288">
        <v>18.100000000000001</v>
      </c>
      <c r="E2288">
        <v>0.3</v>
      </c>
      <c r="F2288">
        <v>0.6</v>
      </c>
      <c r="G2288">
        <v>0.6</v>
      </c>
      <c r="H2288">
        <v>195</v>
      </c>
      <c r="I2288">
        <v>5</v>
      </c>
      <c r="J2288">
        <v>2</v>
      </c>
      <c r="K2288">
        <v>54.5</v>
      </c>
      <c r="L2288" t="s">
        <v>121</v>
      </c>
      <c r="M2288" t="s">
        <v>116</v>
      </c>
    </row>
    <row r="2289" spans="2:13" x14ac:dyDescent="0.2">
      <c r="B2289">
        <v>3091</v>
      </c>
      <c r="C2289">
        <v>2</v>
      </c>
      <c r="D2289">
        <v>0</v>
      </c>
      <c r="E2289">
        <v>0</v>
      </c>
      <c r="F2289">
        <v>0.6</v>
      </c>
      <c r="G2289">
        <v>0.6</v>
      </c>
      <c r="H2289">
        <v>0</v>
      </c>
      <c r="I2289">
        <v>0</v>
      </c>
      <c r="J2289">
        <v>0</v>
      </c>
      <c r="K2289">
        <v>50</v>
      </c>
      <c r="L2289" t="s">
        <v>113</v>
      </c>
      <c r="M2289" t="s">
        <v>114</v>
      </c>
    </row>
    <row r="2290" spans="2:13" x14ac:dyDescent="0.2">
      <c r="B2290">
        <v>3091</v>
      </c>
      <c r="C2290">
        <v>2</v>
      </c>
      <c r="D2290">
        <v>6</v>
      </c>
      <c r="E2290">
        <v>0.1</v>
      </c>
      <c r="F2290">
        <v>0.6</v>
      </c>
      <c r="G2290">
        <v>0.6</v>
      </c>
      <c r="H2290">
        <v>65</v>
      </c>
      <c r="I2290">
        <v>0</v>
      </c>
      <c r="J2290">
        <v>0</v>
      </c>
      <c r="K2290">
        <v>32.6</v>
      </c>
      <c r="L2290" t="s">
        <v>115</v>
      </c>
      <c r="M2290" t="s">
        <v>116</v>
      </c>
    </row>
    <row r="2291" spans="2:13" x14ac:dyDescent="0.2">
      <c r="B2291">
        <v>3091</v>
      </c>
      <c r="C2291">
        <v>2</v>
      </c>
      <c r="D2291">
        <v>7.6</v>
      </c>
      <c r="E2291">
        <v>0.13</v>
      </c>
      <c r="F2291">
        <v>0.6</v>
      </c>
      <c r="G2291">
        <v>0.6</v>
      </c>
      <c r="H2291">
        <v>82</v>
      </c>
      <c r="I2291">
        <v>0</v>
      </c>
      <c r="J2291">
        <v>1</v>
      </c>
      <c r="K2291">
        <v>32.6</v>
      </c>
      <c r="L2291" t="s">
        <v>122</v>
      </c>
      <c r="M2291" t="s">
        <v>118</v>
      </c>
    </row>
    <row r="2292" spans="2:13" x14ac:dyDescent="0.2">
      <c r="B2292">
        <v>3091</v>
      </c>
      <c r="C2292">
        <v>2</v>
      </c>
      <c r="D2292">
        <v>11.9</v>
      </c>
      <c r="E2292">
        <v>0.2</v>
      </c>
      <c r="F2292">
        <v>0.6</v>
      </c>
      <c r="G2292">
        <v>0.6</v>
      </c>
      <c r="H2292">
        <v>128</v>
      </c>
      <c r="I2292">
        <v>1</v>
      </c>
      <c r="J2292">
        <v>2</v>
      </c>
      <c r="K2292">
        <v>49.4</v>
      </c>
      <c r="L2292" t="s">
        <v>119</v>
      </c>
      <c r="M2292" t="s">
        <v>118</v>
      </c>
    </row>
    <row r="2293" spans="2:13" x14ac:dyDescent="0.2">
      <c r="B2293">
        <v>3091</v>
      </c>
      <c r="C2293">
        <v>2</v>
      </c>
      <c r="D2293">
        <v>12.1</v>
      </c>
      <c r="E2293">
        <v>0.2</v>
      </c>
      <c r="F2293">
        <v>0.6</v>
      </c>
      <c r="G2293">
        <v>0.45</v>
      </c>
      <c r="H2293">
        <v>130</v>
      </c>
      <c r="I2293">
        <v>1</v>
      </c>
      <c r="J2293">
        <v>2</v>
      </c>
      <c r="K2293">
        <v>49.7</v>
      </c>
      <c r="L2293" t="s">
        <v>120</v>
      </c>
      <c r="M2293" t="s">
        <v>116</v>
      </c>
    </row>
    <row r="2294" spans="2:13" x14ac:dyDescent="0.2">
      <c r="B2294">
        <v>3091</v>
      </c>
      <c r="C2294">
        <v>2</v>
      </c>
      <c r="D2294">
        <v>12.8</v>
      </c>
      <c r="E2294">
        <v>0.21</v>
      </c>
      <c r="F2294">
        <v>0.45</v>
      </c>
      <c r="G2294">
        <v>0.45</v>
      </c>
      <c r="H2294">
        <v>136</v>
      </c>
      <c r="I2294">
        <v>1</v>
      </c>
      <c r="J2294">
        <v>3</v>
      </c>
      <c r="K2294">
        <v>45.5</v>
      </c>
      <c r="L2294" t="s">
        <v>135</v>
      </c>
      <c r="M2294" t="s">
        <v>118</v>
      </c>
    </row>
    <row r="2295" spans="2:13" x14ac:dyDescent="0.2">
      <c r="B2295">
        <v>3091</v>
      </c>
      <c r="C2295">
        <v>2</v>
      </c>
      <c r="D2295">
        <v>18.100000000000001</v>
      </c>
      <c r="E2295">
        <v>0.3</v>
      </c>
      <c r="F2295">
        <v>0.45</v>
      </c>
      <c r="G2295">
        <v>0.45</v>
      </c>
      <c r="H2295">
        <v>179</v>
      </c>
      <c r="I2295">
        <v>3</v>
      </c>
      <c r="J2295">
        <v>3</v>
      </c>
      <c r="K2295">
        <v>45.3</v>
      </c>
      <c r="L2295" t="s">
        <v>132</v>
      </c>
      <c r="M2295" t="s">
        <v>116</v>
      </c>
    </row>
    <row r="2296" spans="2:13" x14ac:dyDescent="0.2">
      <c r="B2296">
        <v>3091</v>
      </c>
      <c r="C2296">
        <v>3</v>
      </c>
      <c r="D2296">
        <v>0</v>
      </c>
      <c r="E2296">
        <v>0</v>
      </c>
      <c r="F2296">
        <v>0.6</v>
      </c>
      <c r="G2296">
        <v>0.6</v>
      </c>
      <c r="H2296">
        <v>0</v>
      </c>
      <c r="I2296">
        <v>0</v>
      </c>
      <c r="J2296">
        <v>0</v>
      </c>
      <c r="K2296">
        <v>50</v>
      </c>
      <c r="L2296" t="s">
        <v>113</v>
      </c>
      <c r="M2296" t="s">
        <v>114</v>
      </c>
    </row>
    <row r="2297" spans="2:13" x14ac:dyDescent="0.2">
      <c r="B2297">
        <v>3091</v>
      </c>
      <c r="C2297">
        <v>3</v>
      </c>
      <c r="D2297">
        <v>6</v>
      </c>
      <c r="E2297">
        <v>0.1</v>
      </c>
      <c r="F2297">
        <v>0.6</v>
      </c>
      <c r="G2297">
        <v>0.6</v>
      </c>
      <c r="H2297">
        <v>65</v>
      </c>
      <c r="I2297">
        <v>0</v>
      </c>
      <c r="J2297">
        <v>0</v>
      </c>
      <c r="K2297">
        <v>34.299999999999997</v>
      </c>
      <c r="L2297" t="s">
        <v>115</v>
      </c>
      <c r="M2297" t="s">
        <v>116</v>
      </c>
    </row>
    <row r="2298" spans="2:13" x14ac:dyDescent="0.2">
      <c r="B2298">
        <v>3091</v>
      </c>
      <c r="C2298">
        <v>3</v>
      </c>
      <c r="D2298">
        <v>9.6</v>
      </c>
      <c r="E2298">
        <v>0.16</v>
      </c>
      <c r="F2298">
        <v>0.6</v>
      </c>
      <c r="G2298">
        <v>0.6</v>
      </c>
      <c r="H2298">
        <v>103</v>
      </c>
      <c r="I2298">
        <v>1</v>
      </c>
      <c r="J2298">
        <v>1</v>
      </c>
      <c r="K2298">
        <v>59.6</v>
      </c>
      <c r="L2298" t="s">
        <v>122</v>
      </c>
      <c r="M2298" t="s">
        <v>118</v>
      </c>
    </row>
    <row r="2299" spans="2:13" x14ac:dyDescent="0.2">
      <c r="B2299">
        <v>3091</v>
      </c>
      <c r="C2299">
        <v>3</v>
      </c>
      <c r="D2299">
        <v>12.1</v>
      </c>
      <c r="E2299">
        <v>0.2</v>
      </c>
      <c r="F2299">
        <v>0.6</v>
      </c>
      <c r="G2299">
        <v>0.6</v>
      </c>
      <c r="H2299">
        <v>130</v>
      </c>
      <c r="I2299">
        <v>2</v>
      </c>
      <c r="J2299">
        <v>1</v>
      </c>
      <c r="K2299">
        <v>58.8</v>
      </c>
      <c r="L2299" t="s">
        <v>121</v>
      </c>
      <c r="M2299" t="s">
        <v>116</v>
      </c>
    </row>
    <row r="2300" spans="2:13" x14ac:dyDescent="0.2">
      <c r="B2300">
        <v>3091</v>
      </c>
      <c r="C2300">
        <v>3</v>
      </c>
      <c r="D2300">
        <v>18.100000000000001</v>
      </c>
      <c r="E2300">
        <v>0.3</v>
      </c>
      <c r="F2300">
        <v>0.6</v>
      </c>
      <c r="G2300">
        <v>0.6</v>
      </c>
      <c r="H2300">
        <v>195</v>
      </c>
      <c r="I2300">
        <v>6</v>
      </c>
      <c r="J2300">
        <v>1</v>
      </c>
      <c r="K2300">
        <v>58.5</v>
      </c>
      <c r="L2300" t="s">
        <v>115</v>
      </c>
      <c r="M2300" t="s">
        <v>116</v>
      </c>
    </row>
    <row r="2301" spans="2:13" x14ac:dyDescent="0.2">
      <c r="B2301">
        <v>3091</v>
      </c>
      <c r="C2301">
        <v>4</v>
      </c>
      <c r="D2301">
        <v>0</v>
      </c>
      <c r="E2301">
        <v>0</v>
      </c>
      <c r="F2301">
        <v>0.6</v>
      </c>
      <c r="G2301">
        <v>0.6</v>
      </c>
      <c r="H2301">
        <v>0</v>
      </c>
      <c r="I2301">
        <v>0</v>
      </c>
      <c r="J2301">
        <v>0</v>
      </c>
      <c r="K2301">
        <v>50</v>
      </c>
      <c r="L2301" t="s">
        <v>113</v>
      </c>
      <c r="M2301" t="s">
        <v>114</v>
      </c>
    </row>
    <row r="2302" spans="2:13" x14ac:dyDescent="0.2">
      <c r="B2302">
        <v>3091</v>
      </c>
      <c r="C2302">
        <v>4</v>
      </c>
      <c r="D2302">
        <v>6</v>
      </c>
      <c r="E2302">
        <v>0.1</v>
      </c>
      <c r="F2302">
        <v>0.6</v>
      </c>
      <c r="G2302">
        <v>0.6</v>
      </c>
      <c r="H2302">
        <v>65</v>
      </c>
      <c r="I2302">
        <v>0</v>
      </c>
      <c r="J2302">
        <v>0</v>
      </c>
      <c r="K2302">
        <v>84.3</v>
      </c>
      <c r="L2302" t="s">
        <v>115</v>
      </c>
      <c r="M2302" t="s">
        <v>116</v>
      </c>
    </row>
    <row r="2303" spans="2:13" x14ac:dyDescent="0.2">
      <c r="B2303">
        <v>3091</v>
      </c>
      <c r="C2303">
        <v>4</v>
      </c>
      <c r="D2303">
        <v>7.5</v>
      </c>
      <c r="E2303">
        <v>0.13</v>
      </c>
      <c r="F2303">
        <v>0.6</v>
      </c>
      <c r="G2303">
        <v>0.6</v>
      </c>
      <c r="H2303">
        <v>82</v>
      </c>
      <c r="I2303">
        <v>1</v>
      </c>
      <c r="J2303">
        <v>1</v>
      </c>
      <c r="K2303">
        <v>66.8</v>
      </c>
      <c r="L2303" t="s">
        <v>117</v>
      </c>
      <c r="M2303" t="s">
        <v>118</v>
      </c>
    </row>
    <row r="2304" spans="2:13" x14ac:dyDescent="0.2">
      <c r="B2304">
        <v>3091</v>
      </c>
      <c r="C2304">
        <v>4</v>
      </c>
      <c r="D2304">
        <v>12.1</v>
      </c>
      <c r="E2304">
        <v>0.2</v>
      </c>
      <c r="F2304">
        <v>0.6</v>
      </c>
      <c r="G2304">
        <v>0.6</v>
      </c>
      <c r="H2304">
        <v>130</v>
      </c>
      <c r="I2304">
        <v>3</v>
      </c>
      <c r="J2304">
        <v>1</v>
      </c>
      <c r="K2304">
        <v>66.3</v>
      </c>
      <c r="L2304" t="s">
        <v>121</v>
      </c>
      <c r="M2304" t="s">
        <v>116</v>
      </c>
    </row>
    <row r="2305" spans="2:13" x14ac:dyDescent="0.2">
      <c r="B2305">
        <v>3091</v>
      </c>
      <c r="C2305">
        <v>4</v>
      </c>
      <c r="D2305">
        <v>13.3</v>
      </c>
      <c r="E2305">
        <v>0.22</v>
      </c>
      <c r="F2305">
        <v>0.6</v>
      </c>
      <c r="G2305">
        <v>0.6</v>
      </c>
      <c r="H2305">
        <v>143</v>
      </c>
      <c r="I2305">
        <v>4</v>
      </c>
      <c r="J2305">
        <v>2</v>
      </c>
      <c r="K2305">
        <v>58.8</v>
      </c>
      <c r="L2305" t="s">
        <v>127</v>
      </c>
      <c r="M2305" t="s">
        <v>118</v>
      </c>
    </row>
    <row r="2306" spans="2:13" x14ac:dyDescent="0.2">
      <c r="B2306">
        <v>3091</v>
      </c>
      <c r="C2306">
        <v>4</v>
      </c>
      <c r="D2306">
        <v>16.600000000000001</v>
      </c>
      <c r="E2306">
        <v>0.28000000000000003</v>
      </c>
      <c r="F2306">
        <v>0.6</v>
      </c>
      <c r="G2306">
        <v>0.6</v>
      </c>
      <c r="H2306">
        <v>179</v>
      </c>
      <c r="I2306">
        <v>5</v>
      </c>
      <c r="J2306">
        <v>3</v>
      </c>
      <c r="K2306">
        <v>54</v>
      </c>
      <c r="L2306" t="s">
        <v>135</v>
      </c>
      <c r="M2306" t="s">
        <v>118</v>
      </c>
    </row>
    <row r="2307" spans="2:13" x14ac:dyDescent="0.2">
      <c r="B2307">
        <v>3091</v>
      </c>
      <c r="C2307">
        <v>4</v>
      </c>
      <c r="D2307">
        <v>18.100000000000001</v>
      </c>
      <c r="E2307">
        <v>0.3</v>
      </c>
      <c r="F2307">
        <v>0.6</v>
      </c>
      <c r="G2307">
        <v>0.45</v>
      </c>
      <c r="H2307">
        <v>195</v>
      </c>
      <c r="I2307">
        <v>7</v>
      </c>
      <c r="J2307">
        <v>3</v>
      </c>
      <c r="K2307">
        <v>53.7</v>
      </c>
      <c r="L2307" t="s">
        <v>126</v>
      </c>
      <c r="M2307" t="s">
        <v>116</v>
      </c>
    </row>
    <row r="2308" spans="2:13" x14ac:dyDescent="0.2">
      <c r="B2308">
        <v>3091</v>
      </c>
      <c r="C2308">
        <v>5</v>
      </c>
      <c r="D2308">
        <v>0</v>
      </c>
      <c r="E2308">
        <v>0</v>
      </c>
      <c r="F2308">
        <v>0.6</v>
      </c>
      <c r="G2308">
        <v>0.6</v>
      </c>
      <c r="H2308">
        <v>0</v>
      </c>
      <c r="I2308">
        <v>0</v>
      </c>
      <c r="J2308">
        <v>0</v>
      </c>
      <c r="K2308">
        <v>50</v>
      </c>
      <c r="L2308" t="s">
        <v>113</v>
      </c>
      <c r="M2308" t="s">
        <v>114</v>
      </c>
    </row>
    <row r="2309" spans="2:13" x14ac:dyDescent="0.2">
      <c r="B2309">
        <v>3091</v>
      </c>
      <c r="C2309">
        <v>5</v>
      </c>
      <c r="D2309">
        <v>6</v>
      </c>
      <c r="E2309">
        <v>0.1</v>
      </c>
      <c r="F2309">
        <v>0.6</v>
      </c>
      <c r="G2309">
        <v>0.6</v>
      </c>
      <c r="H2309">
        <v>65</v>
      </c>
      <c r="I2309">
        <v>0</v>
      </c>
      <c r="J2309">
        <v>0</v>
      </c>
      <c r="K2309">
        <v>32.6</v>
      </c>
      <c r="L2309" t="s">
        <v>115</v>
      </c>
      <c r="M2309" t="s">
        <v>116</v>
      </c>
    </row>
    <row r="2310" spans="2:13" x14ac:dyDescent="0.2">
      <c r="B2310">
        <v>3091</v>
      </c>
      <c r="C2310">
        <v>5</v>
      </c>
      <c r="D2310">
        <v>9.1</v>
      </c>
      <c r="E2310">
        <v>0.15</v>
      </c>
      <c r="F2310">
        <v>0.6</v>
      </c>
      <c r="G2310">
        <v>0.6</v>
      </c>
      <c r="H2310">
        <v>99</v>
      </c>
      <c r="I2310">
        <v>1</v>
      </c>
      <c r="J2310">
        <v>1</v>
      </c>
      <c r="K2310">
        <v>33.299999999999997</v>
      </c>
      <c r="L2310" t="s">
        <v>117</v>
      </c>
      <c r="M2310" t="s">
        <v>118</v>
      </c>
    </row>
    <row r="2311" spans="2:13" x14ac:dyDescent="0.2">
      <c r="B2311">
        <v>3091</v>
      </c>
      <c r="C2311">
        <v>5</v>
      </c>
      <c r="D2311">
        <v>12.1</v>
      </c>
      <c r="E2311">
        <v>0.2</v>
      </c>
      <c r="F2311">
        <v>0.6</v>
      </c>
      <c r="G2311">
        <v>0.6</v>
      </c>
      <c r="H2311">
        <v>130</v>
      </c>
      <c r="I2311">
        <v>3</v>
      </c>
      <c r="J2311">
        <v>1</v>
      </c>
      <c r="K2311">
        <v>66.900000000000006</v>
      </c>
      <c r="L2311" t="s">
        <v>124</v>
      </c>
      <c r="M2311" t="s">
        <v>116</v>
      </c>
    </row>
    <row r="2312" spans="2:13" x14ac:dyDescent="0.2">
      <c r="B2312">
        <v>3091</v>
      </c>
      <c r="C2312">
        <v>5</v>
      </c>
      <c r="D2312">
        <v>13.8</v>
      </c>
      <c r="E2312">
        <v>0.23</v>
      </c>
      <c r="F2312">
        <v>0.6</v>
      </c>
      <c r="G2312">
        <v>0.6</v>
      </c>
      <c r="H2312">
        <v>149</v>
      </c>
      <c r="I2312">
        <v>4</v>
      </c>
      <c r="J2312">
        <v>2</v>
      </c>
      <c r="K2312">
        <v>58.6</v>
      </c>
      <c r="L2312" t="s">
        <v>119</v>
      </c>
      <c r="M2312" t="s">
        <v>118</v>
      </c>
    </row>
    <row r="2313" spans="2:13" x14ac:dyDescent="0.2">
      <c r="B2313">
        <v>3091</v>
      </c>
      <c r="C2313">
        <v>5</v>
      </c>
      <c r="D2313">
        <v>18.100000000000001</v>
      </c>
      <c r="E2313">
        <v>0.3</v>
      </c>
      <c r="F2313">
        <v>0.6</v>
      </c>
      <c r="G2313">
        <v>0.6</v>
      </c>
      <c r="H2313">
        <v>195</v>
      </c>
      <c r="I2313">
        <v>8</v>
      </c>
      <c r="J2313">
        <v>2</v>
      </c>
      <c r="K2313">
        <v>59.6</v>
      </c>
      <c r="L2313" t="s">
        <v>132</v>
      </c>
      <c r="M2313" t="s">
        <v>116</v>
      </c>
    </row>
    <row r="2314" spans="2:13" x14ac:dyDescent="0.2">
      <c r="B2314">
        <v>3092</v>
      </c>
      <c r="C2314">
        <v>1</v>
      </c>
      <c r="D2314">
        <v>0</v>
      </c>
      <c r="E2314">
        <v>0</v>
      </c>
      <c r="F2314">
        <v>0.6</v>
      </c>
      <c r="G2314">
        <v>0.6</v>
      </c>
      <c r="H2314">
        <v>0</v>
      </c>
      <c r="I2314">
        <v>0</v>
      </c>
      <c r="J2314">
        <v>0</v>
      </c>
      <c r="K2314">
        <v>50</v>
      </c>
      <c r="L2314" t="s">
        <v>113</v>
      </c>
      <c r="M2314" t="s">
        <v>114</v>
      </c>
    </row>
    <row r="2315" spans="2:13" x14ac:dyDescent="0.2">
      <c r="B2315">
        <v>3092</v>
      </c>
      <c r="C2315">
        <v>1</v>
      </c>
      <c r="D2315">
        <v>6</v>
      </c>
      <c r="E2315">
        <v>0.1</v>
      </c>
      <c r="F2315">
        <v>0.6</v>
      </c>
      <c r="G2315">
        <v>0.6</v>
      </c>
      <c r="H2315">
        <v>65</v>
      </c>
      <c r="I2315">
        <v>0</v>
      </c>
      <c r="J2315">
        <v>0</v>
      </c>
      <c r="K2315">
        <v>30.2</v>
      </c>
      <c r="L2315" t="s">
        <v>115</v>
      </c>
      <c r="M2315" t="s">
        <v>116</v>
      </c>
    </row>
    <row r="2316" spans="2:13" x14ac:dyDescent="0.2">
      <c r="B2316">
        <v>3092</v>
      </c>
      <c r="C2316">
        <v>1</v>
      </c>
      <c r="D2316">
        <v>6.6</v>
      </c>
      <c r="E2316">
        <v>0.11</v>
      </c>
      <c r="F2316">
        <v>0.6</v>
      </c>
      <c r="G2316">
        <v>0.6</v>
      </c>
      <c r="H2316">
        <v>71</v>
      </c>
      <c r="I2316">
        <v>0</v>
      </c>
      <c r="J2316">
        <v>1</v>
      </c>
      <c r="K2316">
        <v>29.9</v>
      </c>
      <c r="L2316" t="s">
        <v>129</v>
      </c>
      <c r="M2316" t="s">
        <v>118</v>
      </c>
    </row>
    <row r="2317" spans="2:13" x14ac:dyDescent="0.2">
      <c r="B2317">
        <v>3092</v>
      </c>
      <c r="C2317">
        <v>1</v>
      </c>
      <c r="D2317">
        <v>11.7</v>
      </c>
      <c r="E2317">
        <v>0.2</v>
      </c>
      <c r="F2317">
        <v>0.6</v>
      </c>
      <c r="G2317">
        <v>0.6</v>
      </c>
      <c r="H2317">
        <v>126</v>
      </c>
      <c r="I2317">
        <v>1</v>
      </c>
      <c r="J2317">
        <v>2</v>
      </c>
      <c r="K2317">
        <v>29.9</v>
      </c>
      <c r="L2317" t="s">
        <v>119</v>
      </c>
      <c r="M2317" t="s">
        <v>118</v>
      </c>
    </row>
    <row r="2318" spans="2:13" x14ac:dyDescent="0.2">
      <c r="B2318">
        <v>3092</v>
      </c>
      <c r="C2318">
        <v>1</v>
      </c>
      <c r="D2318">
        <v>12.1</v>
      </c>
      <c r="E2318">
        <v>0.2</v>
      </c>
      <c r="F2318">
        <v>0.6</v>
      </c>
      <c r="G2318">
        <v>0.45</v>
      </c>
      <c r="H2318">
        <v>130</v>
      </c>
      <c r="I2318">
        <v>1</v>
      </c>
      <c r="J2318">
        <v>2</v>
      </c>
      <c r="K2318">
        <v>30.1</v>
      </c>
      <c r="L2318" t="s">
        <v>126</v>
      </c>
      <c r="M2318" t="s">
        <v>116</v>
      </c>
    </row>
    <row r="2319" spans="2:13" x14ac:dyDescent="0.2">
      <c r="B2319">
        <v>3092</v>
      </c>
      <c r="C2319">
        <v>1</v>
      </c>
      <c r="D2319">
        <v>12.5</v>
      </c>
      <c r="E2319">
        <v>0.21</v>
      </c>
      <c r="F2319">
        <v>0.45</v>
      </c>
      <c r="G2319">
        <v>0.45</v>
      </c>
      <c r="H2319">
        <v>134</v>
      </c>
      <c r="I2319">
        <v>1</v>
      </c>
      <c r="J2319">
        <v>3</v>
      </c>
      <c r="K2319">
        <v>30.4</v>
      </c>
      <c r="L2319" t="s">
        <v>125</v>
      </c>
      <c r="M2319" t="s">
        <v>118</v>
      </c>
    </row>
    <row r="2320" spans="2:13" x14ac:dyDescent="0.2">
      <c r="B2320">
        <v>3092</v>
      </c>
      <c r="C2320">
        <v>1</v>
      </c>
      <c r="D2320">
        <v>18.100000000000001</v>
      </c>
      <c r="E2320">
        <v>0.3</v>
      </c>
      <c r="F2320">
        <v>0.45</v>
      </c>
      <c r="G2320">
        <v>0.45</v>
      </c>
      <c r="H2320">
        <v>179</v>
      </c>
      <c r="I2320">
        <v>4</v>
      </c>
      <c r="J2320">
        <v>3</v>
      </c>
      <c r="K2320">
        <v>28.9</v>
      </c>
      <c r="L2320" t="s">
        <v>132</v>
      </c>
      <c r="M2320" t="s">
        <v>116</v>
      </c>
    </row>
    <row r="2321" spans="2:13" x14ac:dyDescent="0.2">
      <c r="B2321">
        <v>3092</v>
      </c>
      <c r="C2321">
        <v>1</v>
      </c>
      <c r="D2321">
        <v>18.8</v>
      </c>
      <c r="E2321">
        <v>0.31</v>
      </c>
      <c r="F2321">
        <v>0.45</v>
      </c>
      <c r="G2321">
        <v>0.45</v>
      </c>
      <c r="H2321">
        <v>185</v>
      </c>
      <c r="I2321">
        <v>4</v>
      </c>
      <c r="J2321">
        <v>4</v>
      </c>
      <c r="K2321">
        <v>28.7</v>
      </c>
      <c r="L2321" t="s">
        <v>140</v>
      </c>
      <c r="M2321" t="s">
        <v>118</v>
      </c>
    </row>
    <row r="2322" spans="2:13" x14ac:dyDescent="0.2">
      <c r="B2322">
        <v>3092</v>
      </c>
      <c r="C2322">
        <v>2</v>
      </c>
      <c r="D2322">
        <v>0</v>
      </c>
      <c r="E2322">
        <v>0</v>
      </c>
      <c r="F2322">
        <v>0.6</v>
      </c>
      <c r="G2322">
        <v>0.6</v>
      </c>
      <c r="H2322">
        <v>0</v>
      </c>
      <c r="I2322">
        <v>0</v>
      </c>
      <c r="J2322">
        <v>0</v>
      </c>
      <c r="K2322">
        <v>50</v>
      </c>
      <c r="L2322" t="s">
        <v>113</v>
      </c>
      <c r="M2322" t="s">
        <v>114</v>
      </c>
    </row>
    <row r="2323" spans="2:13" x14ac:dyDescent="0.2">
      <c r="B2323">
        <v>3092</v>
      </c>
      <c r="C2323">
        <v>2</v>
      </c>
      <c r="D2323">
        <v>6</v>
      </c>
      <c r="E2323">
        <v>0.1</v>
      </c>
      <c r="F2323">
        <v>0.6</v>
      </c>
      <c r="G2323">
        <v>0.6</v>
      </c>
      <c r="H2323">
        <v>65</v>
      </c>
      <c r="I2323">
        <v>0</v>
      </c>
      <c r="J2323">
        <v>0</v>
      </c>
      <c r="K2323">
        <v>31.8</v>
      </c>
      <c r="L2323" t="s">
        <v>115</v>
      </c>
      <c r="M2323" t="s">
        <v>116</v>
      </c>
    </row>
    <row r="2324" spans="2:13" x14ac:dyDescent="0.2">
      <c r="B2324">
        <v>3092</v>
      </c>
      <c r="C2324">
        <v>2</v>
      </c>
      <c r="D2324">
        <v>6.9</v>
      </c>
      <c r="E2324">
        <v>0.11</v>
      </c>
      <c r="F2324">
        <v>0.6</v>
      </c>
      <c r="G2324">
        <v>0.6</v>
      </c>
      <c r="H2324">
        <v>75</v>
      </c>
      <c r="I2324">
        <v>0</v>
      </c>
      <c r="J2324">
        <v>1</v>
      </c>
      <c r="K2324">
        <v>30.8</v>
      </c>
      <c r="L2324" t="s">
        <v>122</v>
      </c>
      <c r="M2324" t="s">
        <v>118</v>
      </c>
    </row>
    <row r="2325" spans="2:13" x14ac:dyDescent="0.2">
      <c r="B2325">
        <v>3092</v>
      </c>
      <c r="C2325">
        <v>2</v>
      </c>
      <c r="D2325">
        <v>12.1</v>
      </c>
      <c r="E2325">
        <v>0.2</v>
      </c>
      <c r="F2325">
        <v>0.6</v>
      </c>
      <c r="G2325">
        <v>0.6</v>
      </c>
      <c r="H2325">
        <v>130</v>
      </c>
      <c r="I2325">
        <v>1</v>
      </c>
      <c r="J2325">
        <v>1</v>
      </c>
      <c r="K2325">
        <v>57.4</v>
      </c>
      <c r="L2325" t="s">
        <v>121</v>
      </c>
      <c r="M2325" t="s">
        <v>116</v>
      </c>
    </row>
    <row r="2326" spans="2:13" x14ac:dyDescent="0.2">
      <c r="B2326">
        <v>3092</v>
      </c>
      <c r="C2326">
        <v>2</v>
      </c>
      <c r="D2326">
        <v>15.6</v>
      </c>
      <c r="E2326">
        <v>0.26</v>
      </c>
      <c r="F2326">
        <v>0.6</v>
      </c>
      <c r="G2326">
        <v>0.6</v>
      </c>
      <c r="H2326">
        <v>168</v>
      </c>
      <c r="I2326">
        <v>1</v>
      </c>
      <c r="J2326">
        <v>2</v>
      </c>
      <c r="K2326">
        <v>57.4</v>
      </c>
      <c r="L2326" t="s">
        <v>119</v>
      </c>
      <c r="M2326" t="s">
        <v>118</v>
      </c>
    </row>
    <row r="2327" spans="2:13" x14ac:dyDescent="0.2">
      <c r="B2327">
        <v>3092</v>
      </c>
      <c r="C2327">
        <v>2</v>
      </c>
      <c r="D2327">
        <v>18.100000000000001</v>
      </c>
      <c r="E2327">
        <v>0.3</v>
      </c>
      <c r="F2327">
        <v>0.6</v>
      </c>
      <c r="G2327">
        <v>0.6</v>
      </c>
      <c r="H2327">
        <v>195</v>
      </c>
      <c r="I2327">
        <v>1</v>
      </c>
      <c r="J2327">
        <v>2</v>
      </c>
      <c r="K2327">
        <v>57.8</v>
      </c>
      <c r="L2327" t="s">
        <v>121</v>
      </c>
      <c r="M2327" t="s">
        <v>116</v>
      </c>
    </row>
    <row r="2328" spans="2:13" x14ac:dyDescent="0.2">
      <c r="B2328">
        <v>3092</v>
      </c>
      <c r="C2328">
        <v>2</v>
      </c>
      <c r="D2328">
        <v>18.3</v>
      </c>
      <c r="E2328">
        <v>0.3</v>
      </c>
      <c r="F2328">
        <v>0.6</v>
      </c>
      <c r="G2328">
        <v>0.6</v>
      </c>
      <c r="H2328">
        <v>197</v>
      </c>
      <c r="I2328">
        <v>1</v>
      </c>
      <c r="J2328">
        <v>3</v>
      </c>
      <c r="K2328">
        <v>53</v>
      </c>
      <c r="L2328" t="s">
        <v>125</v>
      </c>
      <c r="M2328" t="s">
        <v>118</v>
      </c>
    </row>
    <row r="2329" spans="2:13" x14ac:dyDescent="0.2">
      <c r="B2329">
        <v>3092</v>
      </c>
      <c r="C2329">
        <v>2</v>
      </c>
      <c r="D2329">
        <v>18.5</v>
      </c>
      <c r="E2329">
        <v>0.31</v>
      </c>
      <c r="F2329">
        <v>0.6</v>
      </c>
      <c r="G2329">
        <v>0.6</v>
      </c>
      <c r="H2329">
        <v>199</v>
      </c>
      <c r="I2329">
        <v>1</v>
      </c>
      <c r="J2329">
        <v>4</v>
      </c>
      <c r="K2329">
        <v>49.7</v>
      </c>
      <c r="L2329" t="s">
        <v>156</v>
      </c>
      <c r="M2329" t="s">
        <v>118</v>
      </c>
    </row>
    <row r="2330" spans="2:13" x14ac:dyDescent="0.2">
      <c r="B2330">
        <v>3092</v>
      </c>
      <c r="C2330">
        <v>3</v>
      </c>
      <c r="D2330">
        <v>0</v>
      </c>
      <c r="E2330">
        <v>0</v>
      </c>
      <c r="F2330">
        <v>0.6</v>
      </c>
      <c r="G2330">
        <v>0.6</v>
      </c>
      <c r="H2330">
        <v>0</v>
      </c>
      <c r="I2330">
        <v>0</v>
      </c>
      <c r="J2330">
        <v>0</v>
      </c>
      <c r="K2330">
        <v>50</v>
      </c>
      <c r="L2330" t="s">
        <v>113</v>
      </c>
      <c r="M2330" t="s">
        <v>114</v>
      </c>
    </row>
    <row r="2331" spans="2:13" x14ac:dyDescent="0.2">
      <c r="B2331">
        <v>3092</v>
      </c>
      <c r="C2331">
        <v>3</v>
      </c>
      <c r="D2331">
        <v>6</v>
      </c>
      <c r="E2331">
        <v>0.1</v>
      </c>
      <c r="F2331">
        <v>0.6</v>
      </c>
      <c r="G2331">
        <v>0.6</v>
      </c>
      <c r="H2331">
        <v>65</v>
      </c>
      <c r="I2331">
        <v>0</v>
      </c>
      <c r="J2331">
        <v>0</v>
      </c>
      <c r="K2331">
        <v>31</v>
      </c>
      <c r="L2331" t="s">
        <v>115</v>
      </c>
      <c r="M2331" t="s">
        <v>116</v>
      </c>
    </row>
    <row r="2332" spans="2:13" x14ac:dyDescent="0.2">
      <c r="B2332">
        <v>3092</v>
      </c>
      <c r="C2332">
        <v>3</v>
      </c>
      <c r="D2332">
        <v>9.4</v>
      </c>
      <c r="E2332">
        <v>0.16</v>
      </c>
      <c r="F2332">
        <v>0.6</v>
      </c>
      <c r="G2332">
        <v>0.6</v>
      </c>
      <c r="H2332">
        <v>102</v>
      </c>
      <c r="I2332">
        <v>1</v>
      </c>
      <c r="J2332">
        <v>1</v>
      </c>
      <c r="K2332">
        <v>29.9</v>
      </c>
      <c r="L2332" t="s">
        <v>117</v>
      </c>
      <c r="M2332" t="s">
        <v>118</v>
      </c>
    </row>
    <row r="2333" spans="2:13" x14ac:dyDescent="0.2">
      <c r="B2333">
        <v>3092</v>
      </c>
      <c r="C2333">
        <v>3</v>
      </c>
      <c r="D2333">
        <v>12.1</v>
      </c>
      <c r="E2333">
        <v>0.2</v>
      </c>
      <c r="F2333">
        <v>0.6</v>
      </c>
      <c r="G2333">
        <v>0.6</v>
      </c>
      <c r="H2333">
        <v>130</v>
      </c>
      <c r="I2333">
        <v>1</v>
      </c>
      <c r="J2333">
        <v>1</v>
      </c>
      <c r="K2333">
        <v>54.7</v>
      </c>
      <c r="L2333" t="s">
        <v>121</v>
      </c>
      <c r="M2333" t="s">
        <v>116</v>
      </c>
    </row>
    <row r="2334" spans="2:13" x14ac:dyDescent="0.2">
      <c r="B2334">
        <v>3092</v>
      </c>
      <c r="C2334">
        <v>3</v>
      </c>
      <c r="D2334">
        <v>15.7</v>
      </c>
      <c r="E2334">
        <v>0.26</v>
      </c>
      <c r="F2334">
        <v>0.6</v>
      </c>
      <c r="G2334">
        <v>0.6</v>
      </c>
      <c r="H2334">
        <v>169</v>
      </c>
      <c r="I2334">
        <v>2</v>
      </c>
      <c r="J2334">
        <v>2</v>
      </c>
      <c r="K2334">
        <v>55.5</v>
      </c>
      <c r="L2334" t="s">
        <v>119</v>
      </c>
      <c r="M2334" t="s">
        <v>118</v>
      </c>
    </row>
    <row r="2335" spans="2:13" x14ac:dyDescent="0.2">
      <c r="B2335">
        <v>3092</v>
      </c>
      <c r="C2335">
        <v>3</v>
      </c>
      <c r="D2335">
        <v>18.100000000000001</v>
      </c>
      <c r="E2335">
        <v>0.3</v>
      </c>
      <c r="F2335">
        <v>0.6</v>
      </c>
      <c r="G2335">
        <v>0.6</v>
      </c>
      <c r="H2335">
        <v>195</v>
      </c>
      <c r="I2335">
        <v>2</v>
      </c>
      <c r="J2335">
        <v>2</v>
      </c>
      <c r="K2335">
        <v>55.7</v>
      </c>
      <c r="L2335" t="s">
        <v>121</v>
      </c>
      <c r="M2335" t="s">
        <v>116</v>
      </c>
    </row>
    <row r="2336" spans="2:13" x14ac:dyDescent="0.2">
      <c r="B2336">
        <v>3092</v>
      </c>
      <c r="C2336">
        <v>4</v>
      </c>
      <c r="D2336">
        <v>0</v>
      </c>
      <c r="E2336">
        <v>0</v>
      </c>
      <c r="F2336">
        <v>0.6</v>
      </c>
      <c r="G2336">
        <v>0.6</v>
      </c>
      <c r="H2336">
        <v>0</v>
      </c>
      <c r="I2336">
        <v>0</v>
      </c>
      <c r="J2336">
        <v>0</v>
      </c>
      <c r="K2336">
        <v>50</v>
      </c>
      <c r="L2336" t="s">
        <v>113</v>
      </c>
      <c r="M2336" t="s">
        <v>114</v>
      </c>
    </row>
    <row r="2337" spans="2:13" x14ac:dyDescent="0.2">
      <c r="B2337">
        <v>3092</v>
      </c>
      <c r="C2337">
        <v>4</v>
      </c>
      <c r="D2337">
        <v>6</v>
      </c>
      <c r="E2337">
        <v>0.1</v>
      </c>
      <c r="F2337">
        <v>0.6</v>
      </c>
      <c r="G2337">
        <v>0.6</v>
      </c>
      <c r="H2337">
        <v>65</v>
      </c>
      <c r="I2337">
        <v>0</v>
      </c>
      <c r="J2337">
        <v>0</v>
      </c>
      <c r="K2337">
        <v>32.6</v>
      </c>
      <c r="L2337" t="s">
        <v>115</v>
      </c>
      <c r="M2337" t="s">
        <v>116</v>
      </c>
    </row>
    <row r="2338" spans="2:13" x14ac:dyDescent="0.2">
      <c r="B2338">
        <v>3092</v>
      </c>
      <c r="C2338">
        <v>4</v>
      </c>
      <c r="D2338">
        <v>6.2</v>
      </c>
      <c r="E2338">
        <v>0.1</v>
      </c>
      <c r="F2338">
        <v>0.6</v>
      </c>
      <c r="G2338">
        <v>0.6</v>
      </c>
      <c r="H2338">
        <v>67</v>
      </c>
      <c r="I2338">
        <v>0</v>
      </c>
      <c r="J2338">
        <v>1</v>
      </c>
      <c r="K2338">
        <v>33.1</v>
      </c>
      <c r="L2338" t="s">
        <v>117</v>
      </c>
      <c r="M2338" t="s">
        <v>118</v>
      </c>
    </row>
    <row r="2339" spans="2:13" x14ac:dyDescent="0.2">
      <c r="B2339">
        <v>3092</v>
      </c>
      <c r="C2339">
        <v>4</v>
      </c>
      <c r="D2339">
        <v>9.5</v>
      </c>
      <c r="E2339">
        <v>0.16</v>
      </c>
      <c r="F2339">
        <v>0.6</v>
      </c>
      <c r="G2339">
        <v>0.6</v>
      </c>
      <c r="H2339">
        <v>103</v>
      </c>
      <c r="I2339">
        <v>0</v>
      </c>
      <c r="J2339">
        <v>2</v>
      </c>
      <c r="K2339">
        <v>31.6</v>
      </c>
      <c r="L2339" t="s">
        <v>119</v>
      </c>
      <c r="M2339" t="s">
        <v>118</v>
      </c>
    </row>
    <row r="2340" spans="2:13" x14ac:dyDescent="0.2">
      <c r="B2340">
        <v>3092</v>
      </c>
      <c r="C2340">
        <v>4</v>
      </c>
      <c r="D2340">
        <v>12.1</v>
      </c>
      <c r="E2340">
        <v>0.2</v>
      </c>
      <c r="F2340">
        <v>0.6</v>
      </c>
      <c r="G2340">
        <v>0.45</v>
      </c>
      <c r="H2340">
        <v>130</v>
      </c>
      <c r="I2340">
        <v>0</v>
      </c>
      <c r="J2340">
        <v>2</v>
      </c>
      <c r="K2340">
        <v>31.7</v>
      </c>
      <c r="L2340" t="s">
        <v>126</v>
      </c>
      <c r="M2340" t="s">
        <v>116</v>
      </c>
    </row>
    <row r="2341" spans="2:13" x14ac:dyDescent="0.2">
      <c r="B2341">
        <v>3092</v>
      </c>
      <c r="C2341">
        <v>4</v>
      </c>
      <c r="D2341">
        <v>18.100000000000001</v>
      </c>
      <c r="E2341">
        <v>0.3</v>
      </c>
      <c r="F2341">
        <v>0.45</v>
      </c>
      <c r="G2341">
        <v>0.45</v>
      </c>
      <c r="H2341">
        <v>179</v>
      </c>
      <c r="I2341">
        <v>1</v>
      </c>
      <c r="J2341">
        <v>2</v>
      </c>
      <c r="K2341">
        <v>31.9</v>
      </c>
      <c r="L2341" t="s">
        <v>115</v>
      </c>
      <c r="M2341" t="s">
        <v>116</v>
      </c>
    </row>
    <row r="2342" spans="2:13" x14ac:dyDescent="0.2">
      <c r="B2342">
        <v>3092</v>
      </c>
      <c r="C2342">
        <v>5</v>
      </c>
      <c r="D2342">
        <v>0</v>
      </c>
      <c r="E2342">
        <v>0</v>
      </c>
      <c r="F2342">
        <v>0.6</v>
      </c>
      <c r="G2342">
        <v>0.6</v>
      </c>
      <c r="H2342">
        <v>0</v>
      </c>
      <c r="I2342">
        <v>0</v>
      </c>
      <c r="J2342">
        <v>0</v>
      </c>
      <c r="K2342">
        <v>50</v>
      </c>
      <c r="L2342" t="s">
        <v>113</v>
      </c>
      <c r="M2342" t="s">
        <v>114</v>
      </c>
    </row>
    <row r="2343" spans="2:13" x14ac:dyDescent="0.2">
      <c r="B2343">
        <v>3092</v>
      </c>
      <c r="C2343">
        <v>5</v>
      </c>
      <c r="D2343">
        <v>6</v>
      </c>
      <c r="E2343">
        <v>0.1</v>
      </c>
      <c r="F2343">
        <v>0.6</v>
      </c>
      <c r="G2343">
        <v>0.6</v>
      </c>
      <c r="H2343">
        <v>65</v>
      </c>
      <c r="I2343">
        <v>1</v>
      </c>
      <c r="J2343">
        <v>0</v>
      </c>
      <c r="K2343">
        <v>34.299999999999997</v>
      </c>
      <c r="L2343" t="s">
        <v>115</v>
      </c>
      <c r="M2343" t="s">
        <v>116</v>
      </c>
    </row>
    <row r="2344" spans="2:13" x14ac:dyDescent="0.2">
      <c r="B2344">
        <v>3092</v>
      </c>
      <c r="C2344">
        <v>5</v>
      </c>
      <c r="D2344">
        <v>7.4</v>
      </c>
      <c r="E2344">
        <v>0.12</v>
      </c>
      <c r="F2344">
        <v>0.6</v>
      </c>
      <c r="G2344">
        <v>0.6</v>
      </c>
      <c r="H2344">
        <v>80</v>
      </c>
      <c r="I2344">
        <v>2</v>
      </c>
      <c r="J2344">
        <v>1</v>
      </c>
      <c r="K2344">
        <v>34.799999999999997</v>
      </c>
      <c r="L2344" t="s">
        <v>122</v>
      </c>
      <c r="M2344" t="s">
        <v>118</v>
      </c>
    </row>
    <row r="2345" spans="2:13" x14ac:dyDescent="0.2">
      <c r="B2345">
        <v>3092</v>
      </c>
      <c r="C2345">
        <v>5</v>
      </c>
      <c r="D2345">
        <v>12.1</v>
      </c>
      <c r="E2345">
        <v>0.2</v>
      </c>
      <c r="F2345">
        <v>0.6</v>
      </c>
      <c r="G2345">
        <v>0.6</v>
      </c>
      <c r="H2345">
        <v>130</v>
      </c>
      <c r="I2345">
        <v>6</v>
      </c>
      <c r="J2345">
        <v>1</v>
      </c>
      <c r="K2345">
        <v>34.4</v>
      </c>
      <c r="L2345" t="s">
        <v>132</v>
      </c>
      <c r="M2345" t="s">
        <v>116</v>
      </c>
    </row>
    <row r="2346" spans="2:13" x14ac:dyDescent="0.2">
      <c r="B2346">
        <v>3092</v>
      </c>
      <c r="C2346">
        <v>5</v>
      </c>
      <c r="D2346">
        <v>12.9</v>
      </c>
      <c r="E2346">
        <v>0.21</v>
      </c>
      <c r="F2346">
        <v>0.6</v>
      </c>
      <c r="G2346">
        <v>0.6</v>
      </c>
      <c r="H2346">
        <v>139</v>
      </c>
      <c r="I2346">
        <v>7</v>
      </c>
      <c r="J2346">
        <v>2</v>
      </c>
      <c r="K2346">
        <v>34.4</v>
      </c>
      <c r="L2346" t="s">
        <v>127</v>
      </c>
      <c r="M2346" t="s">
        <v>118</v>
      </c>
    </row>
    <row r="2347" spans="2:13" x14ac:dyDescent="0.2">
      <c r="B2347">
        <v>3092</v>
      </c>
      <c r="C2347">
        <v>5</v>
      </c>
      <c r="D2347">
        <v>15.8</v>
      </c>
      <c r="E2347">
        <v>0.26</v>
      </c>
      <c r="F2347">
        <v>0.6</v>
      </c>
      <c r="G2347">
        <v>0.6</v>
      </c>
      <c r="H2347">
        <v>170</v>
      </c>
      <c r="I2347">
        <v>8</v>
      </c>
      <c r="J2347">
        <v>3</v>
      </c>
      <c r="K2347">
        <v>33.5</v>
      </c>
      <c r="L2347" t="s">
        <v>125</v>
      </c>
      <c r="M2347" t="s">
        <v>118</v>
      </c>
    </row>
    <row r="2348" spans="2:13" x14ac:dyDescent="0.2">
      <c r="B2348">
        <v>3092</v>
      </c>
      <c r="C2348">
        <v>5</v>
      </c>
      <c r="D2348">
        <v>18.100000000000001</v>
      </c>
      <c r="E2348">
        <v>0.3</v>
      </c>
      <c r="F2348">
        <v>0.6</v>
      </c>
      <c r="G2348">
        <v>0.45</v>
      </c>
      <c r="H2348">
        <v>195</v>
      </c>
      <c r="I2348">
        <v>9</v>
      </c>
      <c r="J2348">
        <v>3</v>
      </c>
      <c r="K2348">
        <v>46.8</v>
      </c>
      <c r="L2348" t="s">
        <v>120</v>
      </c>
      <c r="M2348" t="s">
        <v>116</v>
      </c>
    </row>
    <row r="2349" spans="2:13" x14ac:dyDescent="0.2">
      <c r="B2349">
        <v>3093</v>
      </c>
      <c r="C2349">
        <v>1</v>
      </c>
      <c r="D2349">
        <v>0</v>
      </c>
      <c r="E2349">
        <v>0</v>
      </c>
      <c r="F2349">
        <v>0.6</v>
      </c>
      <c r="G2349">
        <v>0.6</v>
      </c>
      <c r="H2349">
        <v>0</v>
      </c>
      <c r="I2349">
        <v>0</v>
      </c>
      <c r="J2349">
        <v>0</v>
      </c>
      <c r="K2349">
        <v>50</v>
      </c>
      <c r="L2349" t="s">
        <v>113</v>
      </c>
      <c r="M2349" t="s">
        <v>114</v>
      </c>
    </row>
    <row r="2350" spans="2:13" x14ac:dyDescent="0.2">
      <c r="B2350">
        <v>3093</v>
      </c>
      <c r="C2350">
        <v>1</v>
      </c>
      <c r="D2350">
        <v>6</v>
      </c>
      <c r="E2350">
        <v>0.1</v>
      </c>
      <c r="F2350">
        <v>0.6</v>
      </c>
      <c r="G2350">
        <v>0.6</v>
      </c>
      <c r="H2350">
        <v>65</v>
      </c>
      <c r="I2350">
        <v>0</v>
      </c>
      <c r="J2350">
        <v>0</v>
      </c>
      <c r="K2350">
        <v>37.6</v>
      </c>
      <c r="L2350" t="s">
        <v>115</v>
      </c>
      <c r="M2350" t="s">
        <v>116</v>
      </c>
    </row>
    <row r="2351" spans="2:13" x14ac:dyDescent="0.2">
      <c r="B2351">
        <v>3093</v>
      </c>
      <c r="C2351">
        <v>1</v>
      </c>
      <c r="D2351">
        <v>9.6999999999999993</v>
      </c>
      <c r="E2351">
        <v>0.16</v>
      </c>
      <c r="F2351">
        <v>0.6</v>
      </c>
      <c r="G2351">
        <v>0.6</v>
      </c>
      <c r="H2351">
        <v>105</v>
      </c>
      <c r="I2351">
        <v>4</v>
      </c>
      <c r="J2351">
        <v>1</v>
      </c>
      <c r="K2351">
        <v>72</v>
      </c>
      <c r="L2351" t="s">
        <v>122</v>
      </c>
      <c r="M2351" t="s">
        <v>118</v>
      </c>
    </row>
    <row r="2352" spans="2:13" x14ac:dyDescent="0.2">
      <c r="B2352">
        <v>3093</v>
      </c>
      <c r="C2352">
        <v>1</v>
      </c>
      <c r="D2352">
        <v>11.9</v>
      </c>
      <c r="E2352">
        <v>0.2</v>
      </c>
      <c r="F2352">
        <v>0.6</v>
      </c>
      <c r="G2352">
        <v>0.6</v>
      </c>
      <c r="H2352">
        <v>129</v>
      </c>
      <c r="I2352">
        <v>5</v>
      </c>
      <c r="J2352">
        <v>2</v>
      </c>
      <c r="K2352">
        <v>68.900000000000006</v>
      </c>
      <c r="L2352" t="s">
        <v>123</v>
      </c>
      <c r="M2352" t="s">
        <v>118</v>
      </c>
    </row>
    <row r="2353" spans="2:13" x14ac:dyDescent="0.2">
      <c r="B2353">
        <v>3093</v>
      </c>
      <c r="C2353">
        <v>1</v>
      </c>
      <c r="D2353">
        <v>12.1</v>
      </c>
      <c r="E2353">
        <v>0.2</v>
      </c>
      <c r="F2353">
        <v>0.6</v>
      </c>
      <c r="G2353">
        <v>0.6</v>
      </c>
      <c r="H2353">
        <v>130</v>
      </c>
      <c r="I2353">
        <v>6</v>
      </c>
      <c r="J2353">
        <v>2</v>
      </c>
      <c r="K2353">
        <v>68.8</v>
      </c>
      <c r="L2353" t="s">
        <v>146</v>
      </c>
      <c r="M2353" t="s">
        <v>116</v>
      </c>
    </row>
    <row r="2354" spans="2:13" x14ac:dyDescent="0.2">
      <c r="B2354">
        <v>3093</v>
      </c>
      <c r="C2354">
        <v>1</v>
      </c>
      <c r="D2354">
        <v>18.100000000000001</v>
      </c>
      <c r="E2354">
        <v>0.3</v>
      </c>
      <c r="F2354">
        <v>0.6</v>
      </c>
      <c r="G2354">
        <v>0.6</v>
      </c>
      <c r="H2354">
        <v>195</v>
      </c>
      <c r="I2354">
        <v>8</v>
      </c>
      <c r="J2354">
        <v>2</v>
      </c>
      <c r="K2354">
        <v>69.3</v>
      </c>
      <c r="L2354" t="s">
        <v>115</v>
      </c>
      <c r="M2354" t="s">
        <v>116</v>
      </c>
    </row>
    <row r="2355" spans="2:13" x14ac:dyDescent="0.2">
      <c r="B2355">
        <v>3093</v>
      </c>
      <c r="C2355">
        <v>2</v>
      </c>
      <c r="D2355">
        <v>0</v>
      </c>
      <c r="E2355">
        <v>0</v>
      </c>
      <c r="F2355">
        <v>0.6</v>
      </c>
      <c r="G2355">
        <v>0.6</v>
      </c>
      <c r="H2355">
        <v>0</v>
      </c>
      <c r="I2355">
        <v>0</v>
      </c>
      <c r="J2355">
        <v>0</v>
      </c>
      <c r="K2355">
        <v>50</v>
      </c>
      <c r="L2355" t="s">
        <v>113</v>
      </c>
      <c r="M2355" t="s">
        <v>114</v>
      </c>
    </row>
    <row r="2356" spans="2:13" x14ac:dyDescent="0.2">
      <c r="B2356">
        <v>3093</v>
      </c>
      <c r="C2356">
        <v>2</v>
      </c>
      <c r="D2356">
        <v>6</v>
      </c>
      <c r="E2356">
        <v>0.1</v>
      </c>
      <c r="F2356">
        <v>0.6</v>
      </c>
      <c r="G2356">
        <v>0.6</v>
      </c>
      <c r="H2356">
        <v>65</v>
      </c>
      <c r="I2356">
        <v>0</v>
      </c>
      <c r="J2356">
        <v>0</v>
      </c>
      <c r="K2356">
        <v>40.1</v>
      </c>
      <c r="L2356" t="s">
        <v>115</v>
      </c>
      <c r="M2356" t="s">
        <v>116</v>
      </c>
    </row>
    <row r="2357" spans="2:13" x14ac:dyDescent="0.2">
      <c r="B2357">
        <v>3093</v>
      </c>
      <c r="C2357">
        <v>2</v>
      </c>
      <c r="D2357">
        <v>7</v>
      </c>
      <c r="E2357">
        <v>0.12</v>
      </c>
      <c r="F2357">
        <v>0.6</v>
      </c>
      <c r="G2357">
        <v>0.6</v>
      </c>
      <c r="H2357">
        <v>76</v>
      </c>
      <c r="I2357">
        <v>0</v>
      </c>
      <c r="J2357">
        <v>1</v>
      </c>
      <c r="K2357">
        <v>40.799999999999997</v>
      </c>
      <c r="L2357" t="s">
        <v>117</v>
      </c>
      <c r="M2357" t="s">
        <v>118</v>
      </c>
    </row>
    <row r="2358" spans="2:13" x14ac:dyDescent="0.2">
      <c r="B2358">
        <v>3093</v>
      </c>
      <c r="C2358">
        <v>2</v>
      </c>
      <c r="D2358">
        <v>10.9</v>
      </c>
      <c r="E2358">
        <v>0.18</v>
      </c>
      <c r="F2358">
        <v>0.6</v>
      </c>
      <c r="G2358">
        <v>0.6</v>
      </c>
      <c r="H2358">
        <v>118</v>
      </c>
      <c r="I2358">
        <v>6</v>
      </c>
      <c r="J2358">
        <v>2</v>
      </c>
      <c r="K2358">
        <v>41.7</v>
      </c>
      <c r="L2358" t="s">
        <v>119</v>
      </c>
      <c r="M2358" t="s">
        <v>118</v>
      </c>
    </row>
    <row r="2359" spans="2:13" x14ac:dyDescent="0.2">
      <c r="B2359">
        <v>3093</v>
      </c>
      <c r="C2359">
        <v>2</v>
      </c>
      <c r="D2359">
        <v>12.1</v>
      </c>
      <c r="E2359">
        <v>0.2</v>
      </c>
      <c r="F2359">
        <v>0.6</v>
      </c>
      <c r="G2359">
        <v>0.45</v>
      </c>
      <c r="H2359">
        <v>130</v>
      </c>
      <c r="I2359">
        <v>8</v>
      </c>
      <c r="J2359">
        <v>2</v>
      </c>
      <c r="K2359">
        <v>42.1</v>
      </c>
      <c r="L2359" t="s">
        <v>126</v>
      </c>
      <c r="M2359" t="s">
        <v>116</v>
      </c>
    </row>
    <row r="2360" spans="2:13" x14ac:dyDescent="0.2">
      <c r="B2360">
        <v>3093</v>
      </c>
      <c r="C2360">
        <v>2</v>
      </c>
      <c r="D2360">
        <v>18.100000000000001</v>
      </c>
      <c r="E2360">
        <v>0.3</v>
      </c>
      <c r="F2360">
        <v>0.45</v>
      </c>
      <c r="G2360">
        <v>0.45</v>
      </c>
      <c r="H2360">
        <v>179</v>
      </c>
      <c r="I2360">
        <v>10</v>
      </c>
      <c r="J2360">
        <v>2</v>
      </c>
      <c r="K2360">
        <v>41</v>
      </c>
      <c r="L2360" t="s">
        <v>115</v>
      </c>
      <c r="M2360" t="s">
        <v>116</v>
      </c>
    </row>
    <row r="2361" spans="2:13" x14ac:dyDescent="0.2">
      <c r="B2361">
        <v>3093</v>
      </c>
      <c r="C2361">
        <v>3</v>
      </c>
      <c r="D2361">
        <v>0</v>
      </c>
      <c r="E2361">
        <v>0</v>
      </c>
      <c r="F2361">
        <v>0.6</v>
      </c>
      <c r="G2361">
        <v>0.6</v>
      </c>
      <c r="H2361">
        <v>0</v>
      </c>
      <c r="I2361">
        <v>0</v>
      </c>
      <c r="J2361">
        <v>0</v>
      </c>
      <c r="K2361">
        <v>50</v>
      </c>
      <c r="L2361" t="s">
        <v>113</v>
      </c>
      <c r="M2361" t="s">
        <v>114</v>
      </c>
    </row>
    <row r="2362" spans="2:13" x14ac:dyDescent="0.2">
      <c r="B2362">
        <v>3093</v>
      </c>
      <c r="C2362">
        <v>3</v>
      </c>
      <c r="D2362">
        <v>5.6</v>
      </c>
      <c r="E2362">
        <v>0.09</v>
      </c>
      <c r="F2362">
        <v>0.6</v>
      </c>
      <c r="G2362">
        <v>0.6</v>
      </c>
      <c r="H2362">
        <v>60</v>
      </c>
      <c r="I2362">
        <v>0</v>
      </c>
      <c r="J2362">
        <v>1</v>
      </c>
      <c r="K2362">
        <v>38.799999999999997</v>
      </c>
      <c r="L2362" t="s">
        <v>122</v>
      </c>
      <c r="M2362" t="s">
        <v>118</v>
      </c>
    </row>
    <row r="2363" spans="2:13" x14ac:dyDescent="0.2">
      <c r="B2363">
        <v>3093</v>
      </c>
      <c r="C2363">
        <v>3</v>
      </c>
      <c r="D2363">
        <v>6</v>
      </c>
      <c r="E2363">
        <v>0.1</v>
      </c>
      <c r="F2363">
        <v>0.6</v>
      </c>
      <c r="G2363">
        <v>0.6</v>
      </c>
      <c r="H2363">
        <v>65</v>
      </c>
      <c r="I2363">
        <v>0</v>
      </c>
      <c r="J2363">
        <v>1</v>
      </c>
      <c r="K2363">
        <v>39.299999999999997</v>
      </c>
      <c r="L2363" t="s">
        <v>132</v>
      </c>
      <c r="M2363" t="s">
        <v>116</v>
      </c>
    </row>
    <row r="2364" spans="2:13" x14ac:dyDescent="0.2">
      <c r="B2364">
        <v>3093</v>
      </c>
      <c r="C2364">
        <v>3</v>
      </c>
      <c r="D2364">
        <v>9.1</v>
      </c>
      <c r="E2364">
        <v>0.15</v>
      </c>
      <c r="F2364">
        <v>0.6</v>
      </c>
      <c r="G2364">
        <v>0.6</v>
      </c>
      <c r="H2364">
        <v>98</v>
      </c>
      <c r="I2364">
        <v>1</v>
      </c>
      <c r="J2364">
        <v>2</v>
      </c>
      <c r="K2364">
        <v>56.8</v>
      </c>
      <c r="L2364" t="s">
        <v>119</v>
      </c>
      <c r="M2364" t="s">
        <v>118</v>
      </c>
    </row>
    <row r="2365" spans="2:13" x14ac:dyDescent="0.2">
      <c r="B2365">
        <v>3093</v>
      </c>
      <c r="C2365">
        <v>3</v>
      </c>
      <c r="D2365">
        <v>12.1</v>
      </c>
      <c r="E2365">
        <v>0.2</v>
      </c>
      <c r="F2365">
        <v>0.6</v>
      </c>
      <c r="G2365">
        <v>0.6</v>
      </c>
      <c r="H2365">
        <v>130</v>
      </c>
      <c r="I2365">
        <v>5</v>
      </c>
      <c r="J2365">
        <v>2</v>
      </c>
      <c r="K2365">
        <v>56.9</v>
      </c>
      <c r="L2365" t="s">
        <v>121</v>
      </c>
      <c r="M2365" t="s">
        <v>116</v>
      </c>
    </row>
    <row r="2366" spans="2:13" x14ac:dyDescent="0.2">
      <c r="B2366">
        <v>3093</v>
      </c>
      <c r="C2366">
        <v>3</v>
      </c>
      <c r="D2366">
        <v>17.100000000000001</v>
      </c>
      <c r="E2366">
        <v>0.28000000000000003</v>
      </c>
      <c r="F2366">
        <v>0.6</v>
      </c>
      <c r="G2366">
        <v>0.6</v>
      </c>
      <c r="H2366">
        <v>184</v>
      </c>
      <c r="I2366">
        <v>9</v>
      </c>
      <c r="J2366">
        <v>3</v>
      </c>
      <c r="K2366">
        <v>61.1</v>
      </c>
      <c r="L2366" t="s">
        <v>125</v>
      </c>
      <c r="M2366" t="s">
        <v>118</v>
      </c>
    </row>
    <row r="2367" spans="2:13" x14ac:dyDescent="0.2">
      <c r="B2367">
        <v>3093</v>
      </c>
      <c r="C2367">
        <v>3</v>
      </c>
      <c r="D2367">
        <v>18.100000000000001</v>
      </c>
      <c r="E2367">
        <v>0.3</v>
      </c>
      <c r="F2367">
        <v>0.6</v>
      </c>
      <c r="G2367">
        <v>0.6</v>
      </c>
      <c r="H2367">
        <v>195</v>
      </c>
      <c r="I2367">
        <v>10</v>
      </c>
      <c r="J2367">
        <v>3</v>
      </c>
      <c r="K2367">
        <v>61</v>
      </c>
      <c r="L2367" t="s">
        <v>121</v>
      </c>
      <c r="M2367" t="s">
        <v>116</v>
      </c>
    </row>
    <row r="2368" spans="2:13" x14ac:dyDescent="0.2">
      <c r="B2368">
        <v>3093</v>
      </c>
      <c r="C2368">
        <v>4</v>
      </c>
      <c r="D2368">
        <v>0</v>
      </c>
      <c r="E2368">
        <v>0</v>
      </c>
      <c r="F2368">
        <v>0.6</v>
      </c>
      <c r="G2368">
        <v>0.6</v>
      </c>
      <c r="H2368">
        <v>0</v>
      </c>
      <c r="I2368">
        <v>0</v>
      </c>
      <c r="J2368">
        <v>0</v>
      </c>
      <c r="K2368">
        <v>50</v>
      </c>
      <c r="L2368" t="s">
        <v>113</v>
      </c>
      <c r="M2368" t="s">
        <v>114</v>
      </c>
    </row>
    <row r="2369" spans="2:13" x14ac:dyDescent="0.2">
      <c r="B2369">
        <v>3093</v>
      </c>
      <c r="C2369">
        <v>4</v>
      </c>
      <c r="D2369">
        <v>6</v>
      </c>
      <c r="E2369">
        <v>0.1</v>
      </c>
      <c r="F2369">
        <v>0.6</v>
      </c>
      <c r="G2369">
        <v>0.6</v>
      </c>
      <c r="H2369">
        <v>65</v>
      </c>
      <c r="I2369">
        <v>0</v>
      </c>
      <c r="J2369">
        <v>0</v>
      </c>
      <c r="K2369">
        <v>87.2</v>
      </c>
      <c r="L2369" t="s">
        <v>115</v>
      </c>
      <c r="M2369" t="s">
        <v>116</v>
      </c>
    </row>
    <row r="2370" spans="2:13" x14ac:dyDescent="0.2">
      <c r="B2370">
        <v>3093</v>
      </c>
      <c r="C2370">
        <v>4</v>
      </c>
      <c r="D2370">
        <v>12.1</v>
      </c>
      <c r="E2370">
        <v>0.2</v>
      </c>
      <c r="F2370">
        <v>0.6</v>
      </c>
      <c r="G2370">
        <v>0.7</v>
      </c>
      <c r="H2370">
        <v>130</v>
      </c>
      <c r="I2370">
        <v>3</v>
      </c>
      <c r="J2370">
        <v>0</v>
      </c>
      <c r="K2370">
        <v>88.6</v>
      </c>
      <c r="L2370" t="s">
        <v>128</v>
      </c>
      <c r="M2370" t="s">
        <v>116</v>
      </c>
    </row>
    <row r="2371" spans="2:13" x14ac:dyDescent="0.2">
      <c r="B2371">
        <v>3093</v>
      </c>
      <c r="C2371">
        <v>5</v>
      </c>
      <c r="D2371">
        <v>0</v>
      </c>
      <c r="E2371">
        <v>0</v>
      </c>
      <c r="F2371">
        <v>0.6</v>
      </c>
      <c r="G2371">
        <v>0.6</v>
      </c>
      <c r="H2371">
        <v>0</v>
      </c>
      <c r="I2371">
        <v>0</v>
      </c>
      <c r="J2371">
        <v>0</v>
      </c>
      <c r="K2371">
        <v>50</v>
      </c>
      <c r="L2371" t="s">
        <v>113</v>
      </c>
      <c r="M2371" t="s">
        <v>114</v>
      </c>
    </row>
    <row r="2372" spans="2:13" x14ac:dyDescent="0.2">
      <c r="B2372">
        <v>3093</v>
      </c>
      <c r="C2372">
        <v>5</v>
      </c>
      <c r="D2372">
        <v>6</v>
      </c>
      <c r="E2372">
        <v>0.1</v>
      </c>
      <c r="F2372">
        <v>0.6</v>
      </c>
      <c r="G2372">
        <v>0.6</v>
      </c>
      <c r="H2372">
        <v>65</v>
      </c>
      <c r="I2372">
        <v>0</v>
      </c>
      <c r="J2372">
        <v>0</v>
      </c>
      <c r="K2372">
        <v>91.3</v>
      </c>
      <c r="L2372" t="s">
        <v>115</v>
      </c>
      <c r="M2372" t="s">
        <v>116</v>
      </c>
    </row>
    <row r="2373" spans="2:13" x14ac:dyDescent="0.2">
      <c r="B2373">
        <v>3093</v>
      </c>
      <c r="C2373">
        <v>5</v>
      </c>
      <c r="D2373">
        <v>12.1</v>
      </c>
      <c r="E2373">
        <v>0.2</v>
      </c>
      <c r="F2373">
        <v>0.6</v>
      </c>
      <c r="G2373">
        <v>0.6</v>
      </c>
      <c r="H2373">
        <v>130</v>
      </c>
      <c r="I2373">
        <v>3</v>
      </c>
      <c r="J2373">
        <v>0</v>
      </c>
      <c r="K2373">
        <v>89.8</v>
      </c>
      <c r="L2373" t="s">
        <v>115</v>
      </c>
      <c r="M2373" t="s">
        <v>116</v>
      </c>
    </row>
    <row r="2374" spans="2:13" x14ac:dyDescent="0.2">
      <c r="B2374">
        <v>3093</v>
      </c>
      <c r="C2374">
        <v>5</v>
      </c>
      <c r="D2374">
        <v>17.7</v>
      </c>
      <c r="E2374">
        <v>0.28999999999999998</v>
      </c>
      <c r="F2374">
        <v>0.6</v>
      </c>
      <c r="G2374">
        <v>0.6</v>
      </c>
      <c r="H2374">
        <v>191</v>
      </c>
      <c r="I2374">
        <v>4</v>
      </c>
      <c r="J2374">
        <v>1</v>
      </c>
      <c r="K2374">
        <v>78.3</v>
      </c>
      <c r="L2374" t="s">
        <v>117</v>
      </c>
      <c r="M2374" t="s">
        <v>118</v>
      </c>
    </row>
    <row r="2375" spans="2:13" x14ac:dyDescent="0.2">
      <c r="B2375">
        <v>3093</v>
      </c>
      <c r="C2375">
        <v>5</v>
      </c>
      <c r="D2375">
        <v>18.100000000000001</v>
      </c>
      <c r="E2375">
        <v>0.3</v>
      </c>
      <c r="F2375">
        <v>0.6</v>
      </c>
      <c r="G2375">
        <v>0.6</v>
      </c>
      <c r="H2375">
        <v>195</v>
      </c>
      <c r="I2375">
        <v>4</v>
      </c>
      <c r="J2375">
        <v>1</v>
      </c>
      <c r="K2375">
        <v>78.400000000000006</v>
      </c>
      <c r="L2375" t="s">
        <v>121</v>
      </c>
      <c r="M2375" t="s">
        <v>116</v>
      </c>
    </row>
    <row r="2376" spans="2:13" x14ac:dyDescent="0.2">
      <c r="B2376">
        <v>3094</v>
      </c>
      <c r="C2376">
        <v>1</v>
      </c>
      <c r="D2376">
        <v>0</v>
      </c>
      <c r="E2376">
        <v>0</v>
      </c>
      <c r="F2376">
        <v>0.6</v>
      </c>
      <c r="G2376">
        <v>0.6</v>
      </c>
      <c r="H2376">
        <v>0</v>
      </c>
      <c r="I2376">
        <v>0</v>
      </c>
      <c r="J2376">
        <v>0</v>
      </c>
      <c r="K2376">
        <v>50</v>
      </c>
      <c r="L2376" t="s">
        <v>113</v>
      </c>
      <c r="M2376" t="s">
        <v>114</v>
      </c>
    </row>
    <row r="2377" spans="2:13" x14ac:dyDescent="0.2">
      <c r="B2377">
        <v>3094</v>
      </c>
      <c r="C2377">
        <v>1</v>
      </c>
      <c r="D2377">
        <v>6</v>
      </c>
      <c r="E2377">
        <v>0.1</v>
      </c>
      <c r="F2377">
        <v>0.6</v>
      </c>
      <c r="G2377">
        <v>0.6</v>
      </c>
      <c r="H2377">
        <v>65</v>
      </c>
      <c r="I2377">
        <v>0</v>
      </c>
      <c r="J2377">
        <v>0</v>
      </c>
      <c r="K2377">
        <v>28.5</v>
      </c>
      <c r="L2377" t="s">
        <v>115</v>
      </c>
      <c r="M2377" t="s">
        <v>116</v>
      </c>
    </row>
    <row r="2378" spans="2:13" x14ac:dyDescent="0.2">
      <c r="B2378">
        <v>3094</v>
      </c>
      <c r="C2378">
        <v>1</v>
      </c>
      <c r="D2378">
        <v>7.6</v>
      </c>
      <c r="E2378">
        <v>0.13</v>
      </c>
      <c r="F2378">
        <v>0.6</v>
      </c>
      <c r="G2378">
        <v>0.6</v>
      </c>
      <c r="H2378">
        <v>82</v>
      </c>
      <c r="I2378">
        <v>1</v>
      </c>
      <c r="J2378">
        <v>1</v>
      </c>
      <c r="K2378">
        <v>53.6</v>
      </c>
      <c r="L2378" t="s">
        <v>117</v>
      </c>
      <c r="M2378" t="s">
        <v>118</v>
      </c>
    </row>
    <row r="2379" spans="2:13" x14ac:dyDescent="0.2">
      <c r="B2379">
        <v>3094</v>
      </c>
      <c r="C2379">
        <v>1</v>
      </c>
      <c r="D2379">
        <v>9.6</v>
      </c>
      <c r="E2379">
        <v>0.16</v>
      </c>
      <c r="F2379">
        <v>0.6</v>
      </c>
      <c r="G2379">
        <v>0.6</v>
      </c>
      <c r="H2379">
        <v>103</v>
      </c>
      <c r="I2379">
        <v>2</v>
      </c>
      <c r="J2379">
        <v>2</v>
      </c>
      <c r="K2379">
        <v>46.2</v>
      </c>
      <c r="L2379" t="s">
        <v>119</v>
      </c>
      <c r="M2379" t="s">
        <v>118</v>
      </c>
    </row>
    <row r="2380" spans="2:13" x14ac:dyDescent="0.2">
      <c r="B2380">
        <v>3094</v>
      </c>
      <c r="C2380">
        <v>1</v>
      </c>
      <c r="D2380">
        <v>12.1</v>
      </c>
      <c r="E2380">
        <v>0.2</v>
      </c>
      <c r="F2380">
        <v>0.6</v>
      </c>
      <c r="G2380">
        <v>0.45</v>
      </c>
      <c r="H2380">
        <v>130</v>
      </c>
      <c r="I2380">
        <v>2</v>
      </c>
      <c r="J2380">
        <v>2</v>
      </c>
      <c r="K2380">
        <v>45.9</v>
      </c>
      <c r="L2380" t="s">
        <v>120</v>
      </c>
      <c r="M2380" t="s">
        <v>116</v>
      </c>
    </row>
    <row r="2381" spans="2:13" x14ac:dyDescent="0.2">
      <c r="B2381">
        <v>3094</v>
      </c>
      <c r="C2381">
        <v>1</v>
      </c>
      <c r="D2381">
        <v>15.5</v>
      </c>
      <c r="E2381">
        <v>0.26</v>
      </c>
      <c r="F2381">
        <v>0.45</v>
      </c>
      <c r="G2381">
        <v>0.45</v>
      </c>
      <c r="H2381">
        <v>158</v>
      </c>
      <c r="I2381">
        <v>3</v>
      </c>
      <c r="J2381">
        <v>3</v>
      </c>
      <c r="K2381">
        <v>40.200000000000003</v>
      </c>
      <c r="L2381" t="s">
        <v>135</v>
      </c>
      <c r="M2381" t="s">
        <v>118</v>
      </c>
    </row>
    <row r="2382" spans="2:13" x14ac:dyDescent="0.2">
      <c r="B2382">
        <v>3094</v>
      </c>
      <c r="C2382">
        <v>1</v>
      </c>
      <c r="D2382">
        <v>18.100000000000001</v>
      </c>
      <c r="E2382">
        <v>0.3</v>
      </c>
      <c r="F2382">
        <v>0.45</v>
      </c>
      <c r="G2382">
        <v>0.45</v>
      </c>
      <c r="H2382">
        <v>179</v>
      </c>
      <c r="I2382">
        <v>4</v>
      </c>
      <c r="J2382">
        <v>3</v>
      </c>
      <c r="K2382">
        <v>40.299999999999997</v>
      </c>
      <c r="L2382" t="s">
        <v>132</v>
      </c>
      <c r="M2382" t="s">
        <v>116</v>
      </c>
    </row>
    <row r="2383" spans="2:13" x14ac:dyDescent="0.2">
      <c r="B2383">
        <v>3094</v>
      </c>
      <c r="C2383">
        <v>2</v>
      </c>
      <c r="D2383">
        <v>0</v>
      </c>
      <c r="E2383">
        <v>0</v>
      </c>
      <c r="F2383">
        <v>0.6</v>
      </c>
      <c r="G2383">
        <v>0.6</v>
      </c>
      <c r="H2383">
        <v>0</v>
      </c>
      <c r="I2383">
        <v>0</v>
      </c>
      <c r="J2383">
        <v>0</v>
      </c>
      <c r="K2383">
        <v>50</v>
      </c>
      <c r="L2383" t="s">
        <v>113</v>
      </c>
      <c r="M2383" t="s">
        <v>114</v>
      </c>
    </row>
    <row r="2384" spans="2:13" x14ac:dyDescent="0.2">
      <c r="B2384">
        <v>3094</v>
      </c>
      <c r="C2384">
        <v>2</v>
      </c>
      <c r="D2384">
        <v>6</v>
      </c>
      <c r="E2384">
        <v>0.1</v>
      </c>
      <c r="F2384">
        <v>0.6</v>
      </c>
      <c r="G2384">
        <v>0.6</v>
      </c>
      <c r="H2384">
        <v>65</v>
      </c>
      <c r="I2384">
        <v>0</v>
      </c>
      <c r="J2384">
        <v>0</v>
      </c>
      <c r="K2384">
        <v>32.200000000000003</v>
      </c>
      <c r="L2384" t="s">
        <v>115</v>
      </c>
      <c r="M2384" t="s">
        <v>116</v>
      </c>
    </row>
    <row r="2385" spans="2:13" x14ac:dyDescent="0.2">
      <c r="B2385">
        <v>3094</v>
      </c>
      <c r="C2385">
        <v>2</v>
      </c>
      <c r="D2385">
        <v>10.6</v>
      </c>
      <c r="E2385">
        <v>0.18</v>
      </c>
      <c r="F2385">
        <v>0.6</v>
      </c>
      <c r="G2385">
        <v>0.6</v>
      </c>
      <c r="H2385">
        <v>114</v>
      </c>
      <c r="I2385">
        <v>2</v>
      </c>
      <c r="J2385">
        <v>1</v>
      </c>
      <c r="K2385">
        <v>57.5</v>
      </c>
      <c r="L2385" t="s">
        <v>129</v>
      </c>
      <c r="M2385" t="s">
        <v>118</v>
      </c>
    </row>
    <row r="2386" spans="2:13" x14ac:dyDescent="0.2">
      <c r="B2386">
        <v>3094</v>
      </c>
      <c r="C2386">
        <v>2</v>
      </c>
      <c r="D2386">
        <v>12.1</v>
      </c>
      <c r="E2386">
        <v>0.2</v>
      </c>
      <c r="F2386">
        <v>0.6</v>
      </c>
      <c r="G2386">
        <v>0.6</v>
      </c>
      <c r="H2386">
        <v>130</v>
      </c>
      <c r="I2386">
        <v>3</v>
      </c>
      <c r="J2386">
        <v>1</v>
      </c>
      <c r="K2386">
        <v>55.9</v>
      </c>
      <c r="L2386" t="s">
        <v>121</v>
      </c>
      <c r="M2386" t="s">
        <v>116</v>
      </c>
    </row>
    <row r="2387" spans="2:13" x14ac:dyDescent="0.2">
      <c r="B2387">
        <v>3094</v>
      </c>
      <c r="C2387">
        <v>2</v>
      </c>
      <c r="D2387">
        <v>15.1</v>
      </c>
      <c r="E2387">
        <v>0.25</v>
      </c>
      <c r="F2387">
        <v>0.6</v>
      </c>
      <c r="G2387">
        <v>0.6</v>
      </c>
      <c r="H2387">
        <v>163</v>
      </c>
      <c r="I2387">
        <v>5</v>
      </c>
      <c r="J2387">
        <v>2</v>
      </c>
      <c r="K2387">
        <v>47.8</v>
      </c>
      <c r="L2387" t="s">
        <v>119</v>
      </c>
      <c r="M2387" t="s">
        <v>118</v>
      </c>
    </row>
    <row r="2388" spans="2:13" x14ac:dyDescent="0.2">
      <c r="B2388">
        <v>3094</v>
      </c>
      <c r="C2388">
        <v>2</v>
      </c>
      <c r="D2388">
        <v>18.100000000000001</v>
      </c>
      <c r="E2388">
        <v>0.3</v>
      </c>
      <c r="F2388">
        <v>0.6</v>
      </c>
      <c r="G2388">
        <v>0.6</v>
      </c>
      <c r="H2388">
        <v>195</v>
      </c>
      <c r="I2388">
        <v>6</v>
      </c>
      <c r="J2388">
        <v>2</v>
      </c>
      <c r="K2388">
        <v>57.3</v>
      </c>
      <c r="L2388" t="s">
        <v>121</v>
      </c>
      <c r="M2388" t="s">
        <v>116</v>
      </c>
    </row>
    <row r="2389" spans="2:13" x14ac:dyDescent="0.2">
      <c r="B2389">
        <v>3094</v>
      </c>
      <c r="C2389">
        <v>2</v>
      </c>
      <c r="D2389">
        <v>18.3</v>
      </c>
      <c r="E2389">
        <v>0.3</v>
      </c>
      <c r="F2389">
        <v>0.6</v>
      </c>
      <c r="G2389">
        <v>0.6</v>
      </c>
      <c r="H2389">
        <v>197</v>
      </c>
      <c r="I2389">
        <v>6</v>
      </c>
      <c r="J2389">
        <v>3</v>
      </c>
      <c r="K2389">
        <v>52.1</v>
      </c>
      <c r="L2389" t="s">
        <v>135</v>
      </c>
      <c r="M2389" t="s">
        <v>118</v>
      </c>
    </row>
    <row r="2390" spans="2:13" x14ac:dyDescent="0.2">
      <c r="B2390">
        <v>3094</v>
      </c>
      <c r="C2390">
        <v>3</v>
      </c>
      <c r="D2390">
        <v>0</v>
      </c>
      <c r="E2390">
        <v>0</v>
      </c>
      <c r="F2390">
        <v>0.6</v>
      </c>
      <c r="G2390">
        <v>0.6</v>
      </c>
      <c r="H2390">
        <v>0</v>
      </c>
      <c r="I2390">
        <v>0</v>
      </c>
      <c r="J2390">
        <v>0</v>
      </c>
      <c r="K2390">
        <v>50</v>
      </c>
      <c r="L2390" t="s">
        <v>113</v>
      </c>
      <c r="M2390" t="s">
        <v>114</v>
      </c>
    </row>
    <row r="2391" spans="2:13" x14ac:dyDescent="0.2">
      <c r="B2391">
        <v>3094</v>
      </c>
      <c r="C2391">
        <v>3</v>
      </c>
      <c r="D2391">
        <v>6</v>
      </c>
      <c r="E2391">
        <v>0.1</v>
      </c>
      <c r="F2391">
        <v>0.6</v>
      </c>
      <c r="G2391">
        <v>0.6</v>
      </c>
      <c r="H2391">
        <v>65</v>
      </c>
      <c r="I2391">
        <v>0</v>
      </c>
      <c r="J2391">
        <v>0</v>
      </c>
      <c r="K2391">
        <v>37.6</v>
      </c>
      <c r="L2391" t="s">
        <v>115</v>
      </c>
      <c r="M2391" t="s">
        <v>116</v>
      </c>
    </row>
    <row r="2392" spans="2:13" x14ac:dyDescent="0.2">
      <c r="B2392">
        <v>3094</v>
      </c>
      <c r="C2392">
        <v>3</v>
      </c>
      <c r="D2392">
        <v>6.3</v>
      </c>
      <c r="E2392">
        <v>0.11</v>
      </c>
      <c r="F2392">
        <v>0.6</v>
      </c>
      <c r="G2392">
        <v>0.6</v>
      </c>
      <c r="H2392">
        <v>69</v>
      </c>
      <c r="I2392">
        <v>0</v>
      </c>
      <c r="J2392">
        <v>1</v>
      </c>
      <c r="K2392">
        <v>37.4</v>
      </c>
      <c r="L2392" t="s">
        <v>117</v>
      </c>
      <c r="M2392" t="s">
        <v>118</v>
      </c>
    </row>
    <row r="2393" spans="2:13" x14ac:dyDescent="0.2">
      <c r="B2393">
        <v>3094</v>
      </c>
      <c r="C2393">
        <v>3</v>
      </c>
      <c r="D2393">
        <v>10.3</v>
      </c>
      <c r="E2393">
        <v>0.17</v>
      </c>
      <c r="F2393">
        <v>0.6</v>
      </c>
      <c r="G2393">
        <v>0.6</v>
      </c>
      <c r="H2393">
        <v>111</v>
      </c>
      <c r="I2393">
        <v>2</v>
      </c>
      <c r="J2393">
        <v>2</v>
      </c>
      <c r="K2393">
        <v>36.1</v>
      </c>
      <c r="L2393" t="s">
        <v>119</v>
      </c>
      <c r="M2393" t="s">
        <v>118</v>
      </c>
    </row>
    <row r="2394" spans="2:13" x14ac:dyDescent="0.2">
      <c r="B2394">
        <v>3094</v>
      </c>
      <c r="C2394">
        <v>3</v>
      </c>
      <c r="D2394">
        <v>12.1</v>
      </c>
      <c r="E2394">
        <v>0.2</v>
      </c>
      <c r="F2394">
        <v>0.6</v>
      </c>
      <c r="G2394">
        <v>0.45</v>
      </c>
      <c r="H2394">
        <v>130</v>
      </c>
      <c r="I2394">
        <v>4</v>
      </c>
      <c r="J2394">
        <v>2</v>
      </c>
      <c r="K2394">
        <v>35.5</v>
      </c>
      <c r="L2394" t="s">
        <v>126</v>
      </c>
      <c r="M2394" t="s">
        <v>116</v>
      </c>
    </row>
    <row r="2395" spans="2:13" x14ac:dyDescent="0.2">
      <c r="B2395">
        <v>3094</v>
      </c>
      <c r="C2395">
        <v>3</v>
      </c>
      <c r="D2395">
        <v>18.100000000000001</v>
      </c>
      <c r="E2395">
        <v>0.3</v>
      </c>
      <c r="F2395">
        <v>0.45</v>
      </c>
      <c r="G2395">
        <v>0.55000000000000004</v>
      </c>
      <c r="H2395">
        <v>179</v>
      </c>
      <c r="I2395">
        <v>5</v>
      </c>
      <c r="J2395">
        <v>2</v>
      </c>
      <c r="K2395">
        <v>58.7</v>
      </c>
      <c r="L2395" t="s">
        <v>128</v>
      </c>
      <c r="M2395" t="s">
        <v>116</v>
      </c>
    </row>
    <row r="2396" spans="2:13" x14ac:dyDescent="0.2">
      <c r="B2396">
        <v>3094</v>
      </c>
      <c r="C2396">
        <v>4</v>
      </c>
      <c r="D2396">
        <v>0</v>
      </c>
      <c r="E2396">
        <v>0</v>
      </c>
      <c r="F2396">
        <v>0.6</v>
      </c>
      <c r="G2396">
        <v>0.6</v>
      </c>
      <c r="H2396">
        <v>0</v>
      </c>
      <c r="I2396">
        <v>0</v>
      </c>
      <c r="J2396">
        <v>0</v>
      </c>
      <c r="K2396">
        <v>50</v>
      </c>
      <c r="L2396" t="s">
        <v>113</v>
      </c>
      <c r="M2396" t="s">
        <v>114</v>
      </c>
    </row>
    <row r="2397" spans="2:13" x14ac:dyDescent="0.2">
      <c r="B2397">
        <v>3094</v>
      </c>
      <c r="C2397">
        <v>4</v>
      </c>
      <c r="D2397">
        <v>5.4</v>
      </c>
      <c r="E2397">
        <v>0.09</v>
      </c>
      <c r="F2397">
        <v>0.6</v>
      </c>
      <c r="G2397">
        <v>0.6</v>
      </c>
      <c r="H2397">
        <v>59</v>
      </c>
      <c r="I2397">
        <v>0</v>
      </c>
      <c r="J2397">
        <v>1</v>
      </c>
      <c r="K2397">
        <v>32.1</v>
      </c>
      <c r="L2397" t="s">
        <v>122</v>
      </c>
      <c r="M2397" t="s">
        <v>118</v>
      </c>
    </row>
    <row r="2398" spans="2:13" x14ac:dyDescent="0.2">
      <c r="B2398">
        <v>3094</v>
      </c>
      <c r="C2398">
        <v>4</v>
      </c>
      <c r="D2398">
        <v>6</v>
      </c>
      <c r="E2398">
        <v>0.1</v>
      </c>
      <c r="F2398">
        <v>0.6</v>
      </c>
      <c r="G2398">
        <v>0.6</v>
      </c>
      <c r="H2398">
        <v>65</v>
      </c>
      <c r="I2398">
        <v>0</v>
      </c>
      <c r="J2398">
        <v>1</v>
      </c>
      <c r="K2398">
        <v>32.200000000000003</v>
      </c>
      <c r="L2398" t="s">
        <v>132</v>
      </c>
      <c r="M2398" t="s">
        <v>116</v>
      </c>
    </row>
    <row r="2399" spans="2:13" x14ac:dyDescent="0.2">
      <c r="B2399">
        <v>3094</v>
      </c>
      <c r="C2399">
        <v>4</v>
      </c>
      <c r="D2399">
        <v>6.1</v>
      </c>
      <c r="E2399">
        <v>0.1</v>
      </c>
      <c r="F2399">
        <v>0.6</v>
      </c>
      <c r="G2399">
        <v>0.6</v>
      </c>
      <c r="H2399">
        <v>66</v>
      </c>
      <c r="I2399">
        <v>0</v>
      </c>
      <c r="J2399">
        <v>2</v>
      </c>
      <c r="K2399">
        <v>32.5</v>
      </c>
      <c r="L2399" t="s">
        <v>119</v>
      </c>
      <c r="M2399" t="s">
        <v>118</v>
      </c>
    </row>
    <row r="2400" spans="2:13" x14ac:dyDescent="0.2">
      <c r="B2400">
        <v>3094</v>
      </c>
      <c r="C2400">
        <v>4</v>
      </c>
      <c r="D2400">
        <v>12.1</v>
      </c>
      <c r="E2400">
        <v>0.2</v>
      </c>
      <c r="F2400">
        <v>0.6</v>
      </c>
      <c r="G2400">
        <v>0.6</v>
      </c>
      <c r="H2400">
        <v>130</v>
      </c>
      <c r="I2400">
        <v>3</v>
      </c>
      <c r="J2400">
        <v>2</v>
      </c>
      <c r="K2400">
        <v>33</v>
      </c>
      <c r="L2400" t="s">
        <v>132</v>
      </c>
      <c r="M2400" t="s">
        <v>116</v>
      </c>
    </row>
    <row r="2401" spans="2:13" x14ac:dyDescent="0.2">
      <c r="B2401">
        <v>3094</v>
      </c>
      <c r="C2401">
        <v>4</v>
      </c>
      <c r="D2401">
        <v>17.899999999999999</v>
      </c>
      <c r="E2401">
        <v>0.3</v>
      </c>
      <c r="F2401">
        <v>0.6</v>
      </c>
      <c r="G2401">
        <v>0.6</v>
      </c>
      <c r="H2401">
        <v>193</v>
      </c>
      <c r="I2401">
        <v>5</v>
      </c>
      <c r="J2401">
        <v>3</v>
      </c>
      <c r="K2401">
        <v>34.1</v>
      </c>
      <c r="L2401" t="s">
        <v>125</v>
      </c>
      <c r="M2401" t="s">
        <v>118</v>
      </c>
    </row>
    <row r="2402" spans="2:13" x14ac:dyDescent="0.2">
      <c r="B2402">
        <v>3094</v>
      </c>
      <c r="C2402">
        <v>4</v>
      </c>
      <c r="D2402">
        <v>18.100000000000001</v>
      </c>
      <c r="E2402">
        <v>0.3</v>
      </c>
      <c r="F2402">
        <v>0.6</v>
      </c>
      <c r="G2402">
        <v>0.6</v>
      </c>
      <c r="H2402">
        <v>195</v>
      </c>
      <c r="I2402">
        <v>6</v>
      </c>
      <c r="J2402">
        <v>3</v>
      </c>
      <c r="K2402">
        <v>33.9</v>
      </c>
      <c r="L2402" t="s">
        <v>132</v>
      </c>
      <c r="M2402" t="s">
        <v>116</v>
      </c>
    </row>
    <row r="2403" spans="2:13" x14ac:dyDescent="0.2">
      <c r="B2403">
        <v>3094</v>
      </c>
      <c r="C2403">
        <v>5</v>
      </c>
      <c r="D2403">
        <v>0</v>
      </c>
      <c r="E2403">
        <v>0</v>
      </c>
      <c r="F2403">
        <v>0.6</v>
      </c>
      <c r="G2403">
        <v>0.6</v>
      </c>
      <c r="H2403">
        <v>0</v>
      </c>
      <c r="I2403">
        <v>0</v>
      </c>
      <c r="J2403">
        <v>0</v>
      </c>
      <c r="K2403">
        <v>50</v>
      </c>
      <c r="L2403" t="s">
        <v>113</v>
      </c>
      <c r="M2403" t="s">
        <v>114</v>
      </c>
    </row>
    <row r="2404" spans="2:13" x14ac:dyDescent="0.2">
      <c r="B2404">
        <v>3094</v>
      </c>
      <c r="C2404">
        <v>5</v>
      </c>
      <c r="D2404">
        <v>5.9</v>
      </c>
      <c r="E2404">
        <v>0.1</v>
      </c>
      <c r="F2404">
        <v>0.6</v>
      </c>
      <c r="G2404">
        <v>0.6</v>
      </c>
      <c r="H2404">
        <v>64</v>
      </c>
      <c r="I2404">
        <v>0</v>
      </c>
      <c r="J2404">
        <v>1</v>
      </c>
      <c r="K2404">
        <v>35.700000000000003</v>
      </c>
      <c r="L2404" t="s">
        <v>117</v>
      </c>
      <c r="M2404" t="s">
        <v>118</v>
      </c>
    </row>
    <row r="2405" spans="2:13" x14ac:dyDescent="0.2">
      <c r="B2405">
        <v>3094</v>
      </c>
      <c r="C2405">
        <v>5</v>
      </c>
      <c r="D2405">
        <v>6</v>
      </c>
      <c r="E2405">
        <v>0.1</v>
      </c>
      <c r="F2405">
        <v>0.6</v>
      </c>
      <c r="G2405">
        <v>0.6</v>
      </c>
      <c r="H2405">
        <v>65</v>
      </c>
      <c r="I2405">
        <v>0</v>
      </c>
      <c r="J2405">
        <v>1</v>
      </c>
      <c r="K2405">
        <v>36</v>
      </c>
      <c r="L2405" t="s">
        <v>132</v>
      </c>
      <c r="M2405" t="s">
        <v>116</v>
      </c>
    </row>
    <row r="2406" spans="2:13" x14ac:dyDescent="0.2">
      <c r="B2406">
        <v>3094</v>
      </c>
      <c r="C2406">
        <v>5</v>
      </c>
      <c r="D2406">
        <v>12.1</v>
      </c>
      <c r="E2406">
        <v>0.2</v>
      </c>
      <c r="F2406">
        <v>0.6</v>
      </c>
      <c r="G2406">
        <v>0.6</v>
      </c>
      <c r="H2406">
        <v>130</v>
      </c>
      <c r="I2406">
        <v>4</v>
      </c>
      <c r="J2406">
        <v>1</v>
      </c>
      <c r="K2406">
        <v>62.1</v>
      </c>
      <c r="L2406" t="s">
        <v>115</v>
      </c>
      <c r="M2406" t="s">
        <v>116</v>
      </c>
    </row>
    <row r="2407" spans="2:13" x14ac:dyDescent="0.2">
      <c r="B2407">
        <v>3094</v>
      </c>
      <c r="C2407">
        <v>5</v>
      </c>
      <c r="D2407">
        <v>18.100000000000001</v>
      </c>
      <c r="E2407">
        <v>0.3</v>
      </c>
      <c r="F2407">
        <v>0.6</v>
      </c>
      <c r="G2407">
        <v>0.6</v>
      </c>
      <c r="H2407">
        <v>195</v>
      </c>
      <c r="I2407">
        <v>6</v>
      </c>
      <c r="J2407">
        <v>1</v>
      </c>
      <c r="K2407">
        <v>69.8</v>
      </c>
      <c r="L2407" t="s">
        <v>115</v>
      </c>
      <c r="M2407" t="s">
        <v>116</v>
      </c>
    </row>
    <row r="2408" spans="2:13" x14ac:dyDescent="0.2">
      <c r="B2408">
        <v>3095</v>
      </c>
      <c r="C2408">
        <v>1</v>
      </c>
      <c r="D2408">
        <v>0</v>
      </c>
      <c r="E2408">
        <v>0</v>
      </c>
      <c r="F2408">
        <v>0.6</v>
      </c>
      <c r="G2408">
        <v>0.6</v>
      </c>
      <c r="H2408">
        <v>0</v>
      </c>
      <c r="I2408">
        <v>0</v>
      </c>
      <c r="J2408">
        <v>0</v>
      </c>
      <c r="K2408">
        <v>50</v>
      </c>
      <c r="L2408" t="s">
        <v>113</v>
      </c>
      <c r="M2408" t="s">
        <v>114</v>
      </c>
    </row>
    <row r="2409" spans="2:13" x14ac:dyDescent="0.2">
      <c r="B2409">
        <v>3095</v>
      </c>
      <c r="C2409">
        <v>1</v>
      </c>
      <c r="D2409">
        <v>6</v>
      </c>
      <c r="E2409">
        <v>0.1</v>
      </c>
      <c r="F2409">
        <v>0.6</v>
      </c>
      <c r="G2409">
        <v>0.6</v>
      </c>
      <c r="H2409">
        <v>65</v>
      </c>
      <c r="I2409">
        <v>1</v>
      </c>
      <c r="J2409">
        <v>0</v>
      </c>
      <c r="K2409">
        <v>30.2</v>
      </c>
      <c r="L2409" t="s">
        <v>115</v>
      </c>
      <c r="M2409" t="s">
        <v>116</v>
      </c>
    </row>
    <row r="2410" spans="2:13" x14ac:dyDescent="0.2">
      <c r="B2410">
        <v>3095</v>
      </c>
      <c r="C2410">
        <v>1</v>
      </c>
      <c r="D2410">
        <v>9.1999999999999993</v>
      </c>
      <c r="E2410">
        <v>0.15</v>
      </c>
      <c r="F2410">
        <v>0.6</v>
      </c>
      <c r="G2410">
        <v>0.6</v>
      </c>
      <c r="H2410">
        <v>99</v>
      </c>
      <c r="I2410">
        <v>6</v>
      </c>
      <c r="J2410">
        <v>1</v>
      </c>
      <c r="K2410">
        <v>69.8</v>
      </c>
      <c r="L2410" t="s">
        <v>117</v>
      </c>
      <c r="M2410" t="s">
        <v>118</v>
      </c>
    </row>
    <row r="2411" spans="2:13" x14ac:dyDescent="0.2">
      <c r="B2411">
        <v>3095</v>
      </c>
      <c r="C2411">
        <v>1</v>
      </c>
      <c r="D2411">
        <v>12.1</v>
      </c>
      <c r="E2411">
        <v>0.2</v>
      </c>
      <c r="F2411">
        <v>0.6</v>
      </c>
      <c r="G2411">
        <v>0.6</v>
      </c>
      <c r="H2411">
        <v>130</v>
      </c>
      <c r="I2411">
        <v>6</v>
      </c>
      <c r="J2411">
        <v>1</v>
      </c>
      <c r="K2411">
        <v>71.3</v>
      </c>
      <c r="L2411" t="s">
        <v>136</v>
      </c>
      <c r="M2411" t="s">
        <v>116</v>
      </c>
    </row>
    <row r="2412" spans="2:13" x14ac:dyDescent="0.2">
      <c r="B2412">
        <v>3095</v>
      </c>
      <c r="C2412">
        <v>1</v>
      </c>
      <c r="D2412">
        <v>13.2</v>
      </c>
      <c r="E2412">
        <v>0.22</v>
      </c>
      <c r="F2412">
        <v>0.6</v>
      </c>
      <c r="G2412">
        <v>0.6</v>
      </c>
      <c r="H2412">
        <v>142</v>
      </c>
      <c r="I2412">
        <v>6</v>
      </c>
      <c r="J2412">
        <v>2</v>
      </c>
      <c r="K2412">
        <v>64.400000000000006</v>
      </c>
      <c r="L2412" t="s">
        <v>123</v>
      </c>
      <c r="M2412" t="s">
        <v>118</v>
      </c>
    </row>
    <row r="2413" spans="2:13" x14ac:dyDescent="0.2">
      <c r="B2413">
        <v>3095</v>
      </c>
      <c r="C2413">
        <v>1</v>
      </c>
      <c r="D2413">
        <v>16.3</v>
      </c>
      <c r="E2413">
        <v>0.27</v>
      </c>
      <c r="F2413">
        <v>0.6</v>
      </c>
      <c r="G2413">
        <v>0.6</v>
      </c>
      <c r="H2413">
        <v>175</v>
      </c>
      <c r="I2413">
        <v>9</v>
      </c>
      <c r="J2413">
        <v>3</v>
      </c>
      <c r="K2413">
        <v>59.6</v>
      </c>
      <c r="L2413" t="s">
        <v>125</v>
      </c>
      <c r="M2413" t="s">
        <v>118</v>
      </c>
    </row>
    <row r="2414" spans="2:13" x14ac:dyDescent="0.2">
      <c r="B2414">
        <v>3095</v>
      </c>
      <c r="C2414">
        <v>1</v>
      </c>
      <c r="D2414">
        <v>18.100000000000001</v>
      </c>
      <c r="E2414">
        <v>0.3</v>
      </c>
      <c r="F2414">
        <v>0.6</v>
      </c>
      <c r="G2414">
        <v>0.45</v>
      </c>
      <c r="H2414">
        <v>195</v>
      </c>
      <c r="I2414">
        <v>10</v>
      </c>
      <c r="J2414">
        <v>3</v>
      </c>
      <c r="K2414">
        <v>63.2</v>
      </c>
      <c r="L2414" t="s">
        <v>120</v>
      </c>
      <c r="M2414" t="s">
        <v>116</v>
      </c>
    </row>
    <row r="2415" spans="2:13" x14ac:dyDescent="0.2">
      <c r="B2415">
        <v>3095</v>
      </c>
      <c r="C2415">
        <v>2</v>
      </c>
      <c r="D2415">
        <v>0</v>
      </c>
      <c r="E2415">
        <v>0</v>
      </c>
      <c r="F2415">
        <v>0.6</v>
      </c>
      <c r="G2415">
        <v>0.6</v>
      </c>
      <c r="H2415">
        <v>0</v>
      </c>
      <c r="I2415">
        <v>0</v>
      </c>
      <c r="J2415">
        <v>0</v>
      </c>
      <c r="K2415">
        <v>50</v>
      </c>
      <c r="L2415" t="s">
        <v>113</v>
      </c>
      <c r="M2415" t="s">
        <v>114</v>
      </c>
    </row>
    <row r="2416" spans="2:13" x14ac:dyDescent="0.2">
      <c r="B2416">
        <v>3095</v>
      </c>
      <c r="C2416">
        <v>2</v>
      </c>
      <c r="D2416">
        <v>6</v>
      </c>
      <c r="E2416">
        <v>0.1</v>
      </c>
      <c r="F2416">
        <v>0.6</v>
      </c>
      <c r="G2416">
        <v>0.6</v>
      </c>
      <c r="H2416">
        <v>65</v>
      </c>
      <c r="I2416">
        <v>0</v>
      </c>
      <c r="J2416">
        <v>0</v>
      </c>
      <c r="K2416">
        <v>31.8</v>
      </c>
      <c r="L2416" t="s">
        <v>115</v>
      </c>
      <c r="M2416" t="s">
        <v>116</v>
      </c>
    </row>
    <row r="2417" spans="2:13" x14ac:dyDescent="0.2">
      <c r="B2417">
        <v>3095</v>
      </c>
      <c r="C2417">
        <v>2</v>
      </c>
      <c r="D2417">
        <v>8.9</v>
      </c>
      <c r="E2417">
        <v>0.15</v>
      </c>
      <c r="F2417">
        <v>0.6</v>
      </c>
      <c r="G2417">
        <v>0.6</v>
      </c>
      <c r="H2417">
        <v>96</v>
      </c>
      <c r="I2417">
        <v>0</v>
      </c>
      <c r="J2417">
        <v>1</v>
      </c>
      <c r="K2417">
        <v>58.4</v>
      </c>
      <c r="L2417" t="s">
        <v>117</v>
      </c>
      <c r="M2417" t="s">
        <v>118</v>
      </c>
    </row>
    <row r="2418" spans="2:13" x14ac:dyDescent="0.2">
      <c r="B2418">
        <v>3095</v>
      </c>
      <c r="C2418">
        <v>2</v>
      </c>
      <c r="D2418">
        <v>12.1</v>
      </c>
      <c r="E2418">
        <v>0.2</v>
      </c>
      <c r="F2418">
        <v>0.6</v>
      </c>
      <c r="G2418">
        <v>0.6</v>
      </c>
      <c r="H2418">
        <v>130</v>
      </c>
      <c r="I2418">
        <v>1</v>
      </c>
      <c r="J2418">
        <v>1</v>
      </c>
      <c r="K2418">
        <v>58.4</v>
      </c>
      <c r="L2418" t="s">
        <v>121</v>
      </c>
      <c r="M2418" t="s">
        <v>116</v>
      </c>
    </row>
    <row r="2419" spans="2:13" x14ac:dyDescent="0.2">
      <c r="B2419">
        <v>3095</v>
      </c>
      <c r="C2419">
        <v>2</v>
      </c>
      <c r="D2419">
        <v>14.1</v>
      </c>
      <c r="E2419">
        <v>0.24</v>
      </c>
      <c r="F2419">
        <v>0.6</v>
      </c>
      <c r="G2419">
        <v>0.6</v>
      </c>
      <c r="H2419">
        <v>152</v>
      </c>
      <c r="I2419">
        <v>2</v>
      </c>
      <c r="J2419">
        <v>2</v>
      </c>
      <c r="K2419">
        <v>50.4</v>
      </c>
      <c r="L2419" t="s">
        <v>127</v>
      </c>
      <c r="M2419" t="s">
        <v>118</v>
      </c>
    </row>
    <row r="2420" spans="2:13" x14ac:dyDescent="0.2">
      <c r="B2420">
        <v>3095</v>
      </c>
      <c r="C2420">
        <v>2</v>
      </c>
      <c r="D2420">
        <v>18.100000000000001</v>
      </c>
      <c r="E2420">
        <v>0.3</v>
      </c>
      <c r="F2420">
        <v>0.6</v>
      </c>
      <c r="G2420">
        <v>0.6</v>
      </c>
      <c r="H2420">
        <v>195</v>
      </c>
      <c r="I2420">
        <v>4</v>
      </c>
      <c r="J2420">
        <v>2</v>
      </c>
      <c r="K2420">
        <v>57.8</v>
      </c>
      <c r="L2420" t="s">
        <v>121</v>
      </c>
      <c r="M2420" t="s">
        <v>116</v>
      </c>
    </row>
    <row r="2421" spans="2:13" x14ac:dyDescent="0.2">
      <c r="B2421">
        <v>3095</v>
      </c>
      <c r="C2421">
        <v>3</v>
      </c>
      <c r="D2421">
        <v>0</v>
      </c>
      <c r="E2421">
        <v>0</v>
      </c>
      <c r="F2421">
        <v>0.6</v>
      </c>
      <c r="G2421">
        <v>0.6</v>
      </c>
      <c r="H2421">
        <v>0</v>
      </c>
      <c r="I2421">
        <v>0</v>
      </c>
      <c r="J2421">
        <v>0</v>
      </c>
      <c r="K2421">
        <v>50</v>
      </c>
      <c r="L2421" t="s">
        <v>113</v>
      </c>
      <c r="M2421" t="s">
        <v>114</v>
      </c>
    </row>
    <row r="2422" spans="2:13" x14ac:dyDescent="0.2">
      <c r="B2422">
        <v>3095</v>
      </c>
      <c r="C2422">
        <v>3</v>
      </c>
      <c r="D2422">
        <v>6</v>
      </c>
      <c r="E2422">
        <v>0.1</v>
      </c>
      <c r="F2422">
        <v>0.6</v>
      </c>
      <c r="G2422">
        <v>0.6</v>
      </c>
      <c r="H2422">
        <v>65</v>
      </c>
      <c r="I2422">
        <v>0</v>
      </c>
      <c r="J2422">
        <v>0</v>
      </c>
      <c r="K2422">
        <v>84.3</v>
      </c>
      <c r="L2422" t="s">
        <v>115</v>
      </c>
      <c r="M2422" t="s">
        <v>116</v>
      </c>
    </row>
    <row r="2423" spans="2:13" x14ac:dyDescent="0.2">
      <c r="B2423">
        <v>3095</v>
      </c>
      <c r="C2423">
        <v>3</v>
      </c>
      <c r="D2423">
        <v>12.1</v>
      </c>
      <c r="E2423">
        <v>0.2</v>
      </c>
      <c r="F2423">
        <v>0.6</v>
      </c>
      <c r="G2423">
        <v>0.7</v>
      </c>
      <c r="H2423">
        <v>130</v>
      </c>
      <c r="I2423">
        <v>4</v>
      </c>
      <c r="J2423">
        <v>0</v>
      </c>
      <c r="K2423">
        <v>85.5</v>
      </c>
      <c r="L2423" t="s">
        <v>128</v>
      </c>
      <c r="M2423" t="s">
        <v>116</v>
      </c>
    </row>
    <row r="2424" spans="2:13" x14ac:dyDescent="0.2">
      <c r="B2424">
        <v>3095</v>
      </c>
      <c r="C2424">
        <v>3</v>
      </c>
      <c r="D2424">
        <v>12.6</v>
      </c>
      <c r="E2424">
        <v>0.21</v>
      </c>
      <c r="F2424">
        <v>0.7</v>
      </c>
      <c r="G2424">
        <v>0.7</v>
      </c>
      <c r="H2424">
        <v>137</v>
      </c>
      <c r="I2424">
        <v>4</v>
      </c>
      <c r="J2424">
        <v>1</v>
      </c>
      <c r="K2424">
        <v>73</v>
      </c>
      <c r="L2424" t="s">
        <v>117</v>
      </c>
      <c r="M2424" t="s">
        <v>118</v>
      </c>
    </row>
    <row r="2425" spans="2:13" x14ac:dyDescent="0.2">
      <c r="B2425">
        <v>3095</v>
      </c>
      <c r="C2425">
        <v>6</v>
      </c>
      <c r="D2425">
        <v>0</v>
      </c>
      <c r="E2425">
        <v>0</v>
      </c>
      <c r="F2425">
        <v>0.6</v>
      </c>
      <c r="G2425">
        <v>0.6</v>
      </c>
      <c r="H2425">
        <v>0</v>
      </c>
      <c r="I2425">
        <v>0</v>
      </c>
      <c r="J2425">
        <v>0</v>
      </c>
      <c r="K2425">
        <v>50</v>
      </c>
      <c r="L2425" t="s">
        <v>113</v>
      </c>
      <c r="M2425" t="s">
        <v>114</v>
      </c>
    </row>
    <row r="2426" spans="2:13" x14ac:dyDescent="0.2">
      <c r="B2426">
        <v>3095</v>
      </c>
      <c r="C2426">
        <v>6</v>
      </c>
      <c r="D2426">
        <v>6</v>
      </c>
      <c r="E2426">
        <v>0.1</v>
      </c>
      <c r="F2426">
        <v>0.6</v>
      </c>
      <c r="G2426">
        <v>0.6</v>
      </c>
      <c r="H2426">
        <v>65</v>
      </c>
      <c r="I2426">
        <v>0</v>
      </c>
      <c r="J2426">
        <v>0</v>
      </c>
      <c r="K2426">
        <v>39.700000000000003</v>
      </c>
      <c r="L2426" t="s">
        <v>115</v>
      </c>
      <c r="M2426" t="s">
        <v>116</v>
      </c>
    </row>
    <row r="2427" spans="2:13" x14ac:dyDescent="0.2">
      <c r="B2427">
        <v>3095</v>
      </c>
      <c r="C2427">
        <v>6</v>
      </c>
      <c r="D2427">
        <v>11.2</v>
      </c>
      <c r="E2427">
        <v>0.19</v>
      </c>
      <c r="F2427">
        <v>0.6</v>
      </c>
      <c r="G2427">
        <v>0.6</v>
      </c>
      <c r="H2427">
        <v>121</v>
      </c>
      <c r="I2427">
        <v>5</v>
      </c>
      <c r="J2427">
        <v>1</v>
      </c>
      <c r="K2427">
        <v>76.599999999999994</v>
      </c>
      <c r="L2427" t="s">
        <v>117</v>
      </c>
      <c r="M2427" t="s">
        <v>118</v>
      </c>
    </row>
    <row r="2428" spans="2:13" x14ac:dyDescent="0.2">
      <c r="B2428">
        <v>3095</v>
      </c>
      <c r="C2428">
        <v>6</v>
      </c>
      <c r="D2428">
        <v>12.1</v>
      </c>
      <c r="E2428">
        <v>0.2</v>
      </c>
      <c r="F2428">
        <v>0.6</v>
      </c>
      <c r="G2428">
        <v>0.6</v>
      </c>
      <c r="H2428">
        <v>130</v>
      </c>
      <c r="I2428">
        <v>7</v>
      </c>
      <c r="J2428">
        <v>1</v>
      </c>
      <c r="K2428">
        <v>76.3</v>
      </c>
      <c r="L2428" t="s">
        <v>136</v>
      </c>
      <c r="M2428" t="s">
        <v>116</v>
      </c>
    </row>
    <row r="2429" spans="2:13" x14ac:dyDescent="0.2">
      <c r="B2429">
        <v>3095</v>
      </c>
      <c r="C2429">
        <v>6</v>
      </c>
      <c r="D2429">
        <v>16</v>
      </c>
      <c r="E2429">
        <v>0.27</v>
      </c>
      <c r="F2429">
        <v>0.6</v>
      </c>
      <c r="G2429">
        <v>0.6</v>
      </c>
      <c r="H2429">
        <v>172</v>
      </c>
      <c r="I2429">
        <v>8</v>
      </c>
      <c r="J2429">
        <v>2</v>
      </c>
      <c r="K2429">
        <v>76.2</v>
      </c>
      <c r="L2429" t="s">
        <v>127</v>
      </c>
      <c r="M2429" t="s">
        <v>118</v>
      </c>
    </row>
    <row r="2430" spans="2:13" x14ac:dyDescent="0.2">
      <c r="B2430">
        <v>3095</v>
      </c>
      <c r="C2430">
        <v>6</v>
      </c>
      <c r="D2430">
        <v>18.100000000000001</v>
      </c>
      <c r="E2430">
        <v>0.3</v>
      </c>
      <c r="F2430">
        <v>0.6</v>
      </c>
      <c r="G2430">
        <v>0.6</v>
      </c>
      <c r="H2430">
        <v>195</v>
      </c>
      <c r="I2430">
        <v>11</v>
      </c>
      <c r="J2430">
        <v>2</v>
      </c>
      <c r="K2430">
        <v>76</v>
      </c>
      <c r="L2430" t="s">
        <v>136</v>
      </c>
      <c r="M2430" t="s">
        <v>116</v>
      </c>
    </row>
    <row r="2431" spans="2:13" x14ac:dyDescent="0.2">
      <c r="B2431">
        <v>3095</v>
      </c>
      <c r="C2431">
        <v>7</v>
      </c>
      <c r="D2431">
        <v>0</v>
      </c>
      <c r="E2431">
        <v>0</v>
      </c>
      <c r="F2431">
        <v>0.6</v>
      </c>
      <c r="G2431">
        <v>0.6</v>
      </c>
      <c r="H2431">
        <v>0</v>
      </c>
      <c r="I2431">
        <v>0</v>
      </c>
      <c r="J2431">
        <v>0</v>
      </c>
      <c r="K2431">
        <v>50</v>
      </c>
      <c r="L2431" t="s">
        <v>113</v>
      </c>
      <c r="M2431" t="s">
        <v>114</v>
      </c>
    </row>
    <row r="2432" spans="2:13" x14ac:dyDescent="0.2">
      <c r="B2432">
        <v>3095</v>
      </c>
      <c r="C2432">
        <v>7</v>
      </c>
      <c r="D2432">
        <v>6</v>
      </c>
      <c r="E2432">
        <v>0.1</v>
      </c>
      <c r="F2432">
        <v>0.6</v>
      </c>
      <c r="G2432">
        <v>0.6</v>
      </c>
      <c r="H2432">
        <v>65</v>
      </c>
      <c r="I2432">
        <v>1</v>
      </c>
      <c r="J2432">
        <v>0</v>
      </c>
      <c r="K2432">
        <v>37.6</v>
      </c>
      <c r="L2432" t="s">
        <v>115</v>
      </c>
      <c r="M2432" t="s">
        <v>116</v>
      </c>
    </row>
    <row r="2433" spans="2:13" x14ac:dyDescent="0.2">
      <c r="B2433">
        <v>3095</v>
      </c>
      <c r="C2433">
        <v>7</v>
      </c>
      <c r="D2433">
        <v>7.7</v>
      </c>
      <c r="E2433">
        <v>0.13</v>
      </c>
      <c r="F2433">
        <v>0.6</v>
      </c>
      <c r="G2433">
        <v>0.6</v>
      </c>
      <c r="H2433">
        <v>83</v>
      </c>
      <c r="I2433">
        <v>1</v>
      </c>
      <c r="J2433">
        <v>1</v>
      </c>
      <c r="K2433">
        <v>37.700000000000003</v>
      </c>
      <c r="L2433" t="s">
        <v>117</v>
      </c>
      <c r="M2433" t="s">
        <v>118</v>
      </c>
    </row>
    <row r="2434" spans="2:13" x14ac:dyDescent="0.2">
      <c r="B2434">
        <v>3095</v>
      </c>
      <c r="C2434">
        <v>7</v>
      </c>
      <c r="D2434">
        <v>10.9</v>
      </c>
      <c r="E2434">
        <v>0.18</v>
      </c>
      <c r="F2434">
        <v>0.6</v>
      </c>
      <c r="G2434">
        <v>0.6</v>
      </c>
      <c r="H2434">
        <v>117</v>
      </c>
      <c r="I2434">
        <v>1</v>
      </c>
      <c r="J2434">
        <v>2</v>
      </c>
      <c r="K2434">
        <v>53.5</v>
      </c>
      <c r="L2434" t="s">
        <v>119</v>
      </c>
      <c r="M2434" t="s">
        <v>118</v>
      </c>
    </row>
    <row r="2435" spans="2:13" x14ac:dyDescent="0.2">
      <c r="B2435">
        <v>3095</v>
      </c>
      <c r="C2435">
        <v>7</v>
      </c>
      <c r="D2435">
        <v>12.1</v>
      </c>
      <c r="E2435">
        <v>0.2</v>
      </c>
      <c r="F2435">
        <v>0.6</v>
      </c>
      <c r="G2435">
        <v>0.45</v>
      </c>
      <c r="H2435">
        <v>130</v>
      </c>
      <c r="I2435">
        <v>2</v>
      </c>
      <c r="J2435">
        <v>2</v>
      </c>
      <c r="K2435">
        <v>53.2</v>
      </c>
      <c r="L2435" t="s">
        <v>120</v>
      </c>
      <c r="M2435" t="s">
        <v>116</v>
      </c>
    </row>
    <row r="2436" spans="2:13" x14ac:dyDescent="0.2">
      <c r="B2436">
        <v>3095</v>
      </c>
      <c r="C2436">
        <v>7</v>
      </c>
      <c r="D2436">
        <v>18.100000000000001</v>
      </c>
      <c r="E2436">
        <v>0.3</v>
      </c>
      <c r="F2436">
        <v>0.45</v>
      </c>
      <c r="G2436">
        <v>0.45</v>
      </c>
      <c r="H2436">
        <v>179</v>
      </c>
      <c r="I2436">
        <v>4</v>
      </c>
      <c r="J2436">
        <v>2</v>
      </c>
      <c r="K2436">
        <v>53.8</v>
      </c>
      <c r="L2436" t="s">
        <v>115</v>
      </c>
      <c r="M2436" t="s">
        <v>116</v>
      </c>
    </row>
    <row r="2437" spans="2:13" x14ac:dyDescent="0.2">
      <c r="B2437">
        <v>3096</v>
      </c>
      <c r="C2437">
        <v>1</v>
      </c>
      <c r="D2437">
        <v>0</v>
      </c>
      <c r="E2437">
        <v>0</v>
      </c>
      <c r="F2437">
        <v>0.6</v>
      </c>
      <c r="G2437">
        <v>0.6</v>
      </c>
      <c r="H2437">
        <v>0</v>
      </c>
      <c r="I2437">
        <v>0</v>
      </c>
      <c r="J2437">
        <v>0</v>
      </c>
      <c r="K2437">
        <v>50</v>
      </c>
      <c r="L2437" t="s">
        <v>113</v>
      </c>
      <c r="M2437" t="s">
        <v>114</v>
      </c>
    </row>
    <row r="2438" spans="2:13" x14ac:dyDescent="0.2">
      <c r="B2438">
        <v>3096</v>
      </c>
      <c r="C2438">
        <v>1</v>
      </c>
      <c r="D2438">
        <v>6</v>
      </c>
      <c r="E2438">
        <v>0.1</v>
      </c>
      <c r="F2438">
        <v>0.6</v>
      </c>
      <c r="G2438">
        <v>0.6</v>
      </c>
      <c r="H2438">
        <v>65</v>
      </c>
      <c r="I2438">
        <v>0</v>
      </c>
      <c r="J2438">
        <v>0</v>
      </c>
      <c r="K2438">
        <v>35.1</v>
      </c>
      <c r="L2438" t="s">
        <v>115</v>
      </c>
      <c r="M2438" t="s">
        <v>116</v>
      </c>
    </row>
    <row r="2439" spans="2:13" x14ac:dyDescent="0.2">
      <c r="B2439">
        <v>3096</v>
      </c>
      <c r="C2439">
        <v>1</v>
      </c>
      <c r="D2439">
        <v>6.8</v>
      </c>
      <c r="E2439">
        <v>0.11</v>
      </c>
      <c r="F2439">
        <v>0.6</v>
      </c>
      <c r="G2439">
        <v>0.6</v>
      </c>
      <c r="H2439">
        <v>74</v>
      </c>
      <c r="I2439">
        <v>0</v>
      </c>
      <c r="J2439">
        <v>1</v>
      </c>
      <c r="K2439">
        <v>34.700000000000003</v>
      </c>
      <c r="L2439" t="s">
        <v>117</v>
      </c>
      <c r="M2439" t="s">
        <v>118</v>
      </c>
    </row>
    <row r="2440" spans="2:13" x14ac:dyDescent="0.2">
      <c r="B2440">
        <v>3096</v>
      </c>
      <c r="C2440">
        <v>1</v>
      </c>
      <c r="D2440">
        <v>11.2</v>
      </c>
      <c r="E2440">
        <v>0.19</v>
      </c>
      <c r="F2440">
        <v>0.6</v>
      </c>
      <c r="G2440">
        <v>0.6</v>
      </c>
      <c r="H2440">
        <v>120</v>
      </c>
      <c r="I2440">
        <v>2</v>
      </c>
      <c r="J2440">
        <v>2</v>
      </c>
      <c r="K2440">
        <v>52.3</v>
      </c>
      <c r="L2440" t="s">
        <v>119</v>
      </c>
      <c r="M2440" t="s">
        <v>118</v>
      </c>
    </row>
    <row r="2441" spans="2:13" x14ac:dyDescent="0.2">
      <c r="B2441">
        <v>3096</v>
      </c>
      <c r="C2441">
        <v>1</v>
      </c>
      <c r="D2441">
        <v>12.1</v>
      </c>
      <c r="E2441">
        <v>0.2</v>
      </c>
      <c r="F2441">
        <v>0.6</v>
      </c>
      <c r="G2441">
        <v>0.45</v>
      </c>
      <c r="H2441">
        <v>130</v>
      </c>
      <c r="I2441">
        <v>3</v>
      </c>
      <c r="J2441">
        <v>2</v>
      </c>
      <c r="K2441">
        <v>52.1</v>
      </c>
      <c r="L2441" t="s">
        <v>120</v>
      </c>
      <c r="M2441" t="s">
        <v>116</v>
      </c>
    </row>
    <row r="2442" spans="2:13" x14ac:dyDescent="0.2">
      <c r="B2442">
        <v>3096</v>
      </c>
      <c r="C2442">
        <v>1</v>
      </c>
      <c r="D2442">
        <v>18.100000000000001</v>
      </c>
      <c r="E2442">
        <v>0.3</v>
      </c>
      <c r="F2442">
        <v>0.45</v>
      </c>
      <c r="G2442">
        <v>0.55000000000000004</v>
      </c>
      <c r="H2442">
        <v>179</v>
      </c>
      <c r="I2442">
        <v>5</v>
      </c>
      <c r="J2442">
        <v>2</v>
      </c>
      <c r="K2442">
        <v>64.599999999999994</v>
      </c>
      <c r="L2442" t="s">
        <v>128</v>
      </c>
      <c r="M2442" t="s">
        <v>116</v>
      </c>
    </row>
    <row r="2443" spans="2:13" x14ac:dyDescent="0.2">
      <c r="B2443">
        <v>3096</v>
      </c>
      <c r="C2443">
        <v>2</v>
      </c>
      <c r="D2443">
        <v>0</v>
      </c>
      <c r="E2443">
        <v>0</v>
      </c>
      <c r="F2443">
        <v>0.6</v>
      </c>
      <c r="G2443">
        <v>0.6</v>
      </c>
      <c r="H2443">
        <v>0</v>
      </c>
      <c r="I2443">
        <v>0</v>
      </c>
      <c r="J2443">
        <v>0</v>
      </c>
      <c r="K2443">
        <v>50</v>
      </c>
      <c r="L2443" t="s">
        <v>113</v>
      </c>
      <c r="M2443" t="s">
        <v>114</v>
      </c>
    </row>
    <row r="2444" spans="2:13" x14ac:dyDescent="0.2">
      <c r="B2444">
        <v>3096</v>
      </c>
      <c r="C2444">
        <v>2</v>
      </c>
      <c r="D2444">
        <v>6</v>
      </c>
      <c r="E2444">
        <v>0.1</v>
      </c>
      <c r="F2444">
        <v>0.6</v>
      </c>
      <c r="G2444">
        <v>0.6</v>
      </c>
      <c r="H2444">
        <v>65</v>
      </c>
      <c r="I2444">
        <v>0</v>
      </c>
      <c r="J2444">
        <v>0</v>
      </c>
      <c r="K2444">
        <v>39.299999999999997</v>
      </c>
      <c r="L2444" t="s">
        <v>115</v>
      </c>
      <c r="M2444" t="s">
        <v>116</v>
      </c>
    </row>
    <row r="2445" spans="2:13" x14ac:dyDescent="0.2">
      <c r="B2445">
        <v>3096</v>
      </c>
      <c r="C2445">
        <v>2</v>
      </c>
      <c r="D2445">
        <v>10.6</v>
      </c>
      <c r="E2445">
        <v>0.18</v>
      </c>
      <c r="F2445">
        <v>0.6</v>
      </c>
      <c r="G2445">
        <v>0.6</v>
      </c>
      <c r="H2445">
        <v>114</v>
      </c>
      <c r="I2445">
        <v>2</v>
      </c>
      <c r="J2445">
        <v>1</v>
      </c>
      <c r="K2445">
        <v>61.7</v>
      </c>
      <c r="L2445" t="s">
        <v>117</v>
      </c>
      <c r="M2445" t="s">
        <v>118</v>
      </c>
    </row>
    <row r="2446" spans="2:13" x14ac:dyDescent="0.2">
      <c r="B2446">
        <v>3096</v>
      </c>
      <c r="C2446">
        <v>2</v>
      </c>
      <c r="D2446">
        <v>12.1</v>
      </c>
      <c r="E2446">
        <v>0.2</v>
      </c>
      <c r="F2446">
        <v>0.6</v>
      </c>
      <c r="G2446">
        <v>0.6</v>
      </c>
      <c r="H2446">
        <v>130</v>
      </c>
      <c r="I2446">
        <v>3</v>
      </c>
      <c r="J2446">
        <v>1</v>
      </c>
      <c r="K2446">
        <v>61.7</v>
      </c>
      <c r="L2446" t="s">
        <v>121</v>
      </c>
      <c r="M2446" t="s">
        <v>116</v>
      </c>
    </row>
    <row r="2447" spans="2:13" x14ac:dyDescent="0.2">
      <c r="B2447">
        <v>3096</v>
      </c>
      <c r="C2447">
        <v>2</v>
      </c>
      <c r="D2447">
        <v>12.9</v>
      </c>
      <c r="E2447">
        <v>0.21</v>
      </c>
      <c r="F2447">
        <v>0.6</v>
      </c>
      <c r="G2447">
        <v>0.6</v>
      </c>
      <c r="H2447">
        <v>139</v>
      </c>
      <c r="I2447">
        <v>3</v>
      </c>
      <c r="J2447">
        <v>2</v>
      </c>
      <c r="K2447">
        <v>53.8</v>
      </c>
      <c r="L2447" t="s">
        <v>119</v>
      </c>
      <c r="M2447" t="s">
        <v>118</v>
      </c>
    </row>
    <row r="2448" spans="2:13" x14ac:dyDescent="0.2">
      <c r="B2448">
        <v>3096</v>
      </c>
      <c r="C2448">
        <v>2</v>
      </c>
      <c r="D2448">
        <v>18</v>
      </c>
      <c r="E2448">
        <v>0.3</v>
      </c>
      <c r="F2448">
        <v>0.6</v>
      </c>
      <c r="G2448">
        <v>0.6</v>
      </c>
      <c r="H2448">
        <v>194</v>
      </c>
      <c r="I2448">
        <v>6</v>
      </c>
      <c r="J2448">
        <v>3</v>
      </c>
      <c r="K2448">
        <v>49.3</v>
      </c>
      <c r="L2448" t="s">
        <v>125</v>
      </c>
      <c r="M2448" t="s">
        <v>118</v>
      </c>
    </row>
    <row r="2449" spans="2:13" x14ac:dyDescent="0.2">
      <c r="B2449">
        <v>3096</v>
      </c>
      <c r="C2449">
        <v>2</v>
      </c>
      <c r="D2449">
        <v>18.100000000000001</v>
      </c>
      <c r="E2449">
        <v>0.3</v>
      </c>
      <c r="F2449">
        <v>0.6</v>
      </c>
      <c r="G2449">
        <v>0.45</v>
      </c>
      <c r="H2449">
        <v>195</v>
      </c>
      <c r="I2449">
        <v>6</v>
      </c>
      <c r="J2449">
        <v>3</v>
      </c>
      <c r="K2449">
        <v>49.3</v>
      </c>
      <c r="L2449" t="s">
        <v>126</v>
      </c>
      <c r="M2449" t="s">
        <v>116</v>
      </c>
    </row>
    <row r="2450" spans="2:13" x14ac:dyDescent="0.2">
      <c r="B2450">
        <v>3096</v>
      </c>
      <c r="C2450">
        <v>3</v>
      </c>
      <c r="D2450">
        <v>0</v>
      </c>
      <c r="E2450">
        <v>0</v>
      </c>
      <c r="F2450">
        <v>0.6</v>
      </c>
      <c r="G2450">
        <v>0.6</v>
      </c>
      <c r="H2450">
        <v>0</v>
      </c>
      <c r="I2450">
        <v>0</v>
      </c>
      <c r="J2450">
        <v>0</v>
      </c>
      <c r="K2450">
        <v>50</v>
      </c>
      <c r="L2450" t="s">
        <v>113</v>
      </c>
      <c r="M2450" t="s">
        <v>114</v>
      </c>
    </row>
    <row r="2451" spans="2:13" x14ac:dyDescent="0.2">
      <c r="B2451">
        <v>3096</v>
      </c>
      <c r="C2451">
        <v>3</v>
      </c>
      <c r="D2451">
        <v>6</v>
      </c>
      <c r="E2451">
        <v>0.1</v>
      </c>
      <c r="F2451">
        <v>0.6</v>
      </c>
      <c r="G2451">
        <v>0.6</v>
      </c>
      <c r="H2451">
        <v>65</v>
      </c>
      <c r="I2451">
        <v>0</v>
      </c>
      <c r="J2451">
        <v>0</v>
      </c>
      <c r="K2451">
        <v>37.200000000000003</v>
      </c>
      <c r="L2451" t="s">
        <v>115</v>
      </c>
      <c r="M2451" t="s">
        <v>116</v>
      </c>
    </row>
    <row r="2452" spans="2:13" x14ac:dyDescent="0.2">
      <c r="B2452">
        <v>3096</v>
      </c>
      <c r="C2452">
        <v>3</v>
      </c>
      <c r="D2452">
        <v>12.1</v>
      </c>
      <c r="E2452">
        <v>0.2</v>
      </c>
      <c r="F2452">
        <v>0.6</v>
      </c>
      <c r="G2452">
        <v>0.7</v>
      </c>
      <c r="H2452">
        <v>130</v>
      </c>
      <c r="I2452">
        <v>3</v>
      </c>
      <c r="J2452">
        <v>0</v>
      </c>
      <c r="K2452">
        <v>87.3</v>
      </c>
      <c r="L2452" t="s">
        <v>128</v>
      </c>
      <c r="M2452" t="s">
        <v>116</v>
      </c>
    </row>
    <row r="2453" spans="2:13" x14ac:dyDescent="0.2">
      <c r="B2453">
        <v>3096</v>
      </c>
      <c r="C2453">
        <v>3</v>
      </c>
      <c r="D2453">
        <v>13.6</v>
      </c>
      <c r="E2453">
        <v>0.23</v>
      </c>
      <c r="F2453">
        <v>0.7</v>
      </c>
      <c r="G2453">
        <v>0.7</v>
      </c>
      <c r="H2453">
        <v>150</v>
      </c>
      <c r="I2453">
        <v>3</v>
      </c>
      <c r="J2453">
        <v>1</v>
      </c>
      <c r="K2453">
        <v>70.5</v>
      </c>
      <c r="L2453" t="s">
        <v>122</v>
      </c>
      <c r="M2453" t="s">
        <v>118</v>
      </c>
    </row>
    <row r="2454" spans="2:13" x14ac:dyDescent="0.2">
      <c r="B2454">
        <v>3096</v>
      </c>
      <c r="C2454">
        <v>3</v>
      </c>
      <c r="D2454">
        <v>17</v>
      </c>
      <c r="E2454">
        <v>0.28000000000000003</v>
      </c>
      <c r="F2454">
        <v>0.7</v>
      </c>
      <c r="G2454">
        <v>0.7</v>
      </c>
      <c r="H2454">
        <v>193</v>
      </c>
      <c r="I2454">
        <v>9</v>
      </c>
      <c r="J2454">
        <v>2</v>
      </c>
      <c r="K2454">
        <v>62.4</v>
      </c>
      <c r="L2454" t="s">
        <v>127</v>
      </c>
      <c r="M2454" t="s">
        <v>118</v>
      </c>
    </row>
    <row r="2455" spans="2:13" x14ac:dyDescent="0.2">
      <c r="B2455">
        <v>3096</v>
      </c>
      <c r="C2455">
        <v>4</v>
      </c>
      <c r="D2455">
        <v>0</v>
      </c>
      <c r="E2455">
        <v>0</v>
      </c>
      <c r="F2455">
        <v>0.6</v>
      </c>
      <c r="G2455">
        <v>0.6</v>
      </c>
      <c r="H2455">
        <v>0</v>
      </c>
      <c r="I2455">
        <v>0</v>
      </c>
      <c r="J2455">
        <v>0</v>
      </c>
      <c r="K2455">
        <v>50</v>
      </c>
      <c r="L2455" t="s">
        <v>113</v>
      </c>
      <c r="M2455" t="s">
        <v>114</v>
      </c>
    </row>
    <row r="2456" spans="2:13" x14ac:dyDescent="0.2">
      <c r="B2456">
        <v>3096</v>
      </c>
      <c r="C2456">
        <v>4</v>
      </c>
      <c r="D2456">
        <v>6</v>
      </c>
      <c r="E2456">
        <v>0.1</v>
      </c>
      <c r="F2456">
        <v>0.6</v>
      </c>
      <c r="G2456">
        <v>0.6</v>
      </c>
      <c r="H2456">
        <v>65</v>
      </c>
      <c r="I2456">
        <v>0</v>
      </c>
      <c r="J2456">
        <v>0</v>
      </c>
      <c r="K2456">
        <v>36.799999999999997</v>
      </c>
      <c r="L2456" t="s">
        <v>115</v>
      </c>
      <c r="M2456" t="s">
        <v>116</v>
      </c>
    </row>
    <row r="2457" spans="2:13" x14ac:dyDescent="0.2">
      <c r="B2457">
        <v>3096</v>
      </c>
      <c r="C2457">
        <v>4</v>
      </c>
      <c r="D2457">
        <v>10.5</v>
      </c>
      <c r="E2457">
        <v>0.17</v>
      </c>
      <c r="F2457">
        <v>0.6</v>
      </c>
      <c r="G2457">
        <v>0.6</v>
      </c>
      <c r="H2457">
        <v>113</v>
      </c>
      <c r="I2457">
        <v>1</v>
      </c>
      <c r="J2457">
        <v>1</v>
      </c>
      <c r="K2457">
        <v>62.6</v>
      </c>
      <c r="L2457" t="s">
        <v>122</v>
      </c>
      <c r="M2457" t="s">
        <v>118</v>
      </c>
    </row>
    <row r="2458" spans="2:13" x14ac:dyDescent="0.2">
      <c r="B2458">
        <v>3096</v>
      </c>
      <c r="C2458">
        <v>4</v>
      </c>
      <c r="D2458">
        <v>12.1</v>
      </c>
      <c r="E2458">
        <v>0.2</v>
      </c>
      <c r="F2458">
        <v>0.6</v>
      </c>
      <c r="G2458">
        <v>0.6</v>
      </c>
      <c r="H2458">
        <v>130</v>
      </c>
      <c r="I2458">
        <v>1</v>
      </c>
      <c r="J2458">
        <v>1</v>
      </c>
      <c r="K2458">
        <v>62.8</v>
      </c>
      <c r="L2458" t="s">
        <v>121</v>
      </c>
      <c r="M2458" t="s">
        <v>116</v>
      </c>
    </row>
    <row r="2459" spans="2:13" x14ac:dyDescent="0.2">
      <c r="B2459">
        <v>3096</v>
      </c>
      <c r="C2459">
        <v>4</v>
      </c>
      <c r="D2459">
        <v>17</v>
      </c>
      <c r="E2459">
        <v>0.28000000000000003</v>
      </c>
      <c r="F2459">
        <v>0.6</v>
      </c>
      <c r="G2459">
        <v>0.6</v>
      </c>
      <c r="H2459">
        <v>183</v>
      </c>
      <c r="I2459">
        <v>3</v>
      </c>
      <c r="J2459">
        <v>2</v>
      </c>
      <c r="K2459">
        <v>54.4</v>
      </c>
      <c r="L2459" t="s">
        <v>123</v>
      </c>
      <c r="M2459" t="s">
        <v>118</v>
      </c>
    </row>
    <row r="2460" spans="2:13" x14ac:dyDescent="0.2">
      <c r="B2460">
        <v>3096</v>
      </c>
      <c r="C2460">
        <v>4</v>
      </c>
      <c r="D2460">
        <v>18.100000000000001</v>
      </c>
      <c r="E2460">
        <v>0.3</v>
      </c>
      <c r="F2460">
        <v>0.6</v>
      </c>
      <c r="G2460">
        <v>0.6</v>
      </c>
      <c r="H2460">
        <v>195</v>
      </c>
      <c r="I2460">
        <v>3</v>
      </c>
      <c r="J2460">
        <v>2</v>
      </c>
      <c r="K2460">
        <v>53.9</v>
      </c>
      <c r="L2460" t="s">
        <v>132</v>
      </c>
      <c r="M2460" t="s">
        <v>116</v>
      </c>
    </row>
    <row r="2461" spans="2:13" x14ac:dyDescent="0.2">
      <c r="B2461">
        <v>3096</v>
      </c>
      <c r="C2461">
        <v>5</v>
      </c>
      <c r="D2461">
        <v>0</v>
      </c>
      <c r="E2461">
        <v>0</v>
      </c>
      <c r="F2461">
        <v>0.6</v>
      </c>
      <c r="G2461">
        <v>0.6</v>
      </c>
      <c r="H2461">
        <v>0</v>
      </c>
      <c r="I2461">
        <v>0</v>
      </c>
      <c r="J2461">
        <v>0</v>
      </c>
      <c r="K2461">
        <v>50</v>
      </c>
      <c r="L2461" t="s">
        <v>113</v>
      </c>
      <c r="M2461" t="s">
        <v>114</v>
      </c>
    </row>
    <row r="2462" spans="2:13" x14ac:dyDescent="0.2">
      <c r="B2462">
        <v>3096</v>
      </c>
      <c r="C2462">
        <v>5</v>
      </c>
      <c r="D2462">
        <v>6</v>
      </c>
      <c r="E2462">
        <v>0.1</v>
      </c>
      <c r="F2462">
        <v>0.6</v>
      </c>
      <c r="G2462">
        <v>0.6</v>
      </c>
      <c r="H2462">
        <v>65</v>
      </c>
      <c r="I2462">
        <v>0</v>
      </c>
      <c r="J2462">
        <v>0</v>
      </c>
      <c r="K2462">
        <v>37.200000000000003</v>
      </c>
      <c r="L2462" t="s">
        <v>115</v>
      </c>
      <c r="M2462" t="s">
        <v>116</v>
      </c>
    </row>
    <row r="2463" spans="2:13" x14ac:dyDescent="0.2">
      <c r="B2463">
        <v>3096</v>
      </c>
      <c r="C2463">
        <v>5</v>
      </c>
      <c r="D2463">
        <v>12.1</v>
      </c>
      <c r="E2463">
        <v>0.2</v>
      </c>
      <c r="F2463">
        <v>0.6</v>
      </c>
      <c r="G2463">
        <v>0.6</v>
      </c>
      <c r="H2463">
        <v>130</v>
      </c>
      <c r="I2463">
        <v>1</v>
      </c>
      <c r="J2463">
        <v>0</v>
      </c>
      <c r="K2463">
        <v>87.6</v>
      </c>
      <c r="L2463" t="s">
        <v>115</v>
      </c>
      <c r="M2463" t="s">
        <v>116</v>
      </c>
    </row>
    <row r="2464" spans="2:13" x14ac:dyDescent="0.2">
      <c r="B2464">
        <v>3096</v>
      </c>
      <c r="C2464">
        <v>5</v>
      </c>
      <c r="D2464">
        <v>15.8</v>
      </c>
      <c r="E2464">
        <v>0.26</v>
      </c>
      <c r="F2464">
        <v>0.6</v>
      </c>
      <c r="G2464">
        <v>0.6</v>
      </c>
      <c r="H2464">
        <v>170</v>
      </c>
      <c r="I2464">
        <v>3</v>
      </c>
      <c r="J2464">
        <v>1</v>
      </c>
      <c r="K2464">
        <v>63.6</v>
      </c>
      <c r="L2464" t="s">
        <v>122</v>
      </c>
      <c r="M2464" t="s">
        <v>118</v>
      </c>
    </row>
    <row r="2465" spans="2:13" x14ac:dyDescent="0.2">
      <c r="B2465">
        <v>3096</v>
      </c>
      <c r="C2465">
        <v>5</v>
      </c>
      <c r="D2465">
        <v>18.100000000000001</v>
      </c>
      <c r="E2465">
        <v>0.3</v>
      </c>
      <c r="F2465">
        <v>0.6</v>
      </c>
      <c r="G2465">
        <v>0.6</v>
      </c>
      <c r="H2465">
        <v>195</v>
      </c>
      <c r="I2465">
        <v>3</v>
      </c>
      <c r="J2465">
        <v>1</v>
      </c>
      <c r="K2465">
        <v>63.5</v>
      </c>
      <c r="L2465" t="s">
        <v>132</v>
      </c>
      <c r="M2465" t="s">
        <v>116</v>
      </c>
    </row>
    <row r="2466" spans="2:13" x14ac:dyDescent="0.2">
      <c r="B2466">
        <v>3097</v>
      </c>
      <c r="C2466">
        <v>1</v>
      </c>
      <c r="D2466">
        <v>0</v>
      </c>
      <c r="E2466">
        <v>0</v>
      </c>
      <c r="F2466">
        <v>0.6</v>
      </c>
      <c r="G2466">
        <v>0.6</v>
      </c>
      <c r="H2466">
        <v>0</v>
      </c>
      <c r="I2466">
        <v>0</v>
      </c>
      <c r="J2466">
        <v>0</v>
      </c>
      <c r="K2466">
        <v>50</v>
      </c>
      <c r="L2466" t="s">
        <v>113</v>
      </c>
      <c r="M2466" t="s">
        <v>114</v>
      </c>
    </row>
    <row r="2467" spans="2:13" x14ac:dyDescent="0.2">
      <c r="B2467">
        <v>3097</v>
      </c>
      <c r="C2467">
        <v>1</v>
      </c>
      <c r="D2467">
        <v>6</v>
      </c>
      <c r="E2467">
        <v>0.1</v>
      </c>
      <c r="F2467">
        <v>0.6</v>
      </c>
      <c r="G2467">
        <v>0.6</v>
      </c>
      <c r="H2467">
        <v>65</v>
      </c>
      <c r="I2467">
        <v>2</v>
      </c>
      <c r="J2467">
        <v>0</v>
      </c>
      <c r="K2467">
        <v>38.799999999999997</v>
      </c>
      <c r="L2467" t="s">
        <v>115</v>
      </c>
      <c r="M2467" t="s">
        <v>116</v>
      </c>
    </row>
    <row r="2468" spans="2:13" x14ac:dyDescent="0.2">
      <c r="B2468">
        <v>3097</v>
      </c>
      <c r="C2468">
        <v>1</v>
      </c>
      <c r="D2468">
        <v>12.1</v>
      </c>
      <c r="E2468">
        <v>0.2</v>
      </c>
      <c r="F2468">
        <v>0.6</v>
      </c>
      <c r="G2468">
        <v>0.7</v>
      </c>
      <c r="H2468">
        <v>130</v>
      </c>
      <c r="I2468">
        <v>7</v>
      </c>
      <c r="J2468">
        <v>0</v>
      </c>
      <c r="K2468">
        <v>85.9</v>
      </c>
      <c r="L2468" t="s">
        <v>128</v>
      </c>
      <c r="M2468" t="s">
        <v>116</v>
      </c>
    </row>
    <row r="2469" spans="2:13" x14ac:dyDescent="0.2">
      <c r="B2469">
        <v>3097</v>
      </c>
      <c r="C2469">
        <v>1</v>
      </c>
      <c r="D2469">
        <v>12.9</v>
      </c>
      <c r="E2469">
        <v>0.21</v>
      </c>
      <c r="F2469">
        <v>0.7</v>
      </c>
      <c r="G2469">
        <v>0.7</v>
      </c>
      <c r="H2469">
        <v>140</v>
      </c>
      <c r="I2469">
        <v>7</v>
      </c>
      <c r="J2469">
        <v>1</v>
      </c>
      <c r="K2469">
        <v>69.3</v>
      </c>
      <c r="L2469" t="s">
        <v>122</v>
      </c>
      <c r="M2469" t="s">
        <v>118</v>
      </c>
    </row>
    <row r="2470" spans="2:13" x14ac:dyDescent="0.2">
      <c r="B2470">
        <v>3097</v>
      </c>
      <c r="C2470">
        <v>1</v>
      </c>
      <c r="D2470">
        <v>15.5</v>
      </c>
      <c r="E2470">
        <v>0.26</v>
      </c>
      <c r="F2470">
        <v>0.7</v>
      </c>
      <c r="G2470">
        <v>0.7</v>
      </c>
      <c r="H2470">
        <v>173</v>
      </c>
      <c r="I2470">
        <v>7</v>
      </c>
      <c r="J2470">
        <v>2</v>
      </c>
      <c r="K2470">
        <v>60.8</v>
      </c>
      <c r="L2470" t="s">
        <v>127</v>
      </c>
      <c r="M2470" t="s">
        <v>118</v>
      </c>
    </row>
    <row r="2471" spans="2:13" x14ac:dyDescent="0.2">
      <c r="B2471">
        <v>3097</v>
      </c>
      <c r="C2471">
        <v>2</v>
      </c>
      <c r="D2471">
        <v>0</v>
      </c>
      <c r="E2471">
        <v>0</v>
      </c>
      <c r="F2471">
        <v>0.6</v>
      </c>
      <c r="G2471">
        <v>0.6</v>
      </c>
      <c r="H2471">
        <v>0</v>
      </c>
      <c r="I2471">
        <v>0</v>
      </c>
      <c r="J2471">
        <v>0</v>
      </c>
      <c r="K2471">
        <v>50</v>
      </c>
      <c r="L2471" t="s">
        <v>113</v>
      </c>
      <c r="M2471" t="s">
        <v>114</v>
      </c>
    </row>
    <row r="2472" spans="2:13" x14ac:dyDescent="0.2">
      <c r="B2472">
        <v>3097</v>
      </c>
      <c r="C2472">
        <v>2</v>
      </c>
      <c r="D2472">
        <v>5.6</v>
      </c>
      <c r="E2472">
        <v>0.09</v>
      </c>
      <c r="F2472">
        <v>0.6</v>
      </c>
      <c r="G2472">
        <v>0.6</v>
      </c>
      <c r="H2472">
        <v>60</v>
      </c>
      <c r="I2472">
        <v>0</v>
      </c>
      <c r="J2472">
        <v>1</v>
      </c>
      <c r="K2472">
        <v>34.799999999999997</v>
      </c>
      <c r="L2472" t="s">
        <v>117</v>
      </c>
      <c r="M2472" t="s">
        <v>118</v>
      </c>
    </row>
    <row r="2473" spans="2:13" x14ac:dyDescent="0.2">
      <c r="B2473">
        <v>3097</v>
      </c>
      <c r="C2473">
        <v>2</v>
      </c>
      <c r="D2473">
        <v>5.7</v>
      </c>
      <c r="E2473">
        <v>0.1</v>
      </c>
      <c r="F2473">
        <v>0.6</v>
      </c>
      <c r="G2473">
        <v>0.6</v>
      </c>
      <c r="H2473">
        <v>62</v>
      </c>
      <c r="I2473">
        <v>0</v>
      </c>
      <c r="J2473">
        <v>2</v>
      </c>
      <c r="K2473">
        <v>34.299999999999997</v>
      </c>
      <c r="L2473" t="s">
        <v>119</v>
      </c>
      <c r="M2473" t="s">
        <v>118</v>
      </c>
    </row>
    <row r="2474" spans="2:13" x14ac:dyDescent="0.2">
      <c r="B2474">
        <v>3097</v>
      </c>
      <c r="C2474">
        <v>2</v>
      </c>
      <c r="D2474">
        <v>6</v>
      </c>
      <c r="E2474">
        <v>0.1</v>
      </c>
      <c r="F2474">
        <v>0.6</v>
      </c>
      <c r="G2474">
        <v>0.45</v>
      </c>
      <c r="H2474">
        <v>65</v>
      </c>
      <c r="I2474">
        <v>0</v>
      </c>
      <c r="J2474">
        <v>2</v>
      </c>
      <c r="K2474">
        <v>35.1</v>
      </c>
      <c r="L2474" t="s">
        <v>126</v>
      </c>
      <c r="M2474" t="s">
        <v>116</v>
      </c>
    </row>
    <row r="2475" spans="2:13" x14ac:dyDescent="0.2">
      <c r="B2475">
        <v>3097</v>
      </c>
      <c r="C2475">
        <v>2</v>
      </c>
      <c r="D2475">
        <v>11.5</v>
      </c>
      <c r="E2475">
        <v>0.19</v>
      </c>
      <c r="F2475">
        <v>0.45</v>
      </c>
      <c r="G2475">
        <v>0.45</v>
      </c>
      <c r="H2475">
        <v>109</v>
      </c>
      <c r="I2475">
        <v>3</v>
      </c>
      <c r="J2475">
        <v>3</v>
      </c>
      <c r="K2475">
        <v>47.9</v>
      </c>
      <c r="L2475" t="s">
        <v>135</v>
      </c>
      <c r="M2475" t="s">
        <v>118</v>
      </c>
    </row>
    <row r="2476" spans="2:13" x14ac:dyDescent="0.2">
      <c r="B2476">
        <v>3097</v>
      </c>
      <c r="C2476">
        <v>2</v>
      </c>
      <c r="D2476">
        <v>12.1</v>
      </c>
      <c r="E2476">
        <v>0.2</v>
      </c>
      <c r="F2476">
        <v>0.45</v>
      </c>
      <c r="G2476">
        <v>0.45</v>
      </c>
      <c r="H2476">
        <v>114</v>
      </c>
      <c r="I2476">
        <v>3</v>
      </c>
      <c r="J2476">
        <v>3</v>
      </c>
      <c r="K2476">
        <v>47.4</v>
      </c>
      <c r="L2476" t="s">
        <v>121</v>
      </c>
      <c r="M2476" t="s">
        <v>116</v>
      </c>
    </row>
    <row r="2477" spans="2:13" x14ac:dyDescent="0.2">
      <c r="B2477">
        <v>3097</v>
      </c>
      <c r="C2477">
        <v>2</v>
      </c>
      <c r="D2477">
        <v>18.100000000000001</v>
      </c>
      <c r="E2477">
        <v>0.3</v>
      </c>
      <c r="F2477">
        <v>0.45</v>
      </c>
      <c r="G2477">
        <v>0.45</v>
      </c>
      <c r="H2477">
        <v>163</v>
      </c>
      <c r="I2477">
        <v>8</v>
      </c>
      <c r="J2477">
        <v>3</v>
      </c>
      <c r="K2477">
        <v>46.7</v>
      </c>
      <c r="L2477" t="s">
        <v>115</v>
      </c>
      <c r="M2477" t="s">
        <v>116</v>
      </c>
    </row>
    <row r="2478" spans="2:13" x14ac:dyDescent="0.2">
      <c r="B2478">
        <v>3097</v>
      </c>
      <c r="C2478">
        <v>2</v>
      </c>
      <c r="D2478">
        <v>19.7</v>
      </c>
      <c r="E2478">
        <v>0.33</v>
      </c>
      <c r="F2478">
        <v>0.45</v>
      </c>
      <c r="G2478">
        <v>0.45</v>
      </c>
      <c r="H2478">
        <v>176</v>
      </c>
      <c r="I2478">
        <v>9</v>
      </c>
      <c r="J2478">
        <v>4</v>
      </c>
      <c r="K2478">
        <v>51.4</v>
      </c>
      <c r="L2478" t="s">
        <v>154</v>
      </c>
      <c r="M2478" t="s">
        <v>118</v>
      </c>
    </row>
    <row r="2479" spans="2:13" x14ac:dyDescent="0.2">
      <c r="B2479">
        <v>3097</v>
      </c>
      <c r="C2479">
        <v>3</v>
      </c>
      <c r="D2479">
        <v>0</v>
      </c>
      <c r="E2479">
        <v>0</v>
      </c>
      <c r="F2479">
        <v>0.6</v>
      </c>
      <c r="G2479">
        <v>0.6</v>
      </c>
      <c r="H2479">
        <v>0</v>
      </c>
      <c r="I2479">
        <v>0</v>
      </c>
      <c r="J2479">
        <v>0</v>
      </c>
      <c r="K2479">
        <v>50</v>
      </c>
      <c r="L2479" t="s">
        <v>113</v>
      </c>
      <c r="M2479" t="s">
        <v>114</v>
      </c>
    </row>
    <row r="2480" spans="2:13" x14ac:dyDescent="0.2">
      <c r="B2480">
        <v>3097</v>
      </c>
      <c r="C2480">
        <v>3</v>
      </c>
      <c r="D2480">
        <v>6</v>
      </c>
      <c r="E2480">
        <v>0.1</v>
      </c>
      <c r="F2480">
        <v>0.6</v>
      </c>
      <c r="G2480">
        <v>0.6</v>
      </c>
      <c r="H2480">
        <v>65</v>
      </c>
      <c r="I2480">
        <v>0</v>
      </c>
      <c r="J2480">
        <v>0</v>
      </c>
      <c r="K2480">
        <v>35.5</v>
      </c>
      <c r="L2480" t="s">
        <v>115</v>
      </c>
      <c r="M2480" t="s">
        <v>116</v>
      </c>
    </row>
    <row r="2481" spans="2:13" x14ac:dyDescent="0.2">
      <c r="B2481">
        <v>3097</v>
      </c>
      <c r="C2481">
        <v>3</v>
      </c>
      <c r="D2481">
        <v>12.1</v>
      </c>
      <c r="E2481">
        <v>0.2</v>
      </c>
      <c r="F2481">
        <v>0.6</v>
      </c>
      <c r="G2481">
        <v>0.7</v>
      </c>
      <c r="H2481">
        <v>130</v>
      </c>
      <c r="I2481">
        <v>1</v>
      </c>
      <c r="J2481">
        <v>0</v>
      </c>
      <c r="K2481">
        <v>86.5</v>
      </c>
      <c r="L2481" t="s">
        <v>128</v>
      </c>
      <c r="M2481" t="s">
        <v>116</v>
      </c>
    </row>
    <row r="2482" spans="2:13" x14ac:dyDescent="0.2">
      <c r="B2482">
        <v>3097</v>
      </c>
      <c r="C2482">
        <v>3</v>
      </c>
      <c r="D2482">
        <v>12.6</v>
      </c>
      <c r="E2482">
        <v>0.21</v>
      </c>
      <c r="F2482">
        <v>0.7</v>
      </c>
      <c r="G2482">
        <v>0.7</v>
      </c>
      <c r="H2482">
        <v>136</v>
      </c>
      <c r="I2482">
        <v>1</v>
      </c>
      <c r="J2482">
        <v>1</v>
      </c>
      <c r="K2482">
        <v>73.599999999999994</v>
      </c>
      <c r="L2482" t="s">
        <v>122</v>
      </c>
      <c r="M2482" t="s">
        <v>118</v>
      </c>
    </row>
    <row r="2483" spans="2:13" x14ac:dyDescent="0.2">
      <c r="B2483">
        <v>3097</v>
      </c>
      <c r="C2483">
        <v>3</v>
      </c>
      <c r="D2483">
        <v>14.4</v>
      </c>
      <c r="E2483">
        <v>0.24</v>
      </c>
      <c r="F2483">
        <v>0.7</v>
      </c>
      <c r="G2483">
        <v>0.7</v>
      </c>
      <c r="H2483">
        <v>159</v>
      </c>
      <c r="I2483">
        <v>1</v>
      </c>
      <c r="J2483">
        <v>2</v>
      </c>
      <c r="K2483">
        <v>66.099999999999994</v>
      </c>
      <c r="L2483" t="s">
        <v>123</v>
      </c>
      <c r="M2483" t="s">
        <v>118</v>
      </c>
    </row>
    <row r="2484" spans="2:13" x14ac:dyDescent="0.2">
      <c r="B2484">
        <v>3097</v>
      </c>
      <c r="C2484">
        <v>3</v>
      </c>
      <c r="D2484">
        <v>14.7</v>
      </c>
      <c r="E2484">
        <v>0.25</v>
      </c>
      <c r="F2484">
        <v>0.7</v>
      </c>
      <c r="G2484">
        <v>0.7</v>
      </c>
      <c r="H2484">
        <v>164</v>
      </c>
      <c r="I2484">
        <v>1</v>
      </c>
      <c r="J2484">
        <v>3</v>
      </c>
      <c r="K2484">
        <v>60.9</v>
      </c>
      <c r="L2484" t="s">
        <v>125</v>
      </c>
      <c r="M2484" t="s">
        <v>118</v>
      </c>
    </row>
    <row r="2485" spans="2:13" x14ac:dyDescent="0.2">
      <c r="B2485">
        <v>3097</v>
      </c>
      <c r="C2485">
        <v>4</v>
      </c>
      <c r="D2485">
        <v>0</v>
      </c>
      <c r="E2485">
        <v>0</v>
      </c>
      <c r="F2485">
        <v>0.6</v>
      </c>
      <c r="G2485">
        <v>0.6</v>
      </c>
      <c r="H2485">
        <v>0</v>
      </c>
      <c r="I2485">
        <v>0</v>
      </c>
      <c r="J2485">
        <v>0</v>
      </c>
      <c r="K2485">
        <v>50</v>
      </c>
      <c r="L2485" t="s">
        <v>113</v>
      </c>
      <c r="M2485" t="s">
        <v>114</v>
      </c>
    </row>
    <row r="2486" spans="2:13" x14ac:dyDescent="0.2">
      <c r="B2486">
        <v>3097</v>
      </c>
      <c r="C2486">
        <v>4</v>
      </c>
      <c r="D2486">
        <v>6</v>
      </c>
      <c r="E2486">
        <v>0.1</v>
      </c>
      <c r="F2486">
        <v>0.6</v>
      </c>
      <c r="G2486">
        <v>0.6</v>
      </c>
      <c r="H2486">
        <v>65</v>
      </c>
      <c r="I2486">
        <v>0</v>
      </c>
      <c r="J2486">
        <v>0</v>
      </c>
      <c r="K2486">
        <v>37.6</v>
      </c>
      <c r="L2486" t="s">
        <v>115</v>
      </c>
      <c r="M2486" t="s">
        <v>116</v>
      </c>
    </row>
    <row r="2487" spans="2:13" x14ac:dyDescent="0.2">
      <c r="B2487">
        <v>3097</v>
      </c>
      <c r="C2487">
        <v>4</v>
      </c>
      <c r="D2487">
        <v>6.5</v>
      </c>
      <c r="E2487">
        <v>0.11</v>
      </c>
      <c r="F2487">
        <v>0.6</v>
      </c>
      <c r="G2487">
        <v>0.6</v>
      </c>
      <c r="H2487">
        <v>70</v>
      </c>
      <c r="I2487">
        <v>0</v>
      </c>
      <c r="J2487">
        <v>1</v>
      </c>
      <c r="K2487">
        <v>37.700000000000003</v>
      </c>
      <c r="L2487" t="s">
        <v>117</v>
      </c>
      <c r="M2487" t="s">
        <v>118</v>
      </c>
    </row>
    <row r="2488" spans="2:13" x14ac:dyDescent="0.2">
      <c r="B2488">
        <v>3097</v>
      </c>
      <c r="C2488">
        <v>4</v>
      </c>
      <c r="D2488">
        <v>12.1</v>
      </c>
      <c r="E2488">
        <v>0.2</v>
      </c>
      <c r="F2488">
        <v>0.6</v>
      </c>
      <c r="G2488">
        <v>0.6</v>
      </c>
      <c r="H2488">
        <v>130</v>
      </c>
      <c r="I2488">
        <v>6</v>
      </c>
      <c r="J2488">
        <v>1</v>
      </c>
      <c r="K2488">
        <v>72.3</v>
      </c>
      <c r="L2488" t="s">
        <v>124</v>
      </c>
      <c r="M2488" t="s">
        <v>116</v>
      </c>
    </row>
    <row r="2489" spans="2:13" x14ac:dyDescent="0.2">
      <c r="B2489">
        <v>3097</v>
      </c>
      <c r="C2489">
        <v>4</v>
      </c>
      <c r="D2489">
        <v>13.6</v>
      </c>
      <c r="E2489">
        <v>0.23</v>
      </c>
      <c r="F2489">
        <v>0.6</v>
      </c>
      <c r="G2489">
        <v>0.6</v>
      </c>
      <c r="H2489">
        <v>146</v>
      </c>
      <c r="I2489">
        <v>8</v>
      </c>
      <c r="J2489">
        <v>2</v>
      </c>
      <c r="K2489">
        <v>64.7</v>
      </c>
      <c r="L2489" t="s">
        <v>127</v>
      </c>
      <c r="M2489" t="s">
        <v>118</v>
      </c>
    </row>
    <row r="2490" spans="2:13" x14ac:dyDescent="0.2">
      <c r="B2490">
        <v>3097</v>
      </c>
      <c r="C2490">
        <v>4</v>
      </c>
      <c r="D2490">
        <v>18.100000000000001</v>
      </c>
      <c r="E2490">
        <v>0.3</v>
      </c>
      <c r="F2490">
        <v>0.6</v>
      </c>
      <c r="G2490">
        <v>0.6</v>
      </c>
      <c r="H2490">
        <v>195</v>
      </c>
      <c r="I2490">
        <v>8</v>
      </c>
      <c r="J2490">
        <v>2</v>
      </c>
      <c r="K2490">
        <v>69.900000000000006</v>
      </c>
      <c r="L2490" t="s">
        <v>121</v>
      </c>
      <c r="M2490" t="s">
        <v>116</v>
      </c>
    </row>
    <row r="2491" spans="2:13" x14ac:dyDescent="0.2">
      <c r="B2491">
        <v>3097</v>
      </c>
      <c r="C2491">
        <v>5</v>
      </c>
      <c r="D2491">
        <v>0</v>
      </c>
      <c r="E2491">
        <v>0</v>
      </c>
      <c r="F2491">
        <v>0.6</v>
      </c>
      <c r="G2491">
        <v>0.6</v>
      </c>
      <c r="H2491">
        <v>0</v>
      </c>
      <c r="I2491">
        <v>0</v>
      </c>
      <c r="J2491">
        <v>0</v>
      </c>
      <c r="K2491">
        <v>50</v>
      </c>
      <c r="L2491" t="s">
        <v>113</v>
      </c>
      <c r="M2491" t="s">
        <v>114</v>
      </c>
    </row>
    <row r="2492" spans="2:13" x14ac:dyDescent="0.2">
      <c r="B2492">
        <v>3097</v>
      </c>
      <c r="C2492">
        <v>5</v>
      </c>
      <c r="D2492">
        <v>6</v>
      </c>
      <c r="E2492">
        <v>0.1</v>
      </c>
      <c r="F2492">
        <v>0.6</v>
      </c>
      <c r="G2492">
        <v>0.6</v>
      </c>
      <c r="H2492">
        <v>65</v>
      </c>
      <c r="I2492">
        <v>0</v>
      </c>
      <c r="J2492">
        <v>0</v>
      </c>
      <c r="K2492">
        <v>33.9</v>
      </c>
      <c r="L2492" t="s">
        <v>115</v>
      </c>
      <c r="M2492" t="s">
        <v>116</v>
      </c>
    </row>
    <row r="2493" spans="2:13" x14ac:dyDescent="0.2">
      <c r="B2493">
        <v>3097</v>
      </c>
      <c r="C2493">
        <v>5</v>
      </c>
      <c r="D2493">
        <v>12.1</v>
      </c>
      <c r="E2493">
        <v>0.2</v>
      </c>
      <c r="F2493">
        <v>0.6</v>
      </c>
      <c r="G2493">
        <v>0.7</v>
      </c>
      <c r="H2493">
        <v>130</v>
      </c>
      <c r="I2493">
        <v>1</v>
      </c>
      <c r="J2493">
        <v>0</v>
      </c>
      <c r="K2493">
        <v>87.3</v>
      </c>
      <c r="L2493" t="s">
        <v>128</v>
      </c>
      <c r="M2493" t="s">
        <v>116</v>
      </c>
    </row>
    <row r="2494" spans="2:13" x14ac:dyDescent="0.2">
      <c r="B2494">
        <v>3097</v>
      </c>
      <c r="C2494">
        <v>5</v>
      </c>
      <c r="D2494">
        <v>12.2</v>
      </c>
      <c r="E2494">
        <v>0.2</v>
      </c>
      <c r="F2494">
        <v>0.7</v>
      </c>
      <c r="G2494">
        <v>0.7</v>
      </c>
      <c r="H2494">
        <v>131</v>
      </c>
      <c r="I2494">
        <v>1</v>
      </c>
      <c r="J2494">
        <v>1</v>
      </c>
      <c r="K2494">
        <v>70.599999999999994</v>
      </c>
      <c r="L2494" t="s">
        <v>117</v>
      </c>
      <c r="M2494" t="s">
        <v>118</v>
      </c>
    </row>
    <row r="2495" spans="2:13" x14ac:dyDescent="0.2">
      <c r="B2495">
        <v>3098</v>
      </c>
      <c r="C2495">
        <v>1</v>
      </c>
      <c r="D2495">
        <v>0</v>
      </c>
      <c r="E2495">
        <v>0</v>
      </c>
      <c r="F2495">
        <v>0.6</v>
      </c>
      <c r="G2495">
        <v>0.6</v>
      </c>
      <c r="H2495">
        <v>0</v>
      </c>
      <c r="I2495">
        <v>0</v>
      </c>
      <c r="J2495">
        <v>0</v>
      </c>
      <c r="K2495">
        <v>50</v>
      </c>
      <c r="L2495" t="s">
        <v>113</v>
      </c>
      <c r="M2495" t="s">
        <v>114</v>
      </c>
    </row>
    <row r="2496" spans="2:13" x14ac:dyDescent="0.2">
      <c r="B2496">
        <v>3098</v>
      </c>
      <c r="C2496">
        <v>1</v>
      </c>
      <c r="D2496">
        <v>5.6</v>
      </c>
      <c r="E2496">
        <v>0.09</v>
      </c>
      <c r="F2496">
        <v>0.6</v>
      </c>
      <c r="G2496">
        <v>0.6</v>
      </c>
      <c r="H2496">
        <v>61</v>
      </c>
      <c r="I2496">
        <v>1</v>
      </c>
      <c r="J2496">
        <v>1</v>
      </c>
      <c r="K2496">
        <v>38.1</v>
      </c>
      <c r="L2496" t="s">
        <v>117</v>
      </c>
      <c r="M2496" t="s">
        <v>118</v>
      </c>
    </row>
    <row r="2497" spans="2:13" x14ac:dyDescent="0.2">
      <c r="B2497">
        <v>3098</v>
      </c>
      <c r="C2497">
        <v>1</v>
      </c>
      <c r="D2497">
        <v>6</v>
      </c>
      <c r="E2497">
        <v>0.1</v>
      </c>
      <c r="F2497">
        <v>0.6</v>
      </c>
      <c r="G2497">
        <v>0.6</v>
      </c>
      <c r="H2497">
        <v>65</v>
      </c>
      <c r="I2497">
        <v>1</v>
      </c>
      <c r="J2497">
        <v>1</v>
      </c>
      <c r="K2497">
        <v>38</v>
      </c>
      <c r="L2497" t="s">
        <v>132</v>
      </c>
      <c r="M2497" t="s">
        <v>116</v>
      </c>
    </row>
    <row r="2498" spans="2:13" x14ac:dyDescent="0.2">
      <c r="B2498">
        <v>3098</v>
      </c>
      <c r="C2498">
        <v>1</v>
      </c>
      <c r="D2498">
        <v>10.7</v>
      </c>
      <c r="E2498">
        <v>0.18</v>
      </c>
      <c r="F2498">
        <v>0.6</v>
      </c>
      <c r="G2498">
        <v>0.6</v>
      </c>
      <c r="H2498">
        <v>115</v>
      </c>
      <c r="I2498">
        <v>3</v>
      </c>
      <c r="J2498">
        <v>2</v>
      </c>
      <c r="K2498">
        <v>39</v>
      </c>
      <c r="L2498" t="s">
        <v>127</v>
      </c>
      <c r="M2498" t="s">
        <v>118</v>
      </c>
    </row>
    <row r="2499" spans="2:13" x14ac:dyDescent="0.2">
      <c r="B2499">
        <v>3098</v>
      </c>
      <c r="C2499">
        <v>1</v>
      </c>
      <c r="D2499">
        <v>12.1</v>
      </c>
      <c r="E2499">
        <v>0.2</v>
      </c>
      <c r="F2499">
        <v>0.6</v>
      </c>
      <c r="G2499">
        <v>0.6</v>
      </c>
      <c r="H2499">
        <v>130</v>
      </c>
      <c r="I2499">
        <v>5</v>
      </c>
      <c r="J2499">
        <v>2</v>
      </c>
      <c r="K2499">
        <v>38.799999999999997</v>
      </c>
      <c r="L2499" t="s">
        <v>132</v>
      </c>
      <c r="M2499" t="s">
        <v>116</v>
      </c>
    </row>
    <row r="2500" spans="2:13" x14ac:dyDescent="0.2">
      <c r="B2500">
        <v>3098</v>
      </c>
      <c r="C2500">
        <v>1</v>
      </c>
      <c r="D2500">
        <v>14.2</v>
      </c>
      <c r="E2500">
        <v>0.24</v>
      </c>
      <c r="F2500">
        <v>0.6</v>
      </c>
      <c r="G2500">
        <v>0.6</v>
      </c>
      <c r="H2500">
        <v>153</v>
      </c>
      <c r="I2500">
        <v>7</v>
      </c>
      <c r="J2500">
        <v>3</v>
      </c>
      <c r="K2500">
        <v>39.4</v>
      </c>
      <c r="L2500" t="s">
        <v>135</v>
      </c>
      <c r="M2500" t="s">
        <v>118</v>
      </c>
    </row>
    <row r="2501" spans="2:13" x14ac:dyDescent="0.2">
      <c r="B2501">
        <v>3098</v>
      </c>
      <c r="C2501">
        <v>1</v>
      </c>
      <c r="D2501">
        <v>18.100000000000001</v>
      </c>
      <c r="E2501">
        <v>0.3</v>
      </c>
      <c r="F2501">
        <v>0.6</v>
      </c>
      <c r="G2501">
        <v>0.6</v>
      </c>
      <c r="H2501">
        <v>195</v>
      </c>
      <c r="I2501">
        <v>8</v>
      </c>
      <c r="J2501">
        <v>3</v>
      </c>
      <c r="K2501">
        <v>40</v>
      </c>
      <c r="L2501" t="s">
        <v>132</v>
      </c>
      <c r="M2501" t="s">
        <v>116</v>
      </c>
    </row>
    <row r="2502" spans="2:13" x14ac:dyDescent="0.2">
      <c r="B2502">
        <v>3098</v>
      </c>
      <c r="C2502">
        <v>2</v>
      </c>
      <c r="D2502">
        <v>0</v>
      </c>
      <c r="E2502">
        <v>0</v>
      </c>
      <c r="F2502">
        <v>0.6</v>
      </c>
      <c r="G2502">
        <v>0.6</v>
      </c>
      <c r="H2502">
        <v>0</v>
      </c>
      <c r="I2502">
        <v>0</v>
      </c>
      <c r="J2502">
        <v>0</v>
      </c>
      <c r="K2502">
        <v>50</v>
      </c>
      <c r="L2502" t="s">
        <v>113</v>
      </c>
      <c r="M2502" t="s">
        <v>114</v>
      </c>
    </row>
    <row r="2503" spans="2:13" x14ac:dyDescent="0.2">
      <c r="B2503">
        <v>3098</v>
      </c>
      <c r="C2503">
        <v>2</v>
      </c>
      <c r="D2503">
        <v>6</v>
      </c>
      <c r="E2503">
        <v>0.1</v>
      </c>
      <c r="F2503">
        <v>0.6</v>
      </c>
      <c r="G2503">
        <v>0.6</v>
      </c>
      <c r="H2503">
        <v>65</v>
      </c>
      <c r="I2503">
        <v>0</v>
      </c>
      <c r="J2503">
        <v>0</v>
      </c>
      <c r="K2503">
        <v>38.799999999999997</v>
      </c>
      <c r="L2503" t="s">
        <v>115</v>
      </c>
      <c r="M2503" t="s">
        <v>116</v>
      </c>
    </row>
    <row r="2504" spans="2:13" x14ac:dyDescent="0.2">
      <c r="B2504">
        <v>3098</v>
      </c>
      <c r="C2504">
        <v>2</v>
      </c>
      <c r="D2504">
        <v>12.1</v>
      </c>
      <c r="E2504">
        <v>0.2</v>
      </c>
      <c r="F2504">
        <v>0.6</v>
      </c>
      <c r="G2504">
        <v>0.7</v>
      </c>
      <c r="H2504">
        <v>130</v>
      </c>
      <c r="I2504">
        <v>0</v>
      </c>
      <c r="J2504">
        <v>0</v>
      </c>
      <c r="K2504">
        <v>89.8</v>
      </c>
      <c r="L2504" t="s">
        <v>128</v>
      </c>
      <c r="M2504" t="s">
        <v>116</v>
      </c>
    </row>
    <row r="2505" spans="2:13" x14ac:dyDescent="0.2">
      <c r="B2505">
        <v>3098</v>
      </c>
      <c r="C2505">
        <v>2</v>
      </c>
      <c r="D2505">
        <v>13.7</v>
      </c>
      <c r="E2505">
        <v>0.23</v>
      </c>
      <c r="F2505">
        <v>0.7</v>
      </c>
      <c r="G2505">
        <v>0.7</v>
      </c>
      <c r="H2505">
        <v>150</v>
      </c>
      <c r="I2505">
        <v>2</v>
      </c>
      <c r="J2505">
        <v>1</v>
      </c>
      <c r="K2505">
        <v>73.8</v>
      </c>
      <c r="L2505" t="s">
        <v>117</v>
      </c>
      <c r="M2505" t="s">
        <v>118</v>
      </c>
    </row>
    <row r="2506" spans="2:13" x14ac:dyDescent="0.2">
      <c r="B2506">
        <v>3098</v>
      </c>
      <c r="C2506">
        <v>3</v>
      </c>
      <c r="D2506">
        <v>0</v>
      </c>
      <c r="E2506">
        <v>0</v>
      </c>
      <c r="F2506">
        <v>0.6</v>
      </c>
      <c r="G2506">
        <v>0.6</v>
      </c>
      <c r="H2506">
        <v>0</v>
      </c>
      <c r="I2506">
        <v>0</v>
      </c>
      <c r="J2506">
        <v>0</v>
      </c>
      <c r="K2506">
        <v>50</v>
      </c>
      <c r="L2506" t="s">
        <v>113</v>
      </c>
      <c r="M2506" t="s">
        <v>114</v>
      </c>
    </row>
    <row r="2507" spans="2:13" x14ac:dyDescent="0.2">
      <c r="B2507">
        <v>3098</v>
      </c>
      <c r="C2507">
        <v>3</v>
      </c>
      <c r="D2507">
        <v>6</v>
      </c>
      <c r="E2507">
        <v>0.1</v>
      </c>
      <c r="F2507">
        <v>0.6</v>
      </c>
      <c r="G2507">
        <v>0.6</v>
      </c>
      <c r="H2507">
        <v>65</v>
      </c>
      <c r="I2507">
        <v>0</v>
      </c>
      <c r="J2507">
        <v>0</v>
      </c>
      <c r="K2507">
        <v>39.700000000000003</v>
      </c>
      <c r="L2507" t="s">
        <v>115</v>
      </c>
      <c r="M2507" t="s">
        <v>116</v>
      </c>
    </row>
    <row r="2508" spans="2:13" x14ac:dyDescent="0.2">
      <c r="B2508">
        <v>3098</v>
      </c>
      <c r="C2508">
        <v>3</v>
      </c>
      <c r="D2508">
        <v>12.1</v>
      </c>
      <c r="E2508">
        <v>0.2</v>
      </c>
      <c r="F2508">
        <v>0.6</v>
      </c>
      <c r="G2508">
        <v>0.6</v>
      </c>
      <c r="H2508">
        <v>130</v>
      </c>
      <c r="I2508">
        <v>3</v>
      </c>
      <c r="J2508">
        <v>0</v>
      </c>
      <c r="K2508">
        <v>90</v>
      </c>
      <c r="L2508" t="s">
        <v>115</v>
      </c>
      <c r="M2508" t="s">
        <v>116</v>
      </c>
    </row>
    <row r="2509" spans="2:13" x14ac:dyDescent="0.2">
      <c r="B2509">
        <v>3098</v>
      </c>
      <c r="C2509">
        <v>3</v>
      </c>
      <c r="D2509">
        <v>18.100000000000001</v>
      </c>
      <c r="E2509">
        <v>0.3</v>
      </c>
      <c r="F2509">
        <v>0.6</v>
      </c>
      <c r="G2509">
        <v>0.6</v>
      </c>
      <c r="H2509">
        <v>195</v>
      </c>
      <c r="I2509">
        <v>6</v>
      </c>
      <c r="J2509">
        <v>0</v>
      </c>
      <c r="K2509">
        <v>90.6</v>
      </c>
      <c r="L2509" t="s">
        <v>115</v>
      </c>
      <c r="M2509" t="s">
        <v>116</v>
      </c>
    </row>
    <row r="2510" spans="2:13" x14ac:dyDescent="0.2">
      <c r="B2510">
        <v>3098</v>
      </c>
      <c r="C2510">
        <v>4</v>
      </c>
      <c r="D2510">
        <v>0</v>
      </c>
      <c r="E2510">
        <v>0</v>
      </c>
      <c r="F2510">
        <v>0.6</v>
      </c>
      <c r="G2510">
        <v>0.6</v>
      </c>
      <c r="H2510">
        <v>0</v>
      </c>
      <c r="I2510">
        <v>0</v>
      </c>
      <c r="J2510">
        <v>0</v>
      </c>
      <c r="K2510">
        <v>50</v>
      </c>
      <c r="L2510" t="s">
        <v>113</v>
      </c>
      <c r="M2510" t="s">
        <v>114</v>
      </c>
    </row>
    <row r="2511" spans="2:13" x14ac:dyDescent="0.2">
      <c r="B2511">
        <v>3098</v>
      </c>
      <c r="C2511">
        <v>4</v>
      </c>
      <c r="D2511">
        <v>5.7</v>
      </c>
      <c r="E2511">
        <v>0.1</v>
      </c>
      <c r="F2511">
        <v>0.6</v>
      </c>
      <c r="G2511">
        <v>0.6</v>
      </c>
      <c r="H2511">
        <v>62</v>
      </c>
      <c r="I2511">
        <v>0</v>
      </c>
      <c r="J2511">
        <v>1</v>
      </c>
      <c r="K2511">
        <v>40.4</v>
      </c>
      <c r="L2511" t="s">
        <v>117</v>
      </c>
      <c r="M2511" t="s">
        <v>118</v>
      </c>
    </row>
    <row r="2512" spans="2:13" x14ac:dyDescent="0.2">
      <c r="B2512">
        <v>3098</v>
      </c>
      <c r="C2512">
        <v>4</v>
      </c>
      <c r="D2512">
        <v>6</v>
      </c>
      <c r="E2512">
        <v>0.1</v>
      </c>
      <c r="F2512">
        <v>0.6</v>
      </c>
      <c r="G2512">
        <v>0.6</v>
      </c>
      <c r="H2512">
        <v>65</v>
      </c>
      <c r="I2512">
        <v>1</v>
      </c>
      <c r="J2512">
        <v>1</v>
      </c>
      <c r="K2512">
        <v>40.5</v>
      </c>
      <c r="L2512" t="s">
        <v>132</v>
      </c>
      <c r="M2512" t="s">
        <v>116</v>
      </c>
    </row>
    <row r="2513" spans="2:13" x14ac:dyDescent="0.2">
      <c r="B2513">
        <v>3098</v>
      </c>
      <c r="C2513">
        <v>4</v>
      </c>
      <c r="D2513">
        <v>11.5</v>
      </c>
      <c r="E2513">
        <v>0.19</v>
      </c>
      <c r="F2513">
        <v>0.6</v>
      </c>
      <c r="G2513">
        <v>0.6</v>
      </c>
      <c r="H2513">
        <v>124</v>
      </c>
      <c r="I2513">
        <v>4</v>
      </c>
      <c r="J2513">
        <v>2</v>
      </c>
      <c r="K2513">
        <v>58.4</v>
      </c>
      <c r="L2513" t="s">
        <v>119</v>
      </c>
      <c r="M2513" t="s">
        <v>118</v>
      </c>
    </row>
    <row r="2514" spans="2:13" x14ac:dyDescent="0.2">
      <c r="B2514">
        <v>3098</v>
      </c>
      <c r="C2514">
        <v>4</v>
      </c>
      <c r="D2514">
        <v>12.1</v>
      </c>
      <c r="E2514">
        <v>0.2</v>
      </c>
      <c r="F2514">
        <v>0.6</v>
      </c>
      <c r="G2514">
        <v>0.6</v>
      </c>
      <c r="H2514">
        <v>130</v>
      </c>
      <c r="I2514">
        <v>5</v>
      </c>
      <c r="J2514">
        <v>2</v>
      </c>
      <c r="K2514">
        <v>58.8</v>
      </c>
      <c r="L2514" t="s">
        <v>121</v>
      </c>
      <c r="M2514" t="s">
        <v>116</v>
      </c>
    </row>
    <row r="2515" spans="2:13" x14ac:dyDescent="0.2">
      <c r="B2515">
        <v>3098</v>
      </c>
      <c r="C2515">
        <v>4</v>
      </c>
      <c r="D2515">
        <v>14.8</v>
      </c>
      <c r="E2515">
        <v>0.25</v>
      </c>
      <c r="F2515">
        <v>0.6</v>
      </c>
      <c r="G2515">
        <v>0.6</v>
      </c>
      <c r="H2515">
        <v>160</v>
      </c>
      <c r="I2515">
        <v>7</v>
      </c>
      <c r="J2515">
        <v>3</v>
      </c>
      <c r="K2515">
        <v>54.9</v>
      </c>
      <c r="L2515" t="s">
        <v>125</v>
      </c>
      <c r="M2515" t="s">
        <v>118</v>
      </c>
    </row>
    <row r="2516" spans="2:13" x14ac:dyDescent="0.2">
      <c r="B2516">
        <v>3098</v>
      </c>
      <c r="C2516">
        <v>4</v>
      </c>
      <c r="D2516">
        <v>18.100000000000001</v>
      </c>
      <c r="E2516">
        <v>0.3</v>
      </c>
      <c r="F2516">
        <v>0.6</v>
      </c>
      <c r="G2516">
        <v>0.6</v>
      </c>
      <c r="H2516">
        <v>195</v>
      </c>
      <c r="I2516">
        <v>9</v>
      </c>
      <c r="J2516">
        <v>3</v>
      </c>
      <c r="K2516">
        <v>54.5</v>
      </c>
      <c r="L2516" t="s">
        <v>132</v>
      </c>
      <c r="M2516" t="s">
        <v>116</v>
      </c>
    </row>
    <row r="2517" spans="2:13" x14ac:dyDescent="0.2">
      <c r="B2517">
        <v>3098</v>
      </c>
      <c r="C2517">
        <v>5</v>
      </c>
      <c r="D2517">
        <v>0</v>
      </c>
      <c r="E2517">
        <v>0</v>
      </c>
      <c r="F2517">
        <v>0.6</v>
      </c>
      <c r="G2517">
        <v>0.6</v>
      </c>
      <c r="H2517">
        <v>0</v>
      </c>
      <c r="I2517">
        <v>0</v>
      </c>
      <c r="J2517">
        <v>0</v>
      </c>
      <c r="K2517">
        <v>50</v>
      </c>
      <c r="L2517" t="s">
        <v>113</v>
      </c>
      <c r="M2517" t="s">
        <v>114</v>
      </c>
    </row>
    <row r="2518" spans="2:13" x14ac:dyDescent="0.2">
      <c r="B2518">
        <v>3098</v>
      </c>
      <c r="C2518">
        <v>5</v>
      </c>
      <c r="D2518">
        <v>6</v>
      </c>
      <c r="E2518">
        <v>0.1</v>
      </c>
      <c r="F2518">
        <v>0.6</v>
      </c>
      <c r="G2518">
        <v>0.6</v>
      </c>
      <c r="H2518">
        <v>65</v>
      </c>
      <c r="I2518">
        <v>1</v>
      </c>
      <c r="J2518">
        <v>0</v>
      </c>
      <c r="K2518">
        <v>43.4</v>
      </c>
      <c r="L2518" t="s">
        <v>115</v>
      </c>
      <c r="M2518" t="s">
        <v>116</v>
      </c>
    </row>
    <row r="2519" spans="2:13" x14ac:dyDescent="0.2">
      <c r="B2519">
        <v>3098</v>
      </c>
      <c r="C2519">
        <v>5</v>
      </c>
      <c r="D2519">
        <v>9.1999999999999993</v>
      </c>
      <c r="E2519">
        <v>0.15</v>
      </c>
      <c r="F2519">
        <v>0.6</v>
      </c>
      <c r="G2519">
        <v>0.6</v>
      </c>
      <c r="H2519">
        <v>100</v>
      </c>
      <c r="I2519">
        <v>3</v>
      </c>
      <c r="J2519">
        <v>1</v>
      </c>
      <c r="K2519">
        <v>77.400000000000006</v>
      </c>
      <c r="L2519" t="s">
        <v>122</v>
      </c>
      <c r="M2519" t="s">
        <v>118</v>
      </c>
    </row>
    <row r="2520" spans="2:13" x14ac:dyDescent="0.2">
      <c r="B2520">
        <v>3098</v>
      </c>
      <c r="C2520">
        <v>5</v>
      </c>
      <c r="D2520">
        <v>10.7</v>
      </c>
      <c r="E2520">
        <v>0.18</v>
      </c>
      <c r="F2520">
        <v>0.6</v>
      </c>
      <c r="G2520">
        <v>0.6</v>
      </c>
      <c r="H2520">
        <v>116</v>
      </c>
      <c r="I2520">
        <v>3</v>
      </c>
      <c r="J2520">
        <v>2</v>
      </c>
      <c r="K2520">
        <v>69.2</v>
      </c>
      <c r="L2520" t="s">
        <v>123</v>
      </c>
      <c r="M2520" t="s">
        <v>118</v>
      </c>
    </row>
    <row r="2521" spans="2:13" x14ac:dyDescent="0.2">
      <c r="B2521">
        <v>3098</v>
      </c>
      <c r="C2521">
        <v>5</v>
      </c>
      <c r="D2521">
        <v>12.1</v>
      </c>
      <c r="E2521">
        <v>0.2</v>
      </c>
      <c r="F2521">
        <v>0.6</v>
      </c>
      <c r="G2521">
        <v>0.6</v>
      </c>
      <c r="H2521">
        <v>130</v>
      </c>
      <c r="I2521">
        <v>3</v>
      </c>
      <c r="J2521">
        <v>2</v>
      </c>
      <c r="K2521">
        <v>74.2</v>
      </c>
      <c r="L2521" t="s">
        <v>146</v>
      </c>
      <c r="M2521" t="s">
        <v>116</v>
      </c>
    </row>
    <row r="2522" spans="2:13" x14ac:dyDescent="0.2">
      <c r="B2522">
        <v>3098</v>
      </c>
      <c r="C2522">
        <v>5</v>
      </c>
      <c r="D2522">
        <v>13.8</v>
      </c>
      <c r="E2522">
        <v>0.23</v>
      </c>
      <c r="F2522">
        <v>0.6</v>
      </c>
      <c r="G2522">
        <v>0.6</v>
      </c>
      <c r="H2522">
        <v>149</v>
      </c>
      <c r="I2522">
        <v>5</v>
      </c>
      <c r="J2522">
        <v>3</v>
      </c>
      <c r="K2522">
        <v>68.099999999999994</v>
      </c>
      <c r="L2522" t="s">
        <v>125</v>
      </c>
      <c r="M2522" t="s">
        <v>118</v>
      </c>
    </row>
    <row r="2523" spans="2:13" x14ac:dyDescent="0.2">
      <c r="B2523">
        <v>3098</v>
      </c>
      <c r="C2523">
        <v>5</v>
      </c>
      <c r="D2523">
        <v>18.100000000000001</v>
      </c>
      <c r="E2523">
        <v>0.3</v>
      </c>
      <c r="F2523">
        <v>0.6</v>
      </c>
      <c r="G2523">
        <v>0.6</v>
      </c>
      <c r="H2523">
        <v>195</v>
      </c>
      <c r="I2523">
        <v>12</v>
      </c>
      <c r="J2523">
        <v>3</v>
      </c>
      <c r="K2523">
        <v>67.7</v>
      </c>
      <c r="L2523" t="s">
        <v>132</v>
      </c>
      <c r="M2523" t="s">
        <v>116</v>
      </c>
    </row>
    <row r="2524" spans="2:13" x14ac:dyDescent="0.2">
      <c r="B2524">
        <v>3099</v>
      </c>
      <c r="C2524">
        <v>1</v>
      </c>
      <c r="D2524">
        <v>0</v>
      </c>
      <c r="E2524">
        <v>0</v>
      </c>
      <c r="F2524">
        <v>0.6</v>
      </c>
      <c r="G2524">
        <v>0.6</v>
      </c>
      <c r="H2524">
        <v>0</v>
      </c>
      <c r="I2524">
        <v>0</v>
      </c>
      <c r="J2524">
        <v>0</v>
      </c>
      <c r="K2524">
        <v>50</v>
      </c>
      <c r="L2524" t="s">
        <v>113</v>
      </c>
      <c r="M2524" t="s">
        <v>114</v>
      </c>
    </row>
    <row r="2525" spans="2:13" x14ac:dyDescent="0.2">
      <c r="B2525">
        <v>3099</v>
      </c>
      <c r="C2525">
        <v>1</v>
      </c>
      <c r="D2525">
        <v>6</v>
      </c>
      <c r="E2525">
        <v>0.1</v>
      </c>
      <c r="F2525">
        <v>0.6</v>
      </c>
      <c r="G2525">
        <v>0.6</v>
      </c>
      <c r="H2525">
        <v>65</v>
      </c>
      <c r="I2525">
        <v>0</v>
      </c>
      <c r="J2525">
        <v>0</v>
      </c>
      <c r="K2525">
        <v>36.799999999999997</v>
      </c>
      <c r="L2525" t="s">
        <v>115</v>
      </c>
      <c r="M2525" t="s">
        <v>116</v>
      </c>
    </row>
    <row r="2526" spans="2:13" x14ac:dyDescent="0.2">
      <c r="B2526">
        <v>3099</v>
      </c>
      <c r="C2526">
        <v>1</v>
      </c>
      <c r="D2526">
        <v>6.6</v>
      </c>
      <c r="E2526">
        <v>0.11</v>
      </c>
      <c r="F2526">
        <v>0.6</v>
      </c>
      <c r="G2526">
        <v>0.6</v>
      </c>
      <c r="H2526">
        <v>71</v>
      </c>
      <c r="I2526">
        <v>0</v>
      </c>
      <c r="J2526">
        <v>1</v>
      </c>
      <c r="K2526">
        <v>37.5</v>
      </c>
      <c r="L2526" t="s">
        <v>122</v>
      </c>
      <c r="M2526" t="s">
        <v>118</v>
      </c>
    </row>
    <row r="2527" spans="2:13" x14ac:dyDescent="0.2">
      <c r="B2527">
        <v>3099</v>
      </c>
      <c r="C2527">
        <v>1</v>
      </c>
      <c r="D2527">
        <v>10.199999999999999</v>
      </c>
      <c r="E2527">
        <v>0.17</v>
      </c>
      <c r="F2527">
        <v>0.6</v>
      </c>
      <c r="G2527">
        <v>0.6</v>
      </c>
      <c r="H2527">
        <v>110</v>
      </c>
      <c r="I2527">
        <v>2</v>
      </c>
      <c r="J2527">
        <v>2</v>
      </c>
      <c r="K2527">
        <v>36.5</v>
      </c>
      <c r="L2527" t="s">
        <v>119</v>
      </c>
      <c r="M2527" t="s">
        <v>118</v>
      </c>
    </row>
    <row r="2528" spans="2:13" x14ac:dyDescent="0.2">
      <c r="B2528">
        <v>3099</v>
      </c>
      <c r="C2528">
        <v>1</v>
      </c>
      <c r="D2528">
        <v>12.1</v>
      </c>
      <c r="E2528">
        <v>0.2</v>
      </c>
      <c r="F2528">
        <v>0.6</v>
      </c>
      <c r="G2528">
        <v>0.45</v>
      </c>
      <c r="H2528">
        <v>130</v>
      </c>
      <c r="I2528">
        <v>2</v>
      </c>
      <c r="J2528">
        <v>2</v>
      </c>
      <c r="K2528">
        <v>36.9</v>
      </c>
      <c r="L2528" t="s">
        <v>126</v>
      </c>
      <c r="M2528" t="s">
        <v>116</v>
      </c>
    </row>
    <row r="2529" spans="2:13" x14ac:dyDescent="0.2">
      <c r="B2529">
        <v>3099</v>
      </c>
      <c r="C2529">
        <v>1</v>
      </c>
      <c r="D2529">
        <v>18.100000000000001</v>
      </c>
      <c r="E2529">
        <v>0.3</v>
      </c>
      <c r="F2529">
        <v>0.45</v>
      </c>
      <c r="G2529">
        <v>0.45</v>
      </c>
      <c r="H2529">
        <v>179</v>
      </c>
      <c r="I2529">
        <v>3</v>
      </c>
      <c r="J2529">
        <v>2</v>
      </c>
      <c r="K2529">
        <v>53.5</v>
      </c>
      <c r="L2529" t="s">
        <v>115</v>
      </c>
      <c r="M2529" t="s">
        <v>116</v>
      </c>
    </row>
    <row r="2530" spans="2:13" x14ac:dyDescent="0.2">
      <c r="B2530">
        <v>3099</v>
      </c>
      <c r="C2530">
        <v>1</v>
      </c>
      <c r="D2530">
        <v>19.2</v>
      </c>
      <c r="E2530">
        <v>0.32</v>
      </c>
      <c r="F2530">
        <v>0.45</v>
      </c>
      <c r="G2530">
        <v>0.45</v>
      </c>
      <c r="H2530">
        <v>188</v>
      </c>
      <c r="I2530">
        <v>6</v>
      </c>
      <c r="J2530">
        <v>3</v>
      </c>
      <c r="K2530">
        <v>49.2</v>
      </c>
      <c r="L2530" t="s">
        <v>148</v>
      </c>
      <c r="M2530" t="s">
        <v>118</v>
      </c>
    </row>
    <row r="2531" spans="2:13" x14ac:dyDescent="0.2">
      <c r="B2531">
        <v>3099</v>
      </c>
      <c r="C2531">
        <v>2</v>
      </c>
      <c r="D2531">
        <v>0</v>
      </c>
      <c r="E2531">
        <v>0</v>
      </c>
      <c r="F2531">
        <v>0.6</v>
      </c>
      <c r="G2531">
        <v>0.6</v>
      </c>
      <c r="H2531">
        <v>0</v>
      </c>
      <c r="I2531">
        <v>0</v>
      </c>
      <c r="J2531">
        <v>0</v>
      </c>
      <c r="K2531">
        <v>50</v>
      </c>
      <c r="L2531" t="s">
        <v>113</v>
      </c>
      <c r="M2531" t="s">
        <v>114</v>
      </c>
    </row>
    <row r="2532" spans="2:13" x14ac:dyDescent="0.2">
      <c r="B2532">
        <v>3099</v>
      </c>
      <c r="C2532">
        <v>2</v>
      </c>
      <c r="D2532">
        <v>6</v>
      </c>
      <c r="E2532">
        <v>0.1</v>
      </c>
      <c r="F2532">
        <v>0.6</v>
      </c>
      <c r="G2532">
        <v>0.6</v>
      </c>
      <c r="H2532">
        <v>65</v>
      </c>
      <c r="I2532">
        <v>0</v>
      </c>
      <c r="J2532">
        <v>0</v>
      </c>
      <c r="K2532">
        <v>36.799999999999997</v>
      </c>
      <c r="L2532" t="s">
        <v>115</v>
      </c>
      <c r="M2532" t="s">
        <v>116</v>
      </c>
    </row>
    <row r="2533" spans="2:13" x14ac:dyDescent="0.2">
      <c r="B2533">
        <v>3099</v>
      </c>
      <c r="C2533">
        <v>2</v>
      </c>
      <c r="D2533">
        <v>12.1</v>
      </c>
      <c r="E2533">
        <v>0.2</v>
      </c>
      <c r="F2533">
        <v>0.6</v>
      </c>
      <c r="G2533">
        <v>0.6</v>
      </c>
      <c r="H2533">
        <v>130</v>
      </c>
      <c r="I2533">
        <v>3</v>
      </c>
      <c r="J2533">
        <v>0</v>
      </c>
      <c r="K2533">
        <v>87.6</v>
      </c>
      <c r="L2533" t="s">
        <v>115</v>
      </c>
      <c r="M2533" t="s">
        <v>116</v>
      </c>
    </row>
    <row r="2534" spans="2:13" x14ac:dyDescent="0.2">
      <c r="B2534">
        <v>3099</v>
      </c>
      <c r="C2534">
        <v>2</v>
      </c>
      <c r="D2534">
        <v>18.100000000000001</v>
      </c>
      <c r="E2534">
        <v>0.3</v>
      </c>
      <c r="F2534">
        <v>0.6</v>
      </c>
      <c r="G2534">
        <v>0.7</v>
      </c>
      <c r="H2534">
        <v>195</v>
      </c>
      <c r="I2534">
        <v>6</v>
      </c>
      <c r="J2534">
        <v>0</v>
      </c>
      <c r="K2534">
        <v>88.1</v>
      </c>
      <c r="L2534" t="s">
        <v>128</v>
      </c>
      <c r="M2534" t="s">
        <v>116</v>
      </c>
    </row>
    <row r="2535" spans="2:13" x14ac:dyDescent="0.2">
      <c r="B2535">
        <v>3099</v>
      </c>
      <c r="C2535">
        <v>3</v>
      </c>
      <c r="D2535">
        <v>0</v>
      </c>
      <c r="E2535">
        <v>0</v>
      </c>
      <c r="F2535">
        <v>0.6</v>
      </c>
      <c r="G2535">
        <v>0.6</v>
      </c>
      <c r="H2535">
        <v>0</v>
      </c>
      <c r="I2535">
        <v>0</v>
      </c>
      <c r="J2535">
        <v>0</v>
      </c>
      <c r="K2535">
        <v>50</v>
      </c>
      <c r="L2535" t="s">
        <v>113</v>
      </c>
      <c r="M2535" t="s">
        <v>114</v>
      </c>
    </row>
    <row r="2536" spans="2:13" x14ac:dyDescent="0.2">
      <c r="B2536">
        <v>3099</v>
      </c>
      <c r="C2536">
        <v>3</v>
      </c>
      <c r="D2536">
        <v>6</v>
      </c>
      <c r="E2536">
        <v>0.1</v>
      </c>
      <c r="F2536">
        <v>0.6</v>
      </c>
      <c r="G2536">
        <v>0.6</v>
      </c>
      <c r="H2536">
        <v>65</v>
      </c>
      <c r="I2536">
        <v>0</v>
      </c>
      <c r="J2536">
        <v>0</v>
      </c>
      <c r="K2536">
        <v>38</v>
      </c>
      <c r="L2536" t="s">
        <v>115</v>
      </c>
      <c r="M2536" t="s">
        <v>116</v>
      </c>
    </row>
    <row r="2537" spans="2:13" x14ac:dyDescent="0.2">
      <c r="B2537">
        <v>3099</v>
      </c>
      <c r="C2537">
        <v>3</v>
      </c>
      <c r="D2537">
        <v>10.7</v>
      </c>
      <c r="E2537">
        <v>0.18</v>
      </c>
      <c r="F2537">
        <v>0.6</v>
      </c>
      <c r="G2537">
        <v>0.6</v>
      </c>
      <c r="H2537">
        <v>115</v>
      </c>
      <c r="I2537">
        <v>6</v>
      </c>
      <c r="J2537">
        <v>1</v>
      </c>
      <c r="K2537">
        <v>62.1</v>
      </c>
      <c r="L2537" t="s">
        <v>117</v>
      </c>
      <c r="M2537" t="s">
        <v>118</v>
      </c>
    </row>
    <row r="2538" spans="2:13" x14ac:dyDescent="0.2">
      <c r="B2538">
        <v>3099</v>
      </c>
      <c r="C2538">
        <v>3</v>
      </c>
      <c r="D2538">
        <v>12.1</v>
      </c>
      <c r="E2538">
        <v>0.2</v>
      </c>
      <c r="F2538">
        <v>0.6</v>
      </c>
      <c r="G2538">
        <v>0.6</v>
      </c>
      <c r="H2538">
        <v>130</v>
      </c>
      <c r="I2538">
        <v>9</v>
      </c>
      <c r="J2538">
        <v>1</v>
      </c>
      <c r="K2538">
        <v>61.5</v>
      </c>
      <c r="L2538" t="s">
        <v>121</v>
      </c>
      <c r="M2538" t="s">
        <v>116</v>
      </c>
    </row>
    <row r="2539" spans="2:13" x14ac:dyDescent="0.2">
      <c r="B2539">
        <v>3099</v>
      </c>
      <c r="C2539">
        <v>3</v>
      </c>
      <c r="D2539">
        <v>15.1</v>
      </c>
      <c r="E2539">
        <v>0.25</v>
      </c>
      <c r="F2539">
        <v>0.6</v>
      </c>
      <c r="G2539">
        <v>0.6</v>
      </c>
      <c r="H2539">
        <v>163</v>
      </c>
      <c r="I2539">
        <v>11</v>
      </c>
      <c r="J2539">
        <v>2</v>
      </c>
      <c r="K2539">
        <v>53.3</v>
      </c>
      <c r="L2539" t="s">
        <v>127</v>
      </c>
      <c r="M2539" t="s">
        <v>118</v>
      </c>
    </row>
    <row r="2540" spans="2:13" x14ac:dyDescent="0.2">
      <c r="B2540">
        <v>3099</v>
      </c>
      <c r="C2540">
        <v>3</v>
      </c>
      <c r="D2540">
        <v>18.100000000000001</v>
      </c>
      <c r="E2540">
        <v>0.3</v>
      </c>
      <c r="F2540">
        <v>0.6</v>
      </c>
      <c r="G2540">
        <v>0.6</v>
      </c>
      <c r="H2540">
        <v>195</v>
      </c>
      <c r="I2540">
        <v>13</v>
      </c>
      <c r="J2540">
        <v>2</v>
      </c>
      <c r="K2540">
        <v>53.6</v>
      </c>
      <c r="L2540" t="s">
        <v>132</v>
      </c>
      <c r="M2540" t="s">
        <v>116</v>
      </c>
    </row>
    <row r="2541" spans="2:13" x14ac:dyDescent="0.2">
      <c r="B2541">
        <v>3099</v>
      </c>
      <c r="C2541">
        <v>3</v>
      </c>
      <c r="D2541">
        <v>18.2</v>
      </c>
      <c r="E2541">
        <v>0.3</v>
      </c>
      <c r="F2541">
        <v>0.6</v>
      </c>
      <c r="G2541">
        <v>0.6</v>
      </c>
      <c r="H2541">
        <v>196</v>
      </c>
      <c r="I2541">
        <v>13</v>
      </c>
      <c r="J2541">
        <v>3</v>
      </c>
      <c r="K2541">
        <v>49.4</v>
      </c>
      <c r="L2541" t="s">
        <v>125</v>
      </c>
      <c r="M2541" t="s">
        <v>118</v>
      </c>
    </row>
    <row r="2542" spans="2:13" x14ac:dyDescent="0.2">
      <c r="B2542">
        <v>3099</v>
      </c>
      <c r="C2542">
        <v>4</v>
      </c>
      <c r="D2542">
        <v>0</v>
      </c>
      <c r="E2542">
        <v>0</v>
      </c>
      <c r="F2542">
        <v>0.6</v>
      </c>
      <c r="G2542">
        <v>0.6</v>
      </c>
      <c r="H2542">
        <v>0</v>
      </c>
      <c r="I2542">
        <v>0</v>
      </c>
      <c r="J2542">
        <v>0</v>
      </c>
      <c r="K2542">
        <v>50</v>
      </c>
      <c r="L2542" t="s">
        <v>113</v>
      </c>
      <c r="M2542" t="s">
        <v>114</v>
      </c>
    </row>
    <row r="2543" spans="2:13" x14ac:dyDescent="0.2">
      <c r="B2543">
        <v>3099</v>
      </c>
      <c r="C2543">
        <v>4</v>
      </c>
      <c r="D2543">
        <v>5.9</v>
      </c>
      <c r="E2543">
        <v>0.1</v>
      </c>
      <c r="F2543">
        <v>0.6</v>
      </c>
      <c r="G2543">
        <v>0.6</v>
      </c>
      <c r="H2543">
        <v>64</v>
      </c>
      <c r="I2543">
        <v>0</v>
      </c>
      <c r="J2543">
        <v>1</v>
      </c>
      <c r="K2543">
        <v>41.1</v>
      </c>
      <c r="L2543" t="s">
        <v>117</v>
      </c>
      <c r="M2543" t="s">
        <v>118</v>
      </c>
    </row>
    <row r="2544" spans="2:13" x14ac:dyDescent="0.2">
      <c r="B2544">
        <v>3099</v>
      </c>
      <c r="C2544">
        <v>4</v>
      </c>
      <c r="D2544">
        <v>6</v>
      </c>
      <c r="E2544">
        <v>0.1</v>
      </c>
      <c r="F2544">
        <v>0.6</v>
      </c>
      <c r="G2544">
        <v>0.6</v>
      </c>
      <c r="H2544">
        <v>65</v>
      </c>
      <c r="I2544">
        <v>0</v>
      </c>
      <c r="J2544">
        <v>1</v>
      </c>
      <c r="K2544">
        <v>41.3</v>
      </c>
      <c r="L2544" t="s">
        <v>132</v>
      </c>
      <c r="M2544" t="s">
        <v>116</v>
      </c>
    </row>
    <row r="2545" spans="2:13" x14ac:dyDescent="0.2">
      <c r="B2545">
        <v>3099</v>
      </c>
      <c r="C2545">
        <v>4</v>
      </c>
      <c r="D2545">
        <v>12.1</v>
      </c>
      <c r="E2545">
        <v>0.2</v>
      </c>
      <c r="F2545">
        <v>0.6</v>
      </c>
      <c r="G2545">
        <v>0.6</v>
      </c>
      <c r="H2545">
        <v>130</v>
      </c>
      <c r="I2545">
        <v>3</v>
      </c>
      <c r="J2545">
        <v>1</v>
      </c>
      <c r="K2545">
        <v>64.599999999999994</v>
      </c>
      <c r="L2545" t="s">
        <v>115</v>
      </c>
      <c r="M2545" t="s">
        <v>116</v>
      </c>
    </row>
    <row r="2546" spans="2:13" x14ac:dyDescent="0.2">
      <c r="B2546">
        <v>3099</v>
      </c>
      <c r="C2546">
        <v>4</v>
      </c>
      <c r="D2546">
        <v>13.5</v>
      </c>
      <c r="E2546">
        <v>0.22</v>
      </c>
      <c r="F2546">
        <v>0.6</v>
      </c>
      <c r="G2546">
        <v>0.6</v>
      </c>
      <c r="H2546">
        <v>145</v>
      </c>
      <c r="I2546">
        <v>5</v>
      </c>
      <c r="J2546">
        <v>2</v>
      </c>
      <c r="K2546">
        <v>56.8</v>
      </c>
      <c r="L2546" t="s">
        <v>133</v>
      </c>
      <c r="M2546" t="s">
        <v>118</v>
      </c>
    </row>
    <row r="2547" spans="2:13" x14ac:dyDescent="0.2">
      <c r="B2547">
        <v>3099</v>
      </c>
      <c r="C2547">
        <v>4</v>
      </c>
      <c r="D2547">
        <v>18.100000000000001</v>
      </c>
      <c r="E2547">
        <v>0.3</v>
      </c>
      <c r="F2547">
        <v>0.6</v>
      </c>
      <c r="G2547">
        <v>0.6</v>
      </c>
      <c r="H2547">
        <v>195</v>
      </c>
      <c r="I2547">
        <v>7</v>
      </c>
      <c r="J2547">
        <v>2</v>
      </c>
      <c r="K2547">
        <v>56.8</v>
      </c>
      <c r="L2547" t="s">
        <v>132</v>
      </c>
      <c r="M2547" t="s">
        <v>116</v>
      </c>
    </row>
    <row r="2548" spans="2:13" x14ac:dyDescent="0.2">
      <c r="B2548">
        <v>3099</v>
      </c>
      <c r="C2548">
        <v>5</v>
      </c>
      <c r="D2548">
        <v>0</v>
      </c>
      <c r="E2548">
        <v>0</v>
      </c>
      <c r="F2548">
        <v>0.6</v>
      </c>
      <c r="G2548">
        <v>0.6</v>
      </c>
      <c r="H2548">
        <v>0</v>
      </c>
      <c r="I2548">
        <v>0</v>
      </c>
      <c r="J2548">
        <v>0</v>
      </c>
      <c r="K2548">
        <v>50</v>
      </c>
      <c r="L2548" t="s">
        <v>113</v>
      </c>
      <c r="M2548" t="s">
        <v>114</v>
      </c>
    </row>
    <row r="2549" spans="2:13" x14ac:dyDescent="0.2">
      <c r="B2549">
        <v>3099</v>
      </c>
      <c r="C2549">
        <v>5</v>
      </c>
      <c r="D2549">
        <v>6</v>
      </c>
      <c r="E2549">
        <v>0.1</v>
      </c>
      <c r="F2549">
        <v>0.6</v>
      </c>
      <c r="G2549">
        <v>0.6</v>
      </c>
      <c r="H2549">
        <v>65</v>
      </c>
      <c r="I2549">
        <v>0</v>
      </c>
      <c r="J2549">
        <v>0</v>
      </c>
      <c r="K2549">
        <v>40.5</v>
      </c>
      <c r="L2549" t="s">
        <v>115</v>
      </c>
      <c r="M2549" t="s">
        <v>116</v>
      </c>
    </row>
    <row r="2550" spans="2:13" x14ac:dyDescent="0.2">
      <c r="B2550">
        <v>3099</v>
      </c>
      <c r="C2550">
        <v>5</v>
      </c>
      <c r="D2550">
        <v>8.4</v>
      </c>
      <c r="E2550">
        <v>0.14000000000000001</v>
      </c>
      <c r="F2550">
        <v>0.6</v>
      </c>
      <c r="G2550">
        <v>0.6</v>
      </c>
      <c r="H2550">
        <v>91</v>
      </c>
      <c r="I2550">
        <v>0</v>
      </c>
      <c r="J2550">
        <v>1</v>
      </c>
      <c r="K2550">
        <v>64.599999999999994</v>
      </c>
      <c r="L2550" t="s">
        <v>117</v>
      </c>
      <c r="M2550" t="s">
        <v>118</v>
      </c>
    </row>
    <row r="2551" spans="2:13" x14ac:dyDescent="0.2">
      <c r="B2551">
        <v>3099</v>
      </c>
      <c r="C2551">
        <v>5</v>
      </c>
      <c r="D2551">
        <v>12.1</v>
      </c>
      <c r="E2551">
        <v>0.2</v>
      </c>
      <c r="F2551">
        <v>0.6</v>
      </c>
      <c r="G2551">
        <v>0.6</v>
      </c>
      <c r="H2551">
        <v>130</v>
      </c>
      <c r="I2551">
        <v>2</v>
      </c>
      <c r="J2551">
        <v>1</v>
      </c>
      <c r="K2551">
        <v>63.8</v>
      </c>
      <c r="L2551" t="s">
        <v>121</v>
      </c>
      <c r="M2551" t="s">
        <v>116</v>
      </c>
    </row>
    <row r="2552" spans="2:13" x14ac:dyDescent="0.2">
      <c r="B2552">
        <v>3099</v>
      </c>
      <c r="C2552">
        <v>5</v>
      </c>
      <c r="D2552">
        <v>12.6</v>
      </c>
      <c r="E2552">
        <v>0.21</v>
      </c>
      <c r="F2552">
        <v>0.6</v>
      </c>
      <c r="G2552">
        <v>0.6</v>
      </c>
      <c r="H2552">
        <v>136</v>
      </c>
      <c r="I2552">
        <v>2</v>
      </c>
      <c r="J2552">
        <v>2</v>
      </c>
      <c r="K2552">
        <v>55.3</v>
      </c>
      <c r="L2552" t="s">
        <v>127</v>
      </c>
      <c r="M2552" t="s">
        <v>118</v>
      </c>
    </row>
    <row r="2553" spans="2:13" x14ac:dyDescent="0.2">
      <c r="B2553">
        <v>3099</v>
      </c>
      <c r="C2553">
        <v>5</v>
      </c>
      <c r="D2553">
        <v>18.100000000000001</v>
      </c>
      <c r="E2553">
        <v>0.3</v>
      </c>
      <c r="F2553">
        <v>0.6</v>
      </c>
      <c r="G2553">
        <v>0.6</v>
      </c>
      <c r="H2553">
        <v>195</v>
      </c>
      <c r="I2553">
        <v>9</v>
      </c>
      <c r="J2553">
        <v>2</v>
      </c>
      <c r="K2553">
        <v>72.099999999999994</v>
      </c>
      <c r="L2553" t="s">
        <v>136</v>
      </c>
      <c r="M2553" t="s">
        <v>116</v>
      </c>
    </row>
    <row r="2554" spans="2:13" x14ac:dyDescent="0.2">
      <c r="B2554">
        <v>3099</v>
      </c>
      <c r="C2554">
        <v>5</v>
      </c>
      <c r="D2554">
        <v>18.3</v>
      </c>
      <c r="E2554">
        <v>0.3</v>
      </c>
      <c r="F2554">
        <v>0.6</v>
      </c>
      <c r="G2554">
        <v>0.6</v>
      </c>
      <c r="H2554">
        <v>197</v>
      </c>
      <c r="I2554">
        <v>9</v>
      </c>
      <c r="J2554">
        <v>3</v>
      </c>
      <c r="K2554">
        <v>67.099999999999994</v>
      </c>
      <c r="L2554" t="s">
        <v>125</v>
      </c>
      <c r="M2554" t="s">
        <v>118</v>
      </c>
    </row>
    <row r="2555" spans="2:13" x14ac:dyDescent="0.2">
      <c r="B2555">
        <v>3100</v>
      </c>
      <c r="C2555">
        <v>1</v>
      </c>
      <c r="D2555">
        <v>0</v>
      </c>
      <c r="E2555">
        <v>0</v>
      </c>
      <c r="F2555">
        <v>0.6</v>
      </c>
      <c r="G2555">
        <v>0.6</v>
      </c>
      <c r="H2555">
        <v>0</v>
      </c>
      <c r="I2555">
        <v>0</v>
      </c>
      <c r="J2555">
        <v>0</v>
      </c>
      <c r="K2555">
        <v>50</v>
      </c>
      <c r="L2555" t="s">
        <v>113</v>
      </c>
      <c r="M2555" t="s">
        <v>114</v>
      </c>
    </row>
    <row r="2556" spans="2:13" x14ac:dyDescent="0.2">
      <c r="B2556">
        <v>3100</v>
      </c>
      <c r="C2556">
        <v>1</v>
      </c>
      <c r="D2556">
        <v>6</v>
      </c>
      <c r="E2556">
        <v>0.1</v>
      </c>
      <c r="F2556">
        <v>0.6</v>
      </c>
      <c r="G2556">
        <v>0.6</v>
      </c>
      <c r="H2556">
        <v>65</v>
      </c>
      <c r="I2556">
        <v>0</v>
      </c>
      <c r="J2556">
        <v>0</v>
      </c>
      <c r="K2556">
        <v>41.7</v>
      </c>
      <c r="L2556" t="s">
        <v>115</v>
      </c>
      <c r="M2556" t="s">
        <v>116</v>
      </c>
    </row>
    <row r="2557" spans="2:13" x14ac:dyDescent="0.2">
      <c r="B2557">
        <v>3100</v>
      </c>
      <c r="C2557">
        <v>1</v>
      </c>
      <c r="D2557">
        <v>11.9</v>
      </c>
      <c r="E2557">
        <v>0.2</v>
      </c>
      <c r="F2557">
        <v>0.6</v>
      </c>
      <c r="G2557">
        <v>0.6</v>
      </c>
      <c r="H2557">
        <v>129</v>
      </c>
      <c r="I2557">
        <v>2</v>
      </c>
      <c r="J2557">
        <v>1</v>
      </c>
      <c r="K2557">
        <v>64.3</v>
      </c>
      <c r="L2557" t="s">
        <v>117</v>
      </c>
      <c r="M2557" t="s">
        <v>118</v>
      </c>
    </row>
    <row r="2558" spans="2:13" x14ac:dyDescent="0.2">
      <c r="B2558">
        <v>3100</v>
      </c>
      <c r="C2558">
        <v>1</v>
      </c>
      <c r="D2558">
        <v>12.1</v>
      </c>
      <c r="E2558">
        <v>0.2</v>
      </c>
      <c r="F2558">
        <v>0.6</v>
      </c>
      <c r="G2558">
        <v>0.6</v>
      </c>
      <c r="H2558">
        <v>130</v>
      </c>
      <c r="I2558">
        <v>2</v>
      </c>
      <c r="J2558">
        <v>1</v>
      </c>
      <c r="K2558">
        <v>64.400000000000006</v>
      </c>
      <c r="L2558" t="s">
        <v>121</v>
      </c>
      <c r="M2558" t="s">
        <v>116</v>
      </c>
    </row>
    <row r="2559" spans="2:13" x14ac:dyDescent="0.2">
      <c r="B2559">
        <v>3100</v>
      </c>
      <c r="C2559">
        <v>1</v>
      </c>
      <c r="D2559">
        <v>18.100000000000001</v>
      </c>
      <c r="E2559">
        <v>0.3</v>
      </c>
      <c r="F2559">
        <v>0.6</v>
      </c>
      <c r="G2559">
        <v>0.7</v>
      </c>
      <c r="H2559">
        <v>195</v>
      </c>
      <c r="I2559">
        <v>6</v>
      </c>
      <c r="J2559">
        <v>1</v>
      </c>
      <c r="K2559">
        <v>80.900000000000006</v>
      </c>
      <c r="L2559" t="s">
        <v>128</v>
      </c>
      <c r="M2559" t="s">
        <v>116</v>
      </c>
    </row>
    <row r="2560" spans="2:13" x14ac:dyDescent="0.2">
      <c r="B2560">
        <v>3100</v>
      </c>
      <c r="C2560">
        <v>2</v>
      </c>
      <c r="D2560">
        <v>0</v>
      </c>
      <c r="E2560">
        <v>0</v>
      </c>
      <c r="F2560">
        <v>0.6</v>
      </c>
      <c r="G2560">
        <v>0.6</v>
      </c>
      <c r="H2560">
        <v>0</v>
      </c>
      <c r="I2560">
        <v>0</v>
      </c>
      <c r="J2560">
        <v>0</v>
      </c>
      <c r="K2560">
        <v>50</v>
      </c>
      <c r="L2560" t="s">
        <v>113</v>
      </c>
      <c r="M2560" t="s">
        <v>114</v>
      </c>
    </row>
    <row r="2561" spans="2:13" x14ac:dyDescent="0.2">
      <c r="B2561">
        <v>3100</v>
      </c>
      <c r="C2561">
        <v>2</v>
      </c>
      <c r="D2561">
        <v>6</v>
      </c>
      <c r="E2561">
        <v>0.1</v>
      </c>
      <c r="F2561">
        <v>0.6</v>
      </c>
      <c r="G2561">
        <v>0.6</v>
      </c>
      <c r="H2561">
        <v>65</v>
      </c>
      <c r="I2561">
        <v>0</v>
      </c>
      <c r="J2561">
        <v>0</v>
      </c>
      <c r="K2561">
        <v>36.4</v>
      </c>
      <c r="L2561" t="s">
        <v>115</v>
      </c>
      <c r="M2561" t="s">
        <v>116</v>
      </c>
    </row>
    <row r="2562" spans="2:13" x14ac:dyDescent="0.2">
      <c r="B2562">
        <v>3100</v>
      </c>
      <c r="C2562">
        <v>2</v>
      </c>
      <c r="D2562">
        <v>11</v>
      </c>
      <c r="E2562">
        <v>0.18</v>
      </c>
      <c r="F2562">
        <v>0.6</v>
      </c>
      <c r="G2562">
        <v>0.6</v>
      </c>
      <c r="H2562">
        <v>119</v>
      </c>
      <c r="I2562">
        <v>1</v>
      </c>
      <c r="J2562">
        <v>1</v>
      </c>
      <c r="K2562">
        <v>74.099999999999994</v>
      </c>
      <c r="L2562" t="s">
        <v>117</v>
      </c>
      <c r="M2562" t="s">
        <v>118</v>
      </c>
    </row>
    <row r="2563" spans="2:13" x14ac:dyDescent="0.2">
      <c r="B2563">
        <v>3100</v>
      </c>
      <c r="C2563">
        <v>2</v>
      </c>
      <c r="D2563">
        <v>12.1</v>
      </c>
      <c r="E2563">
        <v>0.2</v>
      </c>
      <c r="F2563">
        <v>0.6</v>
      </c>
      <c r="G2563">
        <v>0.6</v>
      </c>
      <c r="H2563">
        <v>130</v>
      </c>
      <c r="I2563">
        <v>1</v>
      </c>
      <c r="J2563">
        <v>1</v>
      </c>
      <c r="K2563">
        <v>77.099999999999994</v>
      </c>
      <c r="L2563" t="s">
        <v>138</v>
      </c>
      <c r="M2563" t="s">
        <v>116</v>
      </c>
    </row>
    <row r="2564" spans="2:13" x14ac:dyDescent="0.2">
      <c r="B2564">
        <v>3100</v>
      </c>
      <c r="C2564">
        <v>2</v>
      </c>
      <c r="D2564">
        <v>16.2</v>
      </c>
      <c r="E2564">
        <v>0.27</v>
      </c>
      <c r="F2564">
        <v>0.6</v>
      </c>
      <c r="G2564">
        <v>0.6</v>
      </c>
      <c r="H2564">
        <v>175</v>
      </c>
      <c r="I2564">
        <v>7</v>
      </c>
      <c r="J2564">
        <v>2</v>
      </c>
      <c r="K2564">
        <v>70.8</v>
      </c>
      <c r="L2564" t="s">
        <v>119</v>
      </c>
      <c r="M2564" t="s">
        <v>118</v>
      </c>
    </row>
    <row r="2565" spans="2:13" x14ac:dyDescent="0.2">
      <c r="B2565">
        <v>3100</v>
      </c>
      <c r="C2565">
        <v>2</v>
      </c>
      <c r="D2565">
        <v>18.100000000000001</v>
      </c>
      <c r="E2565">
        <v>0.3</v>
      </c>
      <c r="F2565">
        <v>0.6</v>
      </c>
      <c r="G2565">
        <v>0.6</v>
      </c>
      <c r="H2565">
        <v>195</v>
      </c>
      <c r="I2565">
        <v>7</v>
      </c>
      <c r="J2565">
        <v>2</v>
      </c>
      <c r="K2565">
        <v>71</v>
      </c>
      <c r="L2565" t="s">
        <v>132</v>
      </c>
      <c r="M2565" t="s">
        <v>116</v>
      </c>
    </row>
    <row r="2566" spans="2:13" x14ac:dyDescent="0.2">
      <c r="B2566">
        <v>3100</v>
      </c>
      <c r="C2566">
        <v>3</v>
      </c>
      <c r="D2566">
        <v>0</v>
      </c>
      <c r="E2566">
        <v>0</v>
      </c>
      <c r="F2566">
        <v>0.6</v>
      </c>
      <c r="G2566">
        <v>0.6</v>
      </c>
      <c r="H2566">
        <v>0</v>
      </c>
      <c r="I2566">
        <v>0</v>
      </c>
      <c r="J2566">
        <v>0</v>
      </c>
      <c r="K2566">
        <v>50</v>
      </c>
      <c r="L2566" t="s">
        <v>113</v>
      </c>
      <c r="M2566" t="s">
        <v>114</v>
      </c>
    </row>
    <row r="2567" spans="2:13" x14ac:dyDescent="0.2">
      <c r="B2567">
        <v>3100</v>
      </c>
      <c r="C2567">
        <v>3</v>
      </c>
      <c r="D2567">
        <v>6</v>
      </c>
      <c r="E2567">
        <v>0.1</v>
      </c>
      <c r="F2567">
        <v>0.6</v>
      </c>
      <c r="G2567">
        <v>0.6</v>
      </c>
      <c r="H2567">
        <v>65</v>
      </c>
      <c r="I2567">
        <v>1</v>
      </c>
      <c r="J2567">
        <v>0</v>
      </c>
      <c r="K2567">
        <v>38</v>
      </c>
      <c r="L2567" t="s">
        <v>115</v>
      </c>
      <c r="M2567" t="s">
        <v>116</v>
      </c>
    </row>
    <row r="2568" spans="2:13" x14ac:dyDescent="0.2">
      <c r="B2568">
        <v>3100</v>
      </c>
      <c r="C2568">
        <v>3</v>
      </c>
      <c r="D2568">
        <v>7.7</v>
      </c>
      <c r="E2568">
        <v>0.13</v>
      </c>
      <c r="F2568">
        <v>0.6</v>
      </c>
      <c r="G2568">
        <v>0.6</v>
      </c>
      <c r="H2568">
        <v>83</v>
      </c>
      <c r="I2568">
        <v>1</v>
      </c>
      <c r="J2568">
        <v>1</v>
      </c>
      <c r="K2568">
        <v>39.299999999999997</v>
      </c>
      <c r="L2568" t="s">
        <v>117</v>
      </c>
      <c r="M2568" t="s">
        <v>118</v>
      </c>
    </row>
    <row r="2569" spans="2:13" x14ac:dyDescent="0.2">
      <c r="B2569">
        <v>3100</v>
      </c>
      <c r="C2569">
        <v>3</v>
      </c>
      <c r="D2569">
        <v>12.1</v>
      </c>
      <c r="E2569">
        <v>0.2</v>
      </c>
      <c r="F2569">
        <v>0.6</v>
      </c>
      <c r="G2569">
        <v>0.6</v>
      </c>
      <c r="H2569">
        <v>130</v>
      </c>
      <c r="I2569">
        <v>2</v>
      </c>
      <c r="J2569">
        <v>1</v>
      </c>
      <c r="K2569">
        <v>63.8</v>
      </c>
      <c r="L2569" t="s">
        <v>121</v>
      </c>
      <c r="M2569" t="s">
        <v>116</v>
      </c>
    </row>
    <row r="2570" spans="2:13" x14ac:dyDescent="0.2">
      <c r="B2570">
        <v>3100</v>
      </c>
      <c r="C2570">
        <v>3</v>
      </c>
      <c r="D2570">
        <v>13.8</v>
      </c>
      <c r="E2570">
        <v>0.23</v>
      </c>
      <c r="F2570">
        <v>0.6</v>
      </c>
      <c r="G2570">
        <v>0.6</v>
      </c>
      <c r="H2570">
        <v>149</v>
      </c>
      <c r="I2570">
        <v>2</v>
      </c>
      <c r="J2570">
        <v>2</v>
      </c>
      <c r="K2570">
        <v>55.6</v>
      </c>
      <c r="L2570" t="s">
        <v>119</v>
      </c>
      <c r="M2570" t="s">
        <v>118</v>
      </c>
    </row>
    <row r="2571" spans="2:13" x14ac:dyDescent="0.2">
      <c r="B2571">
        <v>3100</v>
      </c>
      <c r="C2571">
        <v>3</v>
      </c>
      <c r="D2571">
        <v>18.100000000000001</v>
      </c>
      <c r="E2571">
        <v>0.3</v>
      </c>
      <c r="F2571">
        <v>0.6</v>
      </c>
      <c r="G2571">
        <v>0.6</v>
      </c>
      <c r="H2571">
        <v>195</v>
      </c>
      <c r="I2571">
        <v>2</v>
      </c>
      <c r="J2571">
        <v>2</v>
      </c>
      <c r="K2571">
        <v>64.8</v>
      </c>
      <c r="L2571" t="s">
        <v>121</v>
      </c>
      <c r="M2571" t="s">
        <v>116</v>
      </c>
    </row>
    <row r="2572" spans="2:13" x14ac:dyDescent="0.2">
      <c r="B2572">
        <v>3100</v>
      </c>
      <c r="C2572">
        <v>4</v>
      </c>
      <c r="D2572">
        <v>0</v>
      </c>
      <c r="E2572">
        <v>0</v>
      </c>
      <c r="F2572">
        <v>0.6</v>
      </c>
      <c r="G2572">
        <v>0.6</v>
      </c>
      <c r="H2572">
        <v>0</v>
      </c>
      <c r="I2572">
        <v>0</v>
      </c>
      <c r="J2572">
        <v>0</v>
      </c>
      <c r="K2572">
        <v>50</v>
      </c>
      <c r="L2572" t="s">
        <v>113</v>
      </c>
      <c r="M2572" t="s">
        <v>114</v>
      </c>
    </row>
    <row r="2573" spans="2:13" x14ac:dyDescent="0.2">
      <c r="B2573">
        <v>3100</v>
      </c>
      <c r="C2573">
        <v>4</v>
      </c>
      <c r="D2573">
        <v>6</v>
      </c>
      <c r="E2573">
        <v>0.1</v>
      </c>
      <c r="F2573">
        <v>0.6</v>
      </c>
      <c r="G2573">
        <v>0.6</v>
      </c>
      <c r="H2573">
        <v>65</v>
      </c>
      <c r="I2573">
        <v>1</v>
      </c>
      <c r="J2573">
        <v>0</v>
      </c>
      <c r="K2573">
        <v>38</v>
      </c>
      <c r="L2573" t="s">
        <v>115</v>
      </c>
      <c r="M2573" t="s">
        <v>116</v>
      </c>
    </row>
    <row r="2574" spans="2:13" x14ac:dyDescent="0.2">
      <c r="B2574">
        <v>3100</v>
      </c>
      <c r="C2574">
        <v>4</v>
      </c>
      <c r="D2574">
        <v>8.6999999999999993</v>
      </c>
      <c r="E2574">
        <v>0.15</v>
      </c>
      <c r="F2574">
        <v>0.6</v>
      </c>
      <c r="G2574">
        <v>0.6</v>
      </c>
      <c r="H2574">
        <v>95</v>
      </c>
      <c r="I2574">
        <v>1</v>
      </c>
      <c r="J2574">
        <v>1</v>
      </c>
      <c r="K2574">
        <v>39.1</v>
      </c>
      <c r="L2574" t="s">
        <v>117</v>
      </c>
      <c r="M2574" t="s">
        <v>118</v>
      </c>
    </row>
    <row r="2575" spans="2:13" x14ac:dyDescent="0.2">
      <c r="B2575">
        <v>3100</v>
      </c>
      <c r="C2575">
        <v>4</v>
      </c>
      <c r="D2575">
        <v>9</v>
      </c>
      <c r="E2575">
        <v>0.15</v>
      </c>
      <c r="F2575">
        <v>0.6</v>
      </c>
      <c r="G2575">
        <v>0.6</v>
      </c>
      <c r="H2575">
        <v>98</v>
      </c>
      <c r="I2575">
        <v>1</v>
      </c>
      <c r="J2575">
        <v>2</v>
      </c>
      <c r="K2575">
        <v>39</v>
      </c>
      <c r="L2575" t="s">
        <v>119</v>
      </c>
      <c r="M2575" t="s">
        <v>118</v>
      </c>
    </row>
    <row r="2576" spans="2:13" x14ac:dyDescent="0.2">
      <c r="B2576">
        <v>3100</v>
      </c>
      <c r="C2576">
        <v>4</v>
      </c>
      <c r="D2576">
        <v>12.1</v>
      </c>
      <c r="E2576">
        <v>0.2</v>
      </c>
      <c r="F2576">
        <v>0.6</v>
      </c>
      <c r="G2576">
        <v>0.45</v>
      </c>
      <c r="H2576">
        <v>130</v>
      </c>
      <c r="I2576">
        <v>1</v>
      </c>
      <c r="J2576">
        <v>2</v>
      </c>
      <c r="K2576">
        <v>56.1</v>
      </c>
      <c r="L2576" t="s">
        <v>120</v>
      </c>
      <c r="M2576" t="s">
        <v>116</v>
      </c>
    </row>
    <row r="2577" spans="2:13" x14ac:dyDescent="0.2">
      <c r="B2577">
        <v>3100</v>
      </c>
      <c r="C2577">
        <v>4</v>
      </c>
      <c r="D2577">
        <v>18.100000000000001</v>
      </c>
      <c r="E2577">
        <v>0.3</v>
      </c>
      <c r="F2577">
        <v>0.45</v>
      </c>
      <c r="G2577">
        <v>0.45</v>
      </c>
      <c r="H2577">
        <v>179</v>
      </c>
      <c r="I2577">
        <v>3</v>
      </c>
      <c r="J2577">
        <v>2</v>
      </c>
      <c r="K2577">
        <v>64.099999999999994</v>
      </c>
      <c r="L2577" t="s">
        <v>115</v>
      </c>
      <c r="M2577" t="s">
        <v>116</v>
      </c>
    </row>
    <row r="2578" spans="2:13" x14ac:dyDescent="0.2">
      <c r="B2578">
        <v>3100</v>
      </c>
      <c r="C2578">
        <v>5</v>
      </c>
      <c r="D2578">
        <v>0</v>
      </c>
      <c r="E2578">
        <v>0</v>
      </c>
      <c r="F2578">
        <v>0.6</v>
      </c>
      <c r="G2578">
        <v>0.6</v>
      </c>
      <c r="H2578">
        <v>0</v>
      </c>
      <c r="I2578">
        <v>0</v>
      </c>
      <c r="J2578">
        <v>0</v>
      </c>
      <c r="K2578">
        <v>50</v>
      </c>
      <c r="L2578" t="s">
        <v>113</v>
      </c>
      <c r="M2578" t="s">
        <v>114</v>
      </c>
    </row>
    <row r="2579" spans="2:13" x14ac:dyDescent="0.2">
      <c r="B2579">
        <v>3100</v>
      </c>
      <c r="C2579">
        <v>5</v>
      </c>
      <c r="D2579">
        <v>6</v>
      </c>
      <c r="E2579">
        <v>0.1</v>
      </c>
      <c r="F2579">
        <v>0.6</v>
      </c>
      <c r="G2579">
        <v>0.6</v>
      </c>
      <c r="H2579">
        <v>65</v>
      </c>
      <c r="I2579">
        <v>0</v>
      </c>
      <c r="J2579">
        <v>0</v>
      </c>
      <c r="K2579">
        <v>90.9</v>
      </c>
      <c r="L2579" t="s">
        <v>115</v>
      </c>
      <c r="M2579" t="s">
        <v>116</v>
      </c>
    </row>
    <row r="2580" spans="2:13" x14ac:dyDescent="0.2">
      <c r="B2580">
        <v>3100</v>
      </c>
      <c r="C2580">
        <v>5</v>
      </c>
      <c r="D2580">
        <v>12.1</v>
      </c>
      <c r="E2580">
        <v>0.2</v>
      </c>
      <c r="F2580">
        <v>0.6</v>
      </c>
      <c r="G2580">
        <v>0.6</v>
      </c>
      <c r="H2580">
        <v>130</v>
      </c>
      <c r="I2580">
        <v>3</v>
      </c>
      <c r="J2580">
        <v>0</v>
      </c>
      <c r="K2580">
        <v>89.6</v>
      </c>
      <c r="L2580" t="s">
        <v>115</v>
      </c>
      <c r="M2580" t="s">
        <v>116</v>
      </c>
    </row>
    <row r="2581" spans="2:13" x14ac:dyDescent="0.2">
      <c r="B2581">
        <v>3100</v>
      </c>
      <c r="C2581">
        <v>5</v>
      </c>
      <c r="D2581">
        <v>16</v>
      </c>
      <c r="E2581">
        <v>0.27</v>
      </c>
      <c r="F2581">
        <v>0.6</v>
      </c>
      <c r="G2581">
        <v>0.6</v>
      </c>
      <c r="H2581">
        <v>173</v>
      </c>
      <c r="I2581">
        <v>5</v>
      </c>
      <c r="J2581">
        <v>1</v>
      </c>
      <c r="K2581">
        <v>73.2</v>
      </c>
      <c r="L2581" t="s">
        <v>122</v>
      </c>
      <c r="M2581" t="s">
        <v>118</v>
      </c>
    </row>
    <row r="2582" spans="2:13" x14ac:dyDescent="0.2">
      <c r="B2582">
        <v>3100</v>
      </c>
      <c r="C2582">
        <v>5</v>
      </c>
      <c r="D2582">
        <v>18.100000000000001</v>
      </c>
      <c r="E2582">
        <v>0.3</v>
      </c>
      <c r="F2582">
        <v>0.6</v>
      </c>
      <c r="G2582">
        <v>0.6</v>
      </c>
      <c r="H2582">
        <v>195</v>
      </c>
      <c r="I2582">
        <v>5</v>
      </c>
      <c r="J2582">
        <v>1</v>
      </c>
      <c r="K2582">
        <v>73.400000000000006</v>
      </c>
      <c r="L2582" t="s">
        <v>132</v>
      </c>
      <c r="M2582" t="s">
        <v>116</v>
      </c>
    </row>
    <row r="2583" spans="2:13" x14ac:dyDescent="0.2">
      <c r="B2583">
        <v>3101</v>
      </c>
      <c r="C2583">
        <v>1</v>
      </c>
      <c r="D2583">
        <v>0</v>
      </c>
      <c r="E2583">
        <v>0</v>
      </c>
      <c r="F2583">
        <v>0.6</v>
      </c>
      <c r="G2583">
        <v>0.6</v>
      </c>
      <c r="H2583">
        <v>0</v>
      </c>
      <c r="I2583">
        <v>0</v>
      </c>
      <c r="J2583">
        <v>0</v>
      </c>
      <c r="K2583">
        <v>50</v>
      </c>
      <c r="L2583" t="s">
        <v>113</v>
      </c>
      <c r="M2583" t="s">
        <v>114</v>
      </c>
    </row>
    <row r="2584" spans="2:13" x14ac:dyDescent="0.2">
      <c r="B2584">
        <v>3101</v>
      </c>
      <c r="C2584">
        <v>1</v>
      </c>
      <c r="D2584">
        <v>6</v>
      </c>
      <c r="E2584">
        <v>0.1</v>
      </c>
      <c r="F2584">
        <v>0.6</v>
      </c>
      <c r="G2584">
        <v>0.6</v>
      </c>
      <c r="H2584">
        <v>65</v>
      </c>
      <c r="I2584">
        <v>0</v>
      </c>
      <c r="J2584">
        <v>0</v>
      </c>
      <c r="K2584">
        <v>45.5</v>
      </c>
      <c r="L2584" t="s">
        <v>115</v>
      </c>
      <c r="M2584" t="s">
        <v>116</v>
      </c>
    </row>
    <row r="2585" spans="2:13" x14ac:dyDescent="0.2">
      <c r="B2585">
        <v>3101</v>
      </c>
      <c r="C2585">
        <v>1</v>
      </c>
      <c r="D2585">
        <v>12.1</v>
      </c>
      <c r="E2585">
        <v>0.2</v>
      </c>
      <c r="F2585">
        <v>0.6</v>
      </c>
      <c r="G2585">
        <v>0.7</v>
      </c>
      <c r="H2585">
        <v>130</v>
      </c>
      <c r="I2585">
        <v>2</v>
      </c>
      <c r="J2585">
        <v>0</v>
      </c>
      <c r="K2585">
        <v>94.4</v>
      </c>
      <c r="L2585" t="s">
        <v>128</v>
      </c>
      <c r="M2585" t="s">
        <v>116</v>
      </c>
    </row>
    <row r="2586" spans="2:13" x14ac:dyDescent="0.2">
      <c r="B2586">
        <v>3101</v>
      </c>
      <c r="C2586">
        <v>1</v>
      </c>
      <c r="D2586">
        <v>12.6</v>
      </c>
      <c r="E2586">
        <v>0.21</v>
      </c>
      <c r="F2586">
        <v>0.7</v>
      </c>
      <c r="G2586">
        <v>0.7</v>
      </c>
      <c r="H2586">
        <v>137</v>
      </c>
      <c r="I2586">
        <v>3</v>
      </c>
      <c r="J2586">
        <v>1</v>
      </c>
      <c r="K2586">
        <v>81.7</v>
      </c>
      <c r="L2586" t="s">
        <v>117</v>
      </c>
      <c r="M2586" t="s">
        <v>118</v>
      </c>
    </row>
    <row r="2587" spans="2:13" x14ac:dyDescent="0.2">
      <c r="B2587">
        <v>3101</v>
      </c>
      <c r="C2587">
        <v>1</v>
      </c>
      <c r="D2587">
        <v>15.1</v>
      </c>
      <c r="E2587">
        <v>0.25</v>
      </c>
      <c r="F2587">
        <v>0.7</v>
      </c>
      <c r="G2587">
        <v>0.7</v>
      </c>
      <c r="H2587">
        <v>169</v>
      </c>
      <c r="I2587">
        <v>5</v>
      </c>
      <c r="J2587">
        <v>2</v>
      </c>
      <c r="K2587">
        <v>74</v>
      </c>
      <c r="L2587" t="s">
        <v>119</v>
      </c>
      <c r="M2587" t="s">
        <v>118</v>
      </c>
    </row>
    <row r="2588" spans="2:13" x14ac:dyDescent="0.2">
      <c r="B2588">
        <v>3101</v>
      </c>
      <c r="C2588">
        <v>2</v>
      </c>
      <c r="D2588">
        <v>0</v>
      </c>
      <c r="E2588">
        <v>0</v>
      </c>
      <c r="F2588">
        <v>0.6</v>
      </c>
      <c r="G2588">
        <v>0.6</v>
      </c>
      <c r="H2588">
        <v>0</v>
      </c>
      <c r="I2588">
        <v>0</v>
      </c>
      <c r="J2588">
        <v>0</v>
      </c>
      <c r="K2588">
        <v>50</v>
      </c>
      <c r="L2588" t="s">
        <v>113</v>
      </c>
      <c r="M2588" t="s">
        <v>114</v>
      </c>
    </row>
    <row r="2589" spans="2:13" x14ac:dyDescent="0.2">
      <c r="B2589">
        <v>3101</v>
      </c>
      <c r="C2589">
        <v>2</v>
      </c>
      <c r="D2589">
        <v>6</v>
      </c>
      <c r="E2589">
        <v>0.1</v>
      </c>
      <c r="F2589">
        <v>0.6</v>
      </c>
      <c r="G2589">
        <v>0.6</v>
      </c>
      <c r="H2589">
        <v>65</v>
      </c>
      <c r="I2589">
        <v>0</v>
      </c>
      <c r="J2589">
        <v>0</v>
      </c>
      <c r="K2589">
        <v>41.3</v>
      </c>
      <c r="L2589" t="s">
        <v>115</v>
      </c>
      <c r="M2589" t="s">
        <v>116</v>
      </c>
    </row>
    <row r="2590" spans="2:13" x14ac:dyDescent="0.2">
      <c r="B2590">
        <v>3101</v>
      </c>
      <c r="C2590">
        <v>2</v>
      </c>
      <c r="D2590">
        <v>7</v>
      </c>
      <c r="E2590">
        <v>0.12</v>
      </c>
      <c r="F2590">
        <v>0.6</v>
      </c>
      <c r="G2590">
        <v>0.6</v>
      </c>
      <c r="H2590">
        <v>76</v>
      </c>
      <c r="I2590">
        <v>0</v>
      </c>
      <c r="J2590">
        <v>1</v>
      </c>
      <c r="K2590">
        <v>66.400000000000006</v>
      </c>
      <c r="L2590" t="s">
        <v>122</v>
      </c>
      <c r="M2590" t="s">
        <v>118</v>
      </c>
    </row>
    <row r="2591" spans="2:13" x14ac:dyDescent="0.2">
      <c r="B2591">
        <v>3101</v>
      </c>
      <c r="C2591">
        <v>2</v>
      </c>
      <c r="D2591">
        <v>10.5</v>
      </c>
      <c r="E2591">
        <v>0.18</v>
      </c>
      <c r="F2591">
        <v>0.6</v>
      </c>
      <c r="G2591">
        <v>0.6</v>
      </c>
      <c r="H2591">
        <v>113</v>
      </c>
      <c r="I2591">
        <v>2</v>
      </c>
      <c r="J2591">
        <v>2</v>
      </c>
      <c r="K2591">
        <v>67.099999999999994</v>
      </c>
      <c r="L2591" t="s">
        <v>127</v>
      </c>
      <c r="M2591" t="s">
        <v>118</v>
      </c>
    </row>
    <row r="2592" spans="2:13" x14ac:dyDescent="0.2">
      <c r="B2592">
        <v>3101</v>
      </c>
      <c r="C2592">
        <v>2</v>
      </c>
      <c r="D2592">
        <v>12.1</v>
      </c>
      <c r="E2592">
        <v>0.2</v>
      </c>
      <c r="F2592">
        <v>0.6</v>
      </c>
      <c r="G2592">
        <v>0.6</v>
      </c>
      <c r="H2592">
        <v>130</v>
      </c>
      <c r="I2592">
        <v>2</v>
      </c>
      <c r="J2592">
        <v>2</v>
      </c>
      <c r="K2592">
        <v>66.900000000000006</v>
      </c>
      <c r="L2592" t="s">
        <v>121</v>
      </c>
      <c r="M2592" t="s">
        <v>116</v>
      </c>
    </row>
    <row r="2593" spans="2:13" x14ac:dyDescent="0.2">
      <c r="B2593">
        <v>3101</v>
      </c>
      <c r="C2593">
        <v>2</v>
      </c>
      <c r="D2593">
        <v>18.100000000000001</v>
      </c>
      <c r="E2593">
        <v>0.3</v>
      </c>
      <c r="F2593">
        <v>0.6</v>
      </c>
      <c r="G2593">
        <v>0.7</v>
      </c>
      <c r="H2593">
        <v>195</v>
      </c>
      <c r="I2593">
        <v>6</v>
      </c>
      <c r="J2593">
        <v>2</v>
      </c>
      <c r="K2593">
        <v>75.400000000000006</v>
      </c>
      <c r="L2593" t="s">
        <v>128</v>
      </c>
      <c r="M2593" t="s">
        <v>116</v>
      </c>
    </row>
    <row r="2594" spans="2:13" x14ac:dyDescent="0.2">
      <c r="B2594">
        <v>3101</v>
      </c>
      <c r="C2594">
        <v>3</v>
      </c>
      <c r="D2594">
        <v>0</v>
      </c>
      <c r="E2594">
        <v>0</v>
      </c>
      <c r="F2594">
        <v>0.6</v>
      </c>
      <c r="G2594">
        <v>0.6</v>
      </c>
      <c r="H2594">
        <v>0</v>
      </c>
      <c r="I2594">
        <v>0</v>
      </c>
      <c r="J2594">
        <v>0</v>
      </c>
      <c r="K2594">
        <v>50</v>
      </c>
      <c r="L2594" t="s">
        <v>113</v>
      </c>
      <c r="M2594" t="s">
        <v>114</v>
      </c>
    </row>
    <row r="2595" spans="2:13" x14ac:dyDescent="0.2">
      <c r="B2595">
        <v>3101</v>
      </c>
      <c r="C2595">
        <v>3</v>
      </c>
      <c r="D2595">
        <v>6</v>
      </c>
      <c r="E2595">
        <v>0.1</v>
      </c>
      <c r="F2595">
        <v>0.6</v>
      </c>
      <c r="G2595">
        <v>0.6</v>
      </c>
      <c r="H2595">
        <v>65</v>
      </c>
      <c r="I2595">
        <v>1</v>
      </c>
      <c r="J2595">
        <v>1</v>
      </c>
      <c r="K2595">
        <v>41.7</v>
      </c>
      <c r="L2595" t="s">
        <v>129</v>
      </c>
      <c r="M2595" t="s">
        <v>118</v>
      </c>
    </row>
    <row r="2596" spans="2:13" x14ac:dyDescent="0.2">
      <c r="B2596">
        <v>3101</v>
      </c>
      <c r="C2596">
        <v>3</v>
      </c>
      <c r="D2596">
        <v>6</v>
      </c>
      <c r="E2596">
        <v>0.1</v>
      </c>
      <c r="F2596">
        <v>0.6</v>
      </c>
      <c r="G2596">
        <v>0.6</v>
      </c>
      <c r="H2596">
        <v>65</v>
      </c>
      <c r="I2596">
        <v>1</v>
      </c>
      <c r="J2596">
        <v>2</v>
      </c>
      <c r="K2596">
        <v>41.3</v>
      </c>
      <c r="L2596" t="s">
        <v>127</v>
      </c>
      <c r="M2596" t="s">
        <v>118</v>
      </c>
    </row>
    <row r="2597" spans="2:13" x14ac:dyDescent="0.2">
      <c r="B2597">
        <v>3101</v>
      </c>
      <c r="C2597">
        <v>3</v>
      </c>
      <c r="D2597">
        <v>6</v>
      </c>
      <c r="E2597">
        <v>0.1</v>
      </c>
      <c r="F2597">
        <v>0.6</v>
      </c>
      <c r="G2597">
        <v>0.45</v>
      </c>
      <c r="H2597">
        <v>65</v>
      </c>
      <c r="I2597">
        <v>1</v>
      </c>
      <c r="J2597">
        <v>2</v>
      </c>
      <c r="K2597">
        <v>41.3</v>
      </c>
      <c r="L2597" t="s">
        <v>126</v>
      </c>
      <c r="M2597" t="s">
        <v>116</v>
      </c>
    </row>
    <row r="2598" spans="2:13" x14ac:dyDescent="0.2">
      <c r="B2598">
        <v>3101</v>
      </c>
      <c r="C2598">
        <v>3</v>
      </c>
      <c r="D2598">
        <v>12.1</v>
      </c>
      <c r="E2598">
        <v>0.2</v>
      </c>
      <c r="F2598">
        <v>0.45</v>
      </c>
      <c r="G2598">
        <v>0.45</v>
      </c>
      <c r="H2598">
        <v>114</v>
      </c>
      <c r="I2598">
        <v>2</v>
      </c>
      <c r="J2598">
        <v>2</v>
      </c>
      <c r="K2598">
        <v>59.2</v>
      </c>
      <c r="L2598" t="s">
        <v>115</v>
      </c>
      <c r="M2598" t="s">
        <v>116</v>
      </c>
    </row>
    <row r="2599" spans="2:13" x14ac:dyDescent="0.2">
      <c r="B2599">
        <v>3101</v>
      </c>
      <c r="C2599">
        <v>3</v>
      </c>
      <c r="D2599">
        <v>18.100000000000001</v>
      </c>
      <c r="E2599">
        <v>0.3</v>
      </c>
      <c r="F2599">
        <v>0.45</v>
      </c>
      <c r="G2599">
        <v>0.45</v>
      </c>
      <c r="H2599">
        <v>163</v>
      </c>
      <c r="I2599">
        <v>4</v>
      </c>
      <c r="J2599">
        <v>2</v>
      </c>
      <c r="K2599">
        <v>59</v>
      </c>
      <c r="L2599" t="s">
        <v>115</v>
      </c>
      <c r="M2599" t="s">
        <v>116</v>
      </c>
    </row>
    <row r="2600" spans="2:13" x14ac:dyDescent="0.2">
      <c r="B2600">
        <v>3101</v>
      </c>
      <c r="C2600">
        <v>3</v>
      </c>
      <c r="D2600">
        <v>20.100000000000001</v>
      </c>
      <c r="E2600">
        <v>0.33</v>
      </c>
      <c r="F2600">
        <v>0.45</v>
      </c>
      <c r="G2600">
        <v>0.45</v>
      </c>
      <c r="H2600">
        <v>179</v>
      </c>
      <c r="I2600">
        <v>5</v>
      </c>
      <c r="J2600">
        <v>3</v>
      </c>
      <c r="K2600">
        <v>62.5</v>
      </c>
      <c r="L2600" t="s">
        <v>157</v>
      </c>
      <c r="M2600" t="s">
        <v>118</v>
      </c>
    </row>
    <row r="2601" spans="2:13" x14ac:dyDescent="0.2">
      <c r="B2601">
        <v>3101</v>
      </c>
      <c r="C2601">
        <v>6</v>
      </c>
      <c r="D2601">
        <v>0</v>
      </c>
      <c r="E2601">
        <v>0</v>
      </c>
      <c r="F2601">
        <v>0.6</v>
      </c>
      <c r="G2601">
        <v>0.6</v>
      </c>
      <c r="H2601">
        <v>0</v>
      </c>
      <c r="I2601">
        <v>0</v>
      </c>
      <c r="J2601">
        <v>0</v>
      </c>
      <c r="K2601">
        <v>50</v>
      </c>
      <c r="L2601" t="s">
        <v>113</v>
      </c>
      <c r="M2601" t="s">
        <v>114</v>
      </c>
    </row>
    <row r="2602" spans="2:13" x14ac:dyDescent="0.2">
      <c r="B2602">
        <v>3101</v>
      </c>
      <c r="C2602">
        <v>6</v>
      </c>
      <c r="D2602">
        <v>6</v>
      </c>
      <c r="E2602">
        <v>0.1</v>
      </c>
      <c r="F2602">
        <v>0.6</v>
      </c>
      <c r="G2602">
        <v>0.6</v>
      </c>
      <c r="H2602">
        <v>65</v>
      </c>
      <c r="I2602">
        <v>0</v>
      </c>
      <c r="J2602">
        <v>0</v>
      </c>
      <c r="K2602">
        <v>91.3</v>
      </c>
      <c r="L2602" t="s">
        <v>115</v>
      </c>
      <c r="M2602" t="s">
        <v>116</v>
      </c>
    </row>
    <row r="2603" spans="2:13" x14ac:dyDescent="0.2">
      <c r="B2603">
        <v>3101</v>
      </c>
      <c r="C2603">
        <v>6</v>
      </c>
      <c r="D2603">
        <v>9.6999999999999993</v>
      </c>
      <c r="E2603">
        <v>0.16</v>
      </c>
      <c r="F2603">
        <v>0.6</v>
      </c>
      <c r="G2603">
        <v>0.6</v>
      </c>
      <c r="H2603">
        <v>104</v>
      </c>
      <c r="I2603">
        <v>2</v>
      </c>
      <c r="J2603">
        <v>1</v>
      </c>
      <c r="K2603">
        <v>79.5</v>
      </c>
      <c r="L2603" t="s">
        <v>122</v>
      </c>
      <c r="M2603" t="s">
        <v>118</v>
      </c>
    </row>
    <row r="2604" spans="2:13" x14ac:dyDescent="0.2">
      <c r="B2604">
        <v>3101</v>
      </c>
      <c r="C2604">
        <v>6</v>
      </c>
      <c r="D2604">
        <v>12.1</v>
      </c>
      <c r="E2604">
        <v>0.2</v>
      </c>
      <c r="F2604">
        <v>0.6</v>
      </c>
      <c r="G2604">
        <v>0.6</v>
      </c>
      <c r="H2604">
        <v>130</v>
      </c>
      <c r="I2604">
        <v>7</v>
      </c>
      <c r="J2604">
        <v>1</v>
      </c>
      <c r="K2604">
        <v>79.400000000000006</v>
      </c>
      <c r="L2604" t="s">
        <v>124</v>
      </c>
      <c r="M2604" t="s">
        <v>116</v>
      </c>
    </row>
    <row r="2605" spans="2:13" x14ac:dyDescent="0.2">
      <c r="B2605">
        <v>3101</v>
      </c>
      <c r="C2605">
        <v>6</v>
      </c>
      <c r="D2605">
        <v>18.100000000000001</v>
      </c>
      <c r="E2605">
        <v>0.3</v>
      </c>
      <c r="F2605">
        <v>0.6</v>
      </c>
      <c r="G2605">
        <v>0.6</v>
      </c>
      <c r="H2605">
        <v>195</v>
      </c>
      <c r="I2605">
        <v>14</v>
      </c>
      <c r="J2605">
        <v>1</v>
      </c>
      <c r="K2605">
        <v>79.2</v>
      </c>
      <c r="L2605" t="s">
        <v>115</v>
      </c>
      <c r="M2605" t="s">
        <v>116</v>
      </c>
    </row>
    <row r="2606" spans="2:13" x14ac:dyDescent="0.2">
      <c r="B2606">
        <v>3101</v>
      </c>
      <c r="C2606">
        <v>7</v>
      </c>
      <c r="D2606">
        <v>0</v>
      </c>
      <c r="E2606">
        <v>0</v>
      </c>
      <c r="F2606">
        <v>0.6</v>
      </c>
      <c r="G2606">
        <v>0.6</v>
      </c>
      <c r="H2606">
        <v>0</v>
      </c>
      <c r="I2606">
        <v>0</v>
      </c>
      <c r="J2606">
        <v>0</v>
      </c>
      <c r="K2606">
        <v>50</v>
      </c>
      <c r="L2606" t="s">
        <v>113</v>
      </c>
      <c r="M2606" t="s">
        <v>114</v>
      </c>
    </row>
    <row r="2607" spans="2:13" x14ac:dyDescent="0.2">
      <c r="B2607">
        <v>3101</v>
      </c>
      <c r="C2607">
        <v>7</v>
      </c>
      <c r="D2607">
        <v>6</v>
      </c>
      <c r="E2607">
        <v>0.1</v>
      </c>
      <c r="F2607">
        <v>0.6</v>
      </c>
      <c r="G2607">
        <v>0.6</v>
      </c>
      <c r="H2607">
        <v>65</v>
      </c>
      <c r="I2607">
        <v>0</v>
      </c>
      <c r="J2607">
        <v>0</v>
      </c>
      <c r="K2607">
        <v>41.3</v>
      </c>
      <c r="L2607" t="s">
        <v>115</v>
      </c>
      <c r="M2607" t="s">
        <v>116</v>
      </c>
    </row>
    <row r="2608" spans="2:13" x14ac:dyDescent="0.2">
      <c r="B2608">
        <v>3101</v>
      </c>
      <c r="C2608">
        <v>7</v>
      </c>
      <c r="D2608">
        <v>7.6</v>
      </c>
      <c r="E2608">
        <v>0.13</v>
      </c>
      <c r="F2608">
        <v>0.6</v>
      </c>
      <c r="G2608">
        <v>0.6</v>
      </c>
      <c r="H2608">
        <v>83</v>
      </c>
      <c r="I2608">
        <v>0</v>
      </c>
      <c r="J2608">
        <v>1</v>
      </c>
      <c r="K2608">
        <v>40.200000000000003</v>
      </c>
      <c r="L2608" t="s">
        <v>117</v>
      </c>
      <c r="M2608" t="s">
        <v>118</v>
      </c>
    </row>
    <row r="2609" spans="2:13" x14ac:dyDescent="0.2">
      <c r="B2609">
        <v>3101</v>
      </c>
      <c r="C2609">
        <v>7</v>
      </c>
      <c r="D2609">
        <v>12.1</v>
      </c>
      <c r="E2609">
        <v>0.2</v>
      </c>
      <c r="F2609">
        <v>0.6</v>
      </c>
      <c r="G2609">
        <v>0.6</v>
      </c>
      <c r="H2609">
        <v>130</v>
      </c>
      <c r="I2609">
        <v>1</v>
      </c>
      <c r="J2609">
        <v>1</v>
      </c>
      <c r="K2609">
        <v>66.7</v>
      </c>
      <c r="L2609" t="s">
        <v>121</v>
      </c>
      <c r="M2609" t="s">
        <v>116</v>
      </c>
    </row>
    <row r="2610" spans="2:13" x14ac:dyDescent="0.2">
      <c r="B2610">
        <v>3101</v>
      </c>
      <c r="C2610">
        <v>7</v>
      </c>
      <c r="D2610">
        <v>13</v>
      </c>
      <c r="E2610">
        <v>0.22</v>
      </c>
      <c r="F2610">
        <v>0.6</v>
      </c>
      <c r="G2610">
        <v>0.6</v>
      </c>
      <c r="H2610">
        <v>140</v>
      </c>
      <c r="I2610">
        <v>2</v>
      </c>
      <c r="J2610">
        <v>2</v>
      </c>
      <c r="K2610">
        <v>58.8</v>
      </c>
      <c r="L2610" t="s">
        <v>127</v>
      </c>
      <c r="M2610" t="s">
        <v>118</v>
      </c>
    </row>
    <row r="2611" spans="2:13" x14ac:dyDescent="0.2">
      <c r="B2611">
        <v>3101</v>
      </c>
      <c r="C2611">
        <v>7</v>
      </c>
      <c r="D2611">
        <v>18.100000000000001</v>
      </c>
      <c r="E2611">
        <v>0.3</v>
      </c>
      <c r="F2611">
        <v>0.6</v>
      </c>
      <c r="G2611">
        <v>0.6</v>
      </c>
      <c r="H2611">
        <v>195</v>
      </c>
      <c r="I2611">
        <v>6</v>
      </c>
      <c r="J2611">
        <v>2</v>
      </c>
      <c r="K2611">
        <v>67.099999999999994</v>
      </c>
      <c r="L2611" t="s">
        <v>121</v>
      </c>
      <c r="M2611" t="s">
        <v>116</v>
      </c>
    </row>
    <row r="2612" spans="2:13" x14ac:dyDescent="0.2">
      <c r="B2612">
        <v>3102</v>
      </c>
      <c r="C2612">
        <v>1</v>
      </c>
      <c r="D2612">
        <v>0</v>
      </c>
      <c r="E2612">
        <v>0</v>
      </c>
      <c r="F2612">
        <v>0.6</v>
      </c>
      <c r="G2612">
        <v>0.6</v>
      </c>
      <c r="H2612">
        <v>0</v>
      </c>
      <c r="I2612">
        <v>0</v>
      </c>
      <c r="J2612">
        <v>0</v>
      </c>
      <c r="K2612">
        <v>50</v>
      </c>
      <c r="L2612" t="s">
        <v>113</v>
      </c>
      <c r="M2612" t="s">
        <v>114</v>
      </c>
    </row>
    <row r="2613" spans="2:13" x14ac:dyDescent="0.2">
      <c r="B2613">
        <v>3102</v>
      </c>
      <c r="C2613">
        <v>1</v>
      </c>
      <c r="D2613">
        <v>6</v>
      </c>
      <c r="E2613">
        <v>0.1</v>
      </c>
      <c r="F2613">
        <v>0.6</v>
      </c>
      <c r="G2613">
        <v>0.6</v>
      </c>
      <c r="H2613">
        <v>65</v>
      </c>
      <c r="I2613">
        <v>0</v>
      </c>
      <c r="J2613">
        <v>0</v>
      </c>
      <c r="K2613">
        <v>34.700000000000003</v>
      </c>
      <c r="L2613" t="s">
        <v>115</v>
      </c>
      <c r="M2613" t="s">
        <v>116</v>
      </c>
    </row>
    <row r="2614" spans="2:13" x14ac:dyDescent="0.2">
      <c r="B2614">
        <v>3102</v>
      </c>
      <c r="C2614">
        <v>1</v>
      </c>
      <c r="D2614">
        <v>12.1</v>
      </c>
      <c r="E2614">
        <v>0.2</v>
      </c>
      <c r="F2614">
        <v>0.6</v>
      </c>
      <c r="G2614">
        <v>0.6</v>
      </c>
      <c r="H2614">
        <v>130</v>
      </c>
      <c r="I2614">
        <v>4</v>
      </c>
      <c r="J2614">
        <v>0</v>
      </c>
      <c r="K2614">
        <v>35.700000000000003</v>
      </c>
      <c r="L2614" t="s">
        <v>115</v>
      </c>
      <c r="M2614" t="s">
        <v>116</v>
      </c>
    </row>
    <row r="2615" spans="2:13" x14ac:dyDescent="0.2">
      <c r="B2615">
        <v>3102</v>
      </c>
      <c r="C2615">
        <v>1</v>
      </c>
      <c r="D2615">
        <v>18.100000000000001</v>
      </c>
      <c r="E2615">
        <v>0.3</v>
      </c>
      <c r="F2615">
        <v>0.6</v>
      </c>
      <c r="G2615">
        <v>0.7</v>
      </c>
      <c r="H2615">
        <v>195</v>
      </c>
      <c r="I2615">
        <v>7</v>
      </c>
      <c r="J2615">
        <v>0</v>
      </c>
      <c r="K2615">
        <v>86</v>
      </c>
      <c r="L2615" t="s">
        <v>128</v>
      </c>
      <c r="M2615" t="s">
        <v>116</v>
      </c>
    </row>
    <row r="2616" spans="2:13" x14ac:dyDescent="0.2">
      <c r="B2616">
        <v>3103</v>
      </c>
      <c r="C2616">
        <v>1</v>
      </c>
      <c r="D2616">
        <v>0</v>
      </c>
      <c r="E2616">
        <v>0</v>
      </c>
      <c r="F2616">
        <v>0.6</v>
      </c>
      <c r="G2616">
        <v>0.6</v>
      </c>
      <c r="H2616">
        <v>0</v>
      </c>
      <c r="I2616">
        <v>0</v>
      </c>
      <c r="J2616">
        <v>0</v>
      </c>
      <c r="K2616">
        <v>50</v>
      </c>
      <c r="L2616" t="s">
        <v>113</v>
      </c>
      <c r="M2616" t="s">
        <v>114</v>
      </c>
    </row>
    <row r="2617" spans="2:13" x14ac:dyDescent="0.2">
      <c r="B2617">
        <v>3103</v>
      </c>
      <c r="C2617">
        <v>1</v>
      </c>
      <c r="D2617">
        <v>6</v>
      </c>
      <c r="E2617">
        <v>0.1</v>
      </c>
      <c r="F2617">
        <v>0.6</v>
      </c>
      <c r="G2617">
        <v>0.6</v>
      </c>
      <c r="H2617">
        <v>65</v>
      </c>
      <c r="I2617">
        <v>0</v>
      </c>
      <c r="J2617">
        <v>0</v>
      </c>
      <c r="K2617">
        <v>38.799999999999997</v>
      </c>
      <c r="L2617" t="s">
        <v>115</v>
      </c>
      <c r="M2617" t="s">
        <v>116</v>
      </c>
    </row>
    <row r="2618" spans="2:13" x14ac:dyDescent="0.2">
      <c r="B2618">
        <v>3103</v>
      </c>
      <c r="C2618">
        <v>1</v>
      </c>
      <c r="D2618">
        <v>8.6999999999999993</v>
      </c>
      <c r="E2618">
        <v>0.15</v>
      </c>
      <c r="F2618">
        <v>0.6</v>
      </c>
      <c r="G2618">
        <v>0.6</v>
      </c>
      <c r="H2618">
        <v>95</v>
      </c>
      <c r="I2618">
        <v>1</v>
      </c>
      <c r="J2618">
        <v>1</v>
      </c>
      <c r="K2618">
        <v>38</v>
      </c>
      <c r="L2618" t="s">
        <v>122</v>
      </c>
      <c r="M2618" t="s">
        <v>118</v>
      </c>
    </row>
    <row r="2619" spans="2:13" x14ac:dyDescent="0.2">
      <c r="B2619">
        <v>3103</v>
      </c>
      <c r="C2619">
        <v>1</v>
      </c>
      <c r="D2619">
        <v>12.1</v>
      </c>
      <c r="E2619">
        <v>0.2</v>
      </c>
      <c r="F2619">
        <v>0.6</v>
      </c>
      <c r="G2619">
        <v>0.6</v>
      </c>
      <c r="H2619">
        <v>130</v>
      </c>
      <c r="I2619">
        <v>4</v>
      </c>
      <c r="J2619">
        <v>1</v>
      </c>
      <c r="K2619">
        <v>38.799999999999997</v>
      </c>
      <c r="L2619" t="s">
        <v>132</v>
      </c>
      <c r="M2619" t="s">
        <v>116</v>
      </c>
    </row>
    <row r="2620" spans="2:13" x14ac:dyDescent="0.2">
      <c r="B2620">
        <v>3103</v>
      </c>
      <c r="C2620">
        <v>1</v>
      </c>
      <c r="D2620">
        <v>18.100000000000001</v>
      </c>
      <c r="E2620">
        <v>0.3</v>
      </c>
      <c r="F2620">
        <v>0.6</v>
      </c>
      <c r="G2620">
        <v>0.6</v>
      </c>
      <c r="H2620">
        <v>195</v>
      </c>
      <c r="I2620">
        <v>7</v>
      </c>
      <c r="J2620">
        <v>1</v>
      </c>
      <c r="K2620">
        <v>37.299999999999997</v>
      </c>
      <c r="L2620" t="s">
        <v>115</v>
      </c>
      <c r="M2620" t="s">
        <v>116</v>
      </c>
    </row>
    <row r="2621" spans="2:13" x14ac:dyDescent="0.2">
      <c r="B2621">
        <v>3103</v>
      </c>
      <c r="C2621">
        <v>2</v>
      </c>
      <c r="D2621">
        <v>0</v>
      </c>
      <c r="E2621">
        <v>0</v>
      </c>
      <c r="F2621">
        <v>0.6</v>
      </c>
      <c r="G2621">
        <v>0.6</v>
      </c>
      <c r="H2621">
        <v>0</v>
      </c>
      <c r="I2621">
        <v>0</v>
      </c>
      <c r="J2621">
        <v>0</v>
      </c>
      <c r="K2621">
        <v>50</v>
      </c>
      <c r="L2621" t="s">
        <v>113</v>
      </c>
      <c r="M2621" t="s">
        <v>114</v>
      </c>
    </row>
    <row r="2622" spans="2:13" x14ac:dyDescent="0.2">
      <c r="B2622">
        <v>3103</v>
      </c>
      <c r="C2622">
        <v>2</v>
      </c>
      <c r="D2622">
        <v>6</v>
      </c>
      <c r="E2622">
        <v>0.1</v>
      </c>
      <c r="F2622">
        <v>0.6</v>
      </c>
      <c r="G2622">
        <v>0.6</v>
      </c>
      <c r="H2622">
        <v>65</v>
      </c>
      <c r="I2622">
        <v>0</v>
      </c>
      <c r="J2622">
        <v>0</v>
      </c>
      <c r="K2622">
        <v>34.700000000000003</v>
      </c>
      <c r="L2622" t="s">
        <v>115</v>
      </c>
      <c r="M2622" t="s">
        <v>116</v>
      </c>
    </row>
    <row r="2623" spans="2:13" x14ac:dyDescent="0.2">
      <c r="B2623">
        <v>3103</v>
      </c>
      <c r="C2623">
        <v>2</v>
      </c>
      <c r="D2623">
        <v>9.1</v>
      </c>
      <c r="E2623">
        <v>0.15</v>
      </c>
      <c r="F2623">
        <v>0.6</v>
      </c>
      <c r="G2623">
        <v>0.6</v>
      </c>
      <c r="H2623">
        <v>99</v>
      </c>
      <c r="I2623">
        <v>0</v>
      </c>
      <c r="J2623">
        <v>1</v>
      </c>
      <c r="K2623">
        <v>36.1</v>
      </c>
      <c r="L2623" t="s">
        <v>122</v>
      </c>
      <c r="M2623" t="s">
        <v>118</v>
      </c>
    </row>
    <row r="2624" spans="2:13" x14ac:dyDescent="0.2">
      <c r="B2624">
        <v>3103</v>
      </c>
      <c r="C2624">
        <v>2</v>
      </c>
      <c r="D2624">
        <v>9.9</v>
      </c>
      <c r="E2624">
        <v>0.17</v>
      </c>
      <c r="F2624">
        <v>0.6</v>
      </c>
      <c r="G2624">
        <v>0.6</v>
      </c>
      <c r="H2624">
        <v>107</v>
      </c>
      <c r="I2624">
        <v>0</v>
      </c>
      <c r="J2624">
        <v>2</v>
      </c>
      <c r="K2624">
        <v>36.4</v>
      </c>
      <c r="L2624" t="s">
        <v>119</v>
      </c>
      <c r="M2624" t="s">
        <v>118</v>
      </c>
    </row>
    <row r="2625" spans="2:13" x14ac:dyDescent="0.2">
      <c r="B2625">
        <v>3103</v>
      </c>
      <c r="C2625">
        <v>2</v>
      </c>
      <c r="D2625">
        <v>12.1</v>
      </c>
      <c r="E2625">
        <v>0.2</v>
      </c>
      <c r="F2625">
        <v>0.6</v>
      </c>
      <c r="G2625">
        <v>0.45</v>
      </c>
      <c r="H2625">
        <v>130</v>
      </c>
      <c r="I2625">
        <v>1</v>
      </c>
      <c r="J2625">
        <v>2</v>
      </c>
      <c r="K2625">
        <v>36.299999999999997</v>
      </c>
      <c r="L2625" t="s">
        <v>126</v>
      </c>
      <c r="M2625" t="s">
        <v>116</v>
      </c>
    </row>
    <row r="2626" spans="2:13" x14ac:dyDescent="0.2">
      <c r="B2626">
        <v>3103</v>
      </c>
      <c r="C2626">
        <v>2</v>
      </c>
      <c r="D2626">
        <v>15.5</v>
      </c>
      <c r="E2626">
        <v>0.26</v>
      </c>
      <c r="F2626">
        <v>0.45</v>
      </c>
      <c r="G2626">
        <v>0.45</v>
      </c>
      <c r="H2626">
        <v>158</v>
      </c>
      <c r="I2626">
        <v>4</v>
      </c>
      <c r="J2626">
        <v>3</v>
      </c>
      <c r="K2626">
        <v>36.1</v>
      </c>
      <c r="L2626" t="s">
        <v>135</v>
      </c>
      <c r="M2626" t="s">
        <v>118</v>
      </c>
    </row>
    <row r="2627" spans="2:13" x14ac:dyDescent="0.2">
      <c r="B2627">
        <v>3103</v>
      </c>
      <c r="C2627">
        <v>2</v>
      </c>
      <c r="D2627">
        <v>18.100000000000001</v>
      </c>
      <c r="E2627">
        <v>0.3</v>
      </c>
      <c r="F2627">
        <v>0.45</v>
      </c>
      <c r="G2627">
        <v>0.45</v>
      </c>
      <c r="H2627">
        <v>179</v>
      </c>
      <c r="I2627">
        <v>5</v>
      </c>
      <c r="J2627">
        <v>3</v>
      </c>
      <c r="K2627">
        <v>36</v>
      </c>
      <c r="L2627" t="s">
        <v>132</v>
      </c>
      <c r="M2627" t="s">
        <v>116</v>
      </c>
    </row>
    <row r="2628" spans="2:13" x14ac:dyDescent="0.2">
      <c r="B2628">
        <v>3103</v>
      </c>
      <c r="C2628">
        <v>3</v>
      </c>
      <c r="D2628">
        <v>0</v>
      </c>
      <c r="E2628">
        <v>0</v>
      </c>
      <c r="F2628">
        <v>0.6</v>
      </c>
      <c r="G2628">
        <v>0.6</v>
      </c>
      <c r="H2628">
        <v>0</v>
      </c>
      <c r="I2628">
        <v>0</v>
      </c>
      <c r="J2628">
        <v>0</v>
      </c>
      <c r="K2628">
        <v>50</v>
      </c>
      <c r="L2628" t="s">
        <v>113</v>
      </c>
      <c r="M2628" t="s">
        <v>114</v>
      </c>
    </row>
    <row r="2629" spans="2:13" x14ac:dyDescent="0.2">
      <c r="B2629">
        <v>3103</v>
      </c>
      <c r="C2629">
        <v>3</v>
      </c>
      <c r="D2629">
        <v>6</v>
      </c>
      <c r="E2629">
        <v>0.1</v>
      </c>
      <c r="F2629">
        <v>0.6</v>
      </c>
      <c r="G2629">
        <v>0.6</v>
      </c>
      <c r="H2629">
        <v>65</v>
      </c>
      <c r="I2629">
        <v>0</v>
      </c>
      <c r="J2629">
        <v>0</v>
      </c>
      <c r="K2629">
        <v>36.4</v>
      </c>
      <c r="L2629" t="s">
        <v>115</v>
      </c>
      <c r="M2629" t="s">
        <v>116</v>
      </c>
    </row>
    <row r="2630" spans="2:13" x14ac:dyDescent="0.2">
      <c r="B2630">
        <v>3103</v>
      </c>
      <c r="C2630">
        <v>3</v>
      </c>
      <c r="D2630">
        <v>7.8</v>
      </c>
      <c r="E2630">
        <v>0.13</v>
      </c>
      <c r="F2630">
        <v>0.6</v>
      </c>
      <c r="G2630">
        <v>0.6</v>
      </c>
      <c r="H2630">
        <v>84</v>
      </c>
      <c r="I2630">
        <v>1</v>
      </c>
      <c r="J2630">
        <v>1</v>
      </c>
      <c r="K2630">
        <v>35.6</v>
      </c>
      <c r="L2630" t="s">
        <v>117</v>
      </c>
      <c r="M2630" t="s">
        <v>118</v>
      </c>
    </row>
    <row r="2631" spans="2:13" x14ac:dyDescent="0.2">
      <c r="B2631">
        <v>3103</v>
      </c>
      <c r="C2631">
        <v>3</v>
      </c>
      <c r="D2631">
        <v>12.1</v>
      </c>
      <c r="E2631">
        <v>0.2</v>
      </c>
      <c r="F2631">
        <v>0.6</v>
      </c>
      <c r="G2631">
        <v>0.6</v>
      </c>
      <c r="H2631">
        <v>130</v>
      </c>
      <c r="I2631">
        <v>3</v>
      </c>
      <c r="J2631">
        <v>1</v>
      </c>
      <c r="K2631">
        <v>60.9</v>
      </c>
      <c r="L2631" t="s">
        <v>121</v>
      </c>
      <c r="M2631" t="s">
        <v>116</v>
      </c>
    </row>
    <row r="2632" spans="2:13" x14ac:dyDescent="0.2">
      <c r="B2632">
        <v>3103</v>
      </c>
      <c r="C2632">
        <v>3</v>
      </c>
      <c r="D2632">
        <v>12.5</v>
      </c>
      <c r="E2632">
        <v>0.21</v>
      </c>
      <c r="F2632">
        <v>0.6</v>
      </c>
      <c r="G2632">
        <v>0.6</v>
      </c>
      <c r="H2632">
        <v>135</v>
      </c>
      <c r="I2632">
        <v>4</v>
      </c>
      <c r="J2632">
        <v>2</v>
      </c>
      <c r="K2632">
        <v>52.9</v>
      </c>
      <c r="L2632" t="s">
        <v>119</v>
      </c>
      <c r="M2632" t="s">
        <v>118</v>
      </c>
    </row>
    <row r="2633" spans="2:13" x14ac:dyDescent="0.2">
      <c r="B2633">
        <v>3103</v>
      </c>
      <c r="C2633">
        <v>3</v>
      </c>
      <c r="D2633">
        <v>14.2</v>
      </c>
      <c r="E2633">
        <v>0.24</v>
      </c>
      <c r="F2633">
        <v>0.6</v>
      </c>
      <c r="G2633">
        <v>0.6</v>
      </c>
      <c r="H2633">
        <v>153</v>
      </c>
      <c r="I2633">
        <v>6</v>
      </c>
      <c r="J2633">
        <v>3</v>
      </c>
      <c r="K2633">
        <v>48.4</v>
      </c>
      <c r="L2633" t="s">
        <v>125</v>
      </c>
      <c r="M2633" t="s">
        <v>118</v>
      </c>
    </row>
    <row r="2634" spans="2:13" x14ac:dyDescent="0.2">
      <c r="B2634">
        <v>3103</v>
      </c>
      <c r="C2634">
        <v>3</v>
      </c>
      <c r="D2634">
        <v>18.100000000000001</v>
      </c>
      <c r="E2634">
        <v>0.3</v>
      </c>
      <c r="F2634">
        <v>0.6</v>
      </c>
      <c r="G2634">
        <v>0.6</v>
      </c>
      <c r="H2634">
        <v>195</v>
      </c>
      <c r="I2634">
        <v>8</v>
      </c>
      <c r="J2634">
        <v>4</v>
      </c>
      <c r="K2634">
        <v>46.8</v>
      </c>
      <c r="L2634" t="s">
        <v>130</v>
      </c>
      <c r="M2634" t="s">
        <v>118</v>
      </c>
    </row>
    <row r="2635" spans="2:13" x14ac:dyDescent="0.2">
      <c r="B2635">
        <v>3103</v>
      </c>
      <c r="C2635">
        <v>3</v>
      </c>
      <c r="D2635">
        <v>18.100000000000001</v>
      </c>
      <c r="E2635">
        <v>0.3</v>
      </c>
      <c r="F2635">
        <v>0.6</v>
      </c>
      <c r="G2635">
        <v>0.45</v>
      </c>
      <c r="H2635">
        <v>195</v>
      </c>
      <c r="I2635">
        <v>8</v>
      </c>
      <c r="J2635">
        <v>4</v>
      </c>
      <c r="K2635">
        <v>46.8</v>
      </c>
      <c r="L2635" t="s">
        <v>126</v>
      </c>
      <c r="M2635" t="s">
        <v>116</v>
      </c>
    </row>
    <row r="2636" spans="2:13" x14ac:dyDescent="0.2">
      <c r="B2636">
        <v>3103</v>
      </c>
      <c r="C2636">
        <v>4</v>
      </c>
      <c r="D2636">
        <v>0</v>
      </c>
      <c r="E2636">
        <v>0</v>
      </c>
      <c r="F2636">
        <v>0.6</v>
      </c>
      <c r="G2636">
        <v>0.6</v>
      </c>
      <c r="H2636">
        <v>0</v>
      </c>
      <c r="I2636">
        <v>0</v>
      </c>
      <c r="J2636">
        <v>0</v>
      </c>
      <c r="K2636">
        <v>50</v>
      </c>
      <c r="L2636" t="s">
        <v>113</v>
      </c>
      <c r="M2636" t="s">
        <v>114</v>
      </c>
    </row>
    <row r="2637" spans="2:13" x14ac:dyDescent="0.2">
      <c r="B2637">
        <v>3103</v>
      </c>
      <c r="C2637">
        <v>4</v>
      </c>
      <c r="D2637">
        <v>5.8</v>
      </c>
      <c r="E2637">
        <v>0.1</v>
      </c>
      <c r="F2637">
        <v>0.6</v>
      </c>
      <c r="G2637">
        <v>0.6</v>
      </c>
      <c r="H2637">
        <v>63</v>
      </c>
      <c r="I2637">
        <v>0</v>
      </c>
      <c r="J2637">
        <v>1</v>
      </c>
      <c r="K2637">
        <v>34.6</v>
      </c>
      <c r="L2637" t="s">
        <v>122</v>
      </c>
      <c r="M2637" t="s">
        <v>118</v>
      </c>
    </row>
    <row r="2638" spans="2:13" x14ac:dyDescent="0.2">
      <c r="B2638">
        <v>3103</v>
      </c>
      <c r="C2638">
        <v>4</v>
      </c>
      <c r="D2638">
        <v>6</v>
      </c>
      <c r="E2638">
        <v>0.1</v>
      </c>
      <c r="F2638">
        <v>0.6</v>
      </c>
      <c r="G2638">
        <v>0.6</v>
      </c>
      <c r="H2638">
        <v>65</v>
      </c>
      <c r="I2638">
        <v>0</v>
      </c>
      <c r="J2638">
        <v>1</v>
      </c>
      <c r="K2638">
        <v>34.700000000000003</v>
      </c>
      <c r="L2638" t="s">
        <v>132</v>
      </c>
      <c r="M2638" t="s">
        <v>116</v>
      </c>
    </row>
    <row r="2639" spans="2:13" x14ac:dyDescent="0.2">
      <c r="B2639">
        <v>3103</v>
      </c>
      <c r="C2639">
        <v>4</v>
      </c>
      <c r="D2639">
        <v>12.1</v>
      </c>
      <c r="E2639">
        <v>0.2</v>
      </c>
      <c r="F2639">
        <v>0.6</v>
      </c>
      <c r="G2639">
        <v>0.6</v>
      </c>
      <c r="H2639">
        <v>130</v>
      </c>
      <c r="I2639">
        <v>2</v>
      </c>
      <c r="J2639">
        <v>1</v>
      </c>
      <c r="K2639">
        <v>35.700000000000003</v>
      </c>
      <c r="L2639" t="s">
        <v>115</v>
      </c>
      <c r="M2639" t="s">
        <v>116</v>
      </c>
    </row>
    <row r="2640" spans="2:13" x14ac:dyDescent="0.2">
      <c r="B2640">
        <v>3103</v>
      </c>
      <c r="C2640">
        <v>4</v>
      </c>
      <c r="D2640">
        <v>18.100000000000001</v>
      </c>
      <c r="E2640">
        <v>0.3</v>
      </c>
      <c r="F2640">
        <v>0.6</v>
      </c>
      <c r="G2640">
        <v>0.7</v>
      </c>
      <c r="H2640">
        <v>195</v>
      </c>
      <c r="I2640">
        <v>4</v>
      </c>
      <c r="J2640">
        <v>1</v>
      </c>
      <c r="K2640">
        <v>72.5</v>
      </c>
      <c r="L2640" t="s">
        <v>128</v>
      </c>
      <c r="M2640" t="s">
        <v>116</v>
      </c>
    </row>
    <row r="2641" spans="2:13" x14ac:dyDescent="0.2">
      <c r="B2641">
        <v>3103</v>
      </c>
      <c r="C2641">
        <v>5</v>
      </c>
      <c r="D2641">
        <v>0</v>
      </c>
      <c r="E2641">
        <v>0</v>
      </c>
      <c r="F2641">
        <v>0.6</v>
      </c>
      <c r="G2641">
        <v>0.6</v>
      </c>
      <c r="H2641">
        <v>0</v>
      </c>
      <c r="I2641">
        <v>0</v>
      </c>
      <c r="J2641">
        <v>0</v>
      </c>
      <c r="K2641">
        <v>50</v>
      </c>
      <c r="L2641" t="s">
        <v>113</v>
      </c>
      <c r="M2641" t="s">
        <v>114</v>
      </c>
    </row>
    <row r="2642" spans="2:13" x14ac:dyDescent="0.2">
      <c r="B2642">
        <v>3103</v>
      </c>
      <c r="C2642">
        <v>5</v>
      </c>
      <c r="D2642">
        <v>6</v>
      </c>
      <c r="E2642">
        <v>0.1</v>
      </c>
      <c r="F2642">
        <v>0.6</v>
      </c>
      <c r="G2642">
        <v>0.6</v>
      </c>
      <c r="H2642">
        <v>65</v>
      </c>
      <c r="I2642">
        <v>1</v>
      </c>
      <c r="J2642">
        <v>0</v>
      </c>
      <c r="K2642">
        <v>39.299999999999997</v>
      </c>
      <c r="L2642" t="s">
        <v>115</v>
      </c>
      <c r="M2642" t="s">
        <v>116</v>
      </c>
    </row>
    <row r="2643" spans="2:13" x14ac:dyDescent="0.2">
      <c r="B2643">
        <v>3103</v>
      </c>
      <c r="C2643">
        <v>5</v>
      </c>
      <c r="D2643">
        <v>12.1</v>
      </c>
      <c r="E2643">
        <v>0.2</v>
      </c>
      <c r="F2643">
        <v>0.6</v>
      </c>
      <c r="G2643">
        <v>0.6</v>
      </c>
      <c r="H2643">
        <v>130</v>
      </c>
      <c r="I2643">
        <v>2</v>
      </c>
      <c r="J2643">
        <v>0</v>
      </c>
      <c r="K2643">
        <v>90.9</v>
      </c>
      <c r="L2643" t="s">
        <v>115</v>
      </c>
      <c r="M2643" t="s">
        <v>116</v>
      </c>
    </row>
    <row r="2644" spans="2:13" x14ac:dyDescent="0.2">
      <c r="B2644">
        <v>3103</v>
      </c>
      <c r="C2644">
        <v>5</v>
      </c>
      <c r="D2644">
        <v>16.8</v>
      </c>
      <c r="E2644">
        <v>0.28000000000000003</v>
      </c>
      <c r="F2644">
        <v>0.6</v>
      </c>
      <c r="G2644">
        <v>0.6</v>
      </c>
      <c r="H2644">
        <v>181</v>
      </c>
      <c r="I2644">
        <v>2</v>
      </c>
      <c r="J2644">
        <v>1</v>
      </c>
      <c r="K2644">
        <v>74.400000000000006</v>
      </c>
      <c r="L2644" t="s">
        <v>117</v>
      </c>
      <c r="M2644" t="s">
        <v>118</v>
      </c>
    </row>
    <row r="2645" spans="2:13" x14ac:dyDescent="0.2">
      <c r="B2645">
        <v>3103</v>
      </c>
      <c r="C2645">
        <v>5</v>
      </c>
      <c r="D2645">
        <v>18.100000000000001</v>
      </c>
      <c r="E2645">
        <v>0.3</v>
      </c>
      <c r="F2645">
        <v>0.6</v>
      </c>
      <c r="G2645">
        <v>0.6</v>
      </c>
      <c r="H2645">
        <v>195</v>
      </c>
      <c r="I2645">
        <v>2</v>
      </c>
      <c r="J2645">
        <v>1</v>
      </c>
      <c r="K2645">
        <v>74.2</v>
      </c>
      <c r="L2645" t="s">
        <v>121</v>
      </c>
      <c r="M2645" t="s">
        <v>116</v>
      </c>
    </row>
    <row r="2646" spans="2:13" x14ac:dyDescent="0.2">
      <c r="B2646">
        <v>3104</v>
      </c>
      <c r="C2646">
        <v>1</v>
      </c>
      <c r="D2646">
        <v>0</v>
      </c>
      <c r="E2646">
        <v>0</v>
      </c>
      <c r="F2646">
        <v>0.6</v>
      </c>
      <c r="G2646">
        <v>0.6</v>
      </c>
      <c r="H2646">
        <v>0</v>
      </c>
      <c r="I2646">
        <v>0</v>
      </c>
      <c r="J2646">
        <v>0</v>
      </c>
      <c r="K2646">
        <v>50</v>
      </c>
      <c r="L2646" t="s">
        <v>113</v>
      </c>
      <c r="M2646" t="s">
        <v>114</v>
      </c>
    </row>
    <row r="2647" spans="2:13" x14ac:dyDescent="0.2">
      <c r="B2647">
        <v>3104</v>
      </c>
      <c r="C2647">
        <v>1</v>
      </c>
      <c r="D2647">
        <v>6</v>
      </c>
      <c r="E2647">
        <v>0.1</v>
      </c>
      <c r="F2647">
        <v>0.6</v>
      </c>
      <c r="G2647">
        <v>0.6</v>
      </c>
      <c r="H2647">
        <v>65</v>
      </c>
      <c r="I2647">
        <v>1</v>
      </c>
      <c r="J2647">
        <v>0</v>
      </c>
      <c r="K2647">
        <v>43</v>
      </c>
      <c r="L2647" t="s">
        <v>115</v>
      </c>
      <c r="M2647" t="s">
        <v>116</v>
      </c>
    </row>
    <row r="2648" spans="2:13" x14ac:dyDescent="0.2">
      <c r="B2648">
        <v>3104</v>
      </c>
      <c r="C2648">
        <v>1</v>
      </c>
      <c r="D2648">
        <v>8.5</v>
      </c>
      <c r="E2648">
        <v>0.14000000000000001</v>
      </c>
      <c r="F2648">
        <v>0.6</v>
      </c>
      <c r="G2648">
        <v>0.6</v>
      </c>
      <c r="H2648">
        <v>92</v>
      </c>
      <c r="I2648">
        <v>3</v>
      </c>
      <c r="J2648">
        <v>1</v>
      </c>
      <c r="K2648">
        <v>42.6</v>
      </c>
      <c r="L2648" t="s">
        <v>117</v>
      </c>
      <c r="M2648" t="s">
        <v>118</v>
      </c>
    </row>
    <row r="2649" spans="2:13" x14ac:dyDescent="0.2">
      <c r="B2649">
        <v>3104</v>
      </c>
      <c r="C2649">
        <v>1</v>
      </c>
      <c r="D2649">
        <v>10.7</v>
      </c>
      <c r="E2649">
        <v>0.18</v>
      </c>
      <c r="F2649">
        <v>0.6</v>
      </c>
      <c r="G2649">
        <v>0.6</v>
      </c>
      <c r="H2649">
        <v>115</v>
      </c>
      <c r="I2649">
        <v>4</v>
      </c>
      <c r="J2649">
        <v>2</v>
      </c>
      <c r="K2649">
        <v>58.7</v>
      </c>
      <c r="L2649" t="s">
        <v>123</v>
      </c>
      <c r="M2649" t="s">
        <v>118</v>
      </c>
    </row>
    <row r="2650" spans="2:13" x14ac:dyDescent="0.2">
      <c r="B2650">
        <v>3104</v>
      </c>
      <c r="C2650">
        <v>1</v>
      </c>
      <c r="D2650">
        <v>12.1</v>
      </c>
      <c r="E2650">
        <v>0.2</v>
      </c>
      <c r="F2650">
        <v>0.6</v>
      </c>
      <c r="G2650">
        <v>0.6</v>
      </c>
      <c r="H2650">
        <v>130</v>
      </c>
      <c r="I2650">
        <v>7</v>
      </c>
      <c r="J2650">
        <v>2</v>
      </c>
      <c r="K2650">
        <v>67.7</v>
      </c>
      <c r="L2650" t="s">
        <v>121</v>
      </c>
      <c r="M2650" t="s">
        <v>116</v>
      </c>
    </row>
    <row r="2651" spans="2:13" x14ac:dyDescent="0.2">
      <c r="B2651">
        <v>3104</v>
      </c>
      <c r="C2651">
        <v>1</v>
      </c>
      <c r="D2651">
        <v>18.100000000000001</v>
      </c>
      <c r="E2651">
        <v>0.3</v>
      </c>
      <c r="F2651">
        <v>0.6</v>
      </c>
      <c r="G2651">
        <v>0.6</v>
      </c>
      <c r="H2651">
        <v>195</v>
      </c>
      <c r="I2651">
        <v>12</v>
      </c>
      <c r="J2651">
        <v>2</v>
      </c>
      <c r="K2651">
        <v>67.099999999999994</v>
      </c>
      <c r="L2651" t="s">
        <v>115</v>
      </c>
      <c r="M2651" t="s">
        <v>116</v>
      </c>
    </row>
    <row r="2652" spans="2:13" x14ac:dyDescent="0.2">
      <c r="B2652">
        <v>3104</v>
      </c>
      <c r="C2652">
        <v>2</v>
      </c>
      <c r="D2652">
        <v>0</v>
      </c>
      <c r="E2652">
        <v>0</v>
      </c>
      <c r="F2652">
        <v>0.6</v>
      </c>
      <c r="G2652">
        <v>0.6</v>
      </c>
      <c r="H2652">
        <v>0</v>
      </c>
      <c r="I2652">
        <v>0</v>
      </c>
      <c r="J2652">
        <v>0</v>
      </c>
      <c r="K2652">
        <v>50</v>
      </c>
      <c r="L2652" t="s">
        <v>113</v>
      </c>
      <c r="M2652" t="s">
        <v>114</v>
      </c>
    </row>
    <row r="2653" spans="2:13" x14ac:dyDescent="0.2">
      <c r="B2653">
        <v>3104</v>
      </c>
      <c r="C2653">
        <v>2</v>
      </c>
      <c r="D2653">
        <v>5.4</v>
      </c>
      <c r="E2653">
        <v>0.09</v>
      </c>
      <c r="F2653">
        <v>0.6</v>
      </c>
      <c r="G2653">
        <v>0.6</v>
      </c>
      <c r="H2653">
        <v>59</v>
      </c>
      <c r="I2653">
        <v>0</v>
      </c>
      <c r="J2653">
        <v>1</v>
      </c>
      <c r="K2653">
        <v>41.3</v>
      </c>
      <c r="L2653" t="s">
        <v>117</v>
      </c>
      <c r="M2653" t="s">
        <v>118</v>
      </c>
    </row>
    <row r="2654" spans="2:13" x14ac:dyDescent="0.2">
      <c r="B2654">
        <v>3104</v>
      </c>
      <c r="C2654">
        <v>2</v>
      </c>
      <c r="D2654">
        <v>6</v>
      </c>
      <c r="E2654">
        <v>0.1</v>
      </c>
      <c r="F2654">
        <v>0.6</v>
      </c>
      <c r="G2654">
        <v>0.6</v>
      </c>
      <c r="H2654">
        <v>65</v>
      </c>
      <c r="I2654">
        <v>2</v>
      </c>
      <c r="J2654">
        <v>1</v>
      </c>
      <c r="K2654">
        <v>41.3</v>
      </c>
      <c r="L2654" t="s">
        <v>132</v>
      </c>
      <c r="M2654" t="s">
        <v>116</v>
      </c>
    </row>
    <row r="2655" spans="2:13" x14ac:dyDescent="0.2">
      <c r="B2655">
        <v>3104</v>
      </c>
      <c r="C2655">
        <v>2</v>
      </c>
      <c r="D2655">
        <v>7.3</v>
      </c>
      <c r="E2655">
        <v>0.12</v>
      </c>
      <c r="F2655">
        <v>0.6</v>
      </c>
      <c r="G2655">
        <v>0.6</v>
      </c>
      <c r="H2655">
        <v>79</v>
      </c>
      <c r="I2655">
        <v>5</v>
      </c>
      <c r="J2655">
        <v>2</v>
      </c>
      <c r="K2655">
        <v>57.1</v>
      </c>
      <c r="L2655" t="s">
        <v>123</v>
      </c>
      <c r="M2655" t="s">
        <v>118</v>
      </c>
    </row>
    <row r="2656" spans="2:13" x14ac:dyDescent="0.2">
      <c r="B2656">
        <v>3104</v>
      </c>
      <c r="C2656">
        <v>2</v>
      </c>
      <c r="D2656">
        <v>12.1</v>
      </c>
      <c r="E2656">
        <v>0.2</v>
      </c>
      <c r="F2656">
        <v>0.6</v>
      </c>
      <c r="G2656">
        <v>0.6</v>
      </c>
      <c r="H2656">
        <v>130</v>
      </c>
      <c r="I2656">
        <v>8</v>
      </c>
      <c r="J2656">
        <v>2</v>
      </c>
      <c r="K2656">
        <v>56.3</v>
      </c>
      <c r="L2656" t="s">
        <v>121</v>
      </c>
      <c r="M2656" t="s">
        <v>116</v>
      </c>
    </row>
    <row r="2657" spans="2:13" x14ac:dyDescent="0.2">
      <c r="B2657">
        <v>3104</v>
      </c>
      <c r="C2657">
        <v>2</v>
      </c>
      <c r="D2657">
        <v>18.100000000000001</v>
      </c>
      <c r="E2657">
        <v>0.3</v>
      </c>
      <c r="F2657">
        <v>0.6</v>
      </c>
      <c r="G2657">
        <v>0.6</v>
      </c>
      <c r="H2657">
        <v>195</v>
      </c>
      <c r="I2657">
        <v>13</v>
      </c>
      <c r="J2657">
        <v>2</v>
      </c>
      <c r="K2657">
        <v>57.4</v>
      </c>
      <c r="L2657" t="s">
        <v>115</v>
      </c>
      <c r="M2657" t="s">
        <v>116</v>
      </c>
    </row>
    <row r="2658" spans="2:13" x14ac:dyDescent="0.2">
      <c r="B2658">
        <v>3104</v>
      </c>
      <c r="C2658">
        <v>3</v>
      </c>
      <c r="D2658">
        <v>0</v>
      </c>
      <c r="E2658">
        <v>0</v>
      </c>
      <c r="F2658">
        <v>0.6</v>
      </c>
      <c r="G2658">
        <v>0.6</v>
      </c>
      <c r="H2658">
        <v>0</v>
      </c>
      <c r="I2658">
        <v>0</v>
      </c>
      <c r="J2658">
        <v>0</v>
      </c>
      <c r="K2658">
        <v>50</v>
      </c>
      <c r="L2658" t="s">
        <v>113</v>
      </c>
      <c r="M2658" t="s">
        <v>114</v>
      </c>
    </row>
    <row r="2659" spans="2:13" x14ac:dyDescent="0.2">
      <c r="B2659">
        <v>3104</v>
      </c>
      <c r="C2659">
        <v>3</v>
      </c>
      <c r="D2659">
        <v>6</v>
      </c>
      <c r="E2659">
        <v>0.1</v>
      </c>
      <c r="F2659">
        <v>0.6</v>
      </c>
      <c r="G2659">
        <v>0.6</v>
      </c>
      <c r="H2659">
        <v>65</v>
      </c>
      <c r="I2659">
        <v>0</v>
      </c>
      <c r="J2659">
        <v>0</v>
      </c>
      <c r="K2659">
        <v>41.3</v>
      </c>
      <c r="L2659" t="s">
        <v>115</v>
      </c>
      <c r="M2659" t="s">
        <v>116</v>
      </c>
    </row>
    <row r="2660" spans="2:13" x14ac:dyDescent="0.2">
      <c r="B2660">
        <v>3104</v>
      </c>
      <c r="C2660">
        <v>3</v>
      </c>
      <c r="D2660">
        <v>12.1</v>
      </c>
      <c r="E2660">
        <v>0.2</v>
      </c>
      <c r="F2660">
        <v>0.6</v>
      </c>
      <c r="G2660">
        <v>0.7</v>
      </c>
      <c r="H2660">
        <v>130</v>
      </c>
      <c r="I2660">
        <v>3</v>
      </c>
      <c r="J2660">
        <v>0</v>
      </c>
      <c r="K2660">
        <v>91.9</v>
      </c>
      <c r="L2660" t="s">
        <v>128</v>
      </c>
      <c r="M2660" t="s">
        <v>116</v>
      </c>
    </row>
    <row r="2661" spans="2:13" x14ac:dyDescent="0.2">
      <c r="B2661">
        <v>3104</v>
      </c>
      <c r="C2661">
        <v>3</v>
      </c>
      <c r="D2661">
        <v>12.2</v>
      </c>
      <c r="E2661">
        <v>0.2</v>
      </c>
      <c r="F2661">
        <v>0.7</v>
      </c>
      <c r="G2661">
        <v>0.7</v>
      </c>
      <c r="H2661">
        <v>131</v>
      </c>
      <c r="I2661">
        <v>3</v>
      </c>
      <c r="J2661">
        <v>1</v>
      </c>
      <c r="K2661">
        <v>82</v>
      </c>
      <c r="L2661" t="s">
        <v>137</v>
      </c>
      <c r="M2661" t="s">
        <v>118</v>
      </c>
    </row>
    <row r="2662" spans="2:13" x14ac:dyDescent="0.2">
      <c r="B2662">
        <v>3104</v>
      </c>
      <c r="C2662">
        <v>3</v>
      </c>
      <c r="D2662">
        <v>17.2</v>
      </c>
      <c r="E2662">
        <v>0.28999999999999998</v>
      </c>
      <c r="F2662">
        <v>0.7</v>
      </c>
      <c r="G2662">
        <v>0.7</v>
      </c>
      <c r="H2662">
        <v>195</v>
      </c>
      <c r="I2662">
        <v>7</v>
      </c>
      <c r="J2662">
        <v>2</v>
      </c>
      <c r="K2662">
        <v>78</v>
      </c>
      <c r="L2662" t="s">
        <v>127</v>
      </c>
      <c r="M2662" t="s">
        <v>118</v>
      </c>
    </row>
    <row r="2663" spans="2:13" x14ac:dyDescent="0.2">
      <c r="B2663">
        <v>3104</v>
      </c>
      <c r="C2663">
        <v>4</v>
      </c>
      <c r="D2663">
        <v>0</v>
      </c>
      <c r="E2663">
        <v>0</v>
      </c>
      <c r="F2663">
        <v>0.6</v>
      </c>
      <c r="G2663">
        <v>0.6</v>
      </c>
      <c r="H2663">
        <v>0</v>
      </c>
      <c r="I2663">
        <v>0</v>
      </c>
      <c r="J2663">
        <v>0</v>
      </c>
      <c r="K2663">
        <v>50</v>
      </c>
      <c r="L2663" t="s">
        <v>113</v>
      </c>
      <c r="M2663" t="s">
        <v>114</v>
      </c>
    </row>
    <row r="2664" spans="2:13" x14ac:dyDescent="0.2">
      <c r="B2664">
        <v>3104</v>
      </c>
      <c r="C2664">
        <v>4</v>
      </c>
      <c r="D2664">
        <v>6</v>
      </c>
      <c r="E2664">
        <v>0.1</v>
      </c>
      <c r="F2664">
        <v>0.6</v>
      </c>
      <c r="G2664">
        <v>0.6</v>
      </c>
      <c r="H2664">
        <v>65</v>
      </c>
      <c r="I2664">
        <v>0</v>
      </c>
      <c r="J2664">
        <v>0</v>
      </c>
      <c r="K2664">
        <v>39.299999999999997</v>
      </c>
      <c r="L2664" t="s">
        <v>115</v>
      </c>
      <c r="M2664" t="s">
        <v>116</v>
      </c>
    </row>
    <row r="2665" spans="2:13" x14ac:dyDescent="0.2">
      <c r="B2665">
        <v>3104</v>
      </c>
      <c r="C2665">
        <v>4</v>
      </c>
      <c r="D2665">
        <v>9.3000000000000007</v>
      </c>
      <c r="E2665">
        <v>0.15</v>
      </c>
      <c r="F2665">
        <v>0.6</v>
      </c>
      <c r="G2665">
        <v>0.6</v>
      </c>
      <c r="H2665">
        <v>100</v>
      </c>
      <c r="I2665">
        <v>4</v>
      </c>
      <c r="J2665">
        <v>1</v>
      </c>
      <c r="K2665">
        <v>72</v>
      </c>
      <c r="L2665" t="s">
        <v>122</v>
      </c>
      <c r="M2665" t="s">
        <v>118</v>
      </c>
    </row>
    <row r="2666" spans="2:13" x14ac:dyDescent="0.2">
      <c r="B2666">
        <v>3104</v>
      </c>
      <c r="C2666">
        <v>4</v>
      </c>
      <c r="D2666">
        <v>12.1</v>
      </c>
      <c r="E2666">
        <v>0.2</v>
      </c>
      <c r="F2666">
        <v>0.6</v>
      </c>
      <c r="G2666">
        <v>0.6</v>
      </c>
      <c r="H2666">
        <v>130</v>
      </c>
      <c r="I2666">
        <v>5</v>
      </c>
      <c r="J2666">
        <v>1</v>
      </c>
      <c r="K2666">
        <v>71.900000000000006</v>
      </c>
      <c r="L2666" t="s">
        <v>124</v>
      </c>
      <c r="M2666" t="s">
        <v>116</v>
      </c>
    </row>
    <row r="2667" spans="2:13" x14ac:dyDescent="0.2">
      <c r="B2667">
        <v>3104</v>
      </c>
      <c r="C2667">
        <v>4</v>
      </c>
      <c r="D2667">
        <v>14.2</v>
      </c>
      <c r="E2667">
        <v>0.24</v>
      </c>
      <c r="F2667">
        <v>0.6</v>
      </c>
      <c r="G2667">
        <v>0.6</v>
      </c>
      <c r="H2667">
        <v>153</v>
      </c>
      <c r="I2667">
        <v>5</v>
      </c>
      <c r="J2667">
        <v>2</v>
      </c>
      <c r="K2667">
        <v>69</v>
      </c>
      <c r="L2667" t="s">
        <v>119</v>
      </c>
      <c r="M2667" t="s">
        <v>118</v>
      </c>
    </row>
    <row r="2668" spans="2:13" x14ac:dyDescent="0.2">
      <c r="B2668">
        <v>3104</v>
      </c>
      <c r="C2668">
        <v>4</v>
      </c>
      <c r="D2668">
        <v>18.100000000000001</v>
      </c>
      <c r="E2668">
        <v>0.3</v>
      </c>
      <c r="F2668">
        <v>0.6</v>
      </c>
      <c r="G2668">
        <v>0.6</v>
      </c>
      <c r="H2668">
        <v>195</v>
      </c>
      <c r="I2668">
        <v>6</v>
      </c>
      <c r="J2668">
        <v>2</v>
      </c>
      <c r="K2668">
        <v>71.7</v>
      </c>
      <c r="L2668" t="s">
        <v>124</v>
      </c>
      <c r="M2668" t="s">
        <v>116</v>
      </c>
    </row>
    <row r="2669" spans="2:13" x14ac:dyDescent="0.2">
      <c r="B2669">
        <v>3104</v>
      </c>
      <c r="C2669">
        <v>5</v>
      </c>
      <c r="D2669">
        <v>0</v>
      </c>
      <c r="E2669">
        <v>0</v>
      </c>
      <c r="F2669">
        <v>0.6</v>
      </c>
      <c r="G2669">
        <v>0.6</v>
      </c>
      <c r="H2669">
        <v>0</v>
      </c>
      <c r="I2669">
        <v>0</v>
      </c>
      <c r="J2669">
        <v>0</v>
      </c>
      <c r="K2669">
        <v>50</v>
      </c>
      <c r="L2669" t="s">
        <v>113</v>
      </c>
      <c r="M2669" t="s">
        <v>114</v>
      </c>
    </row>
    <row r="2670" spans="2:13" x14ac:dyDescent="0.2">
      <c r="B2670">
        <v>3104</v>
      </c>
      <c r="C2670">
        <v>5</v>
      </c>
      <c r="D2670">
        <v>6</v>
      </c>
      <c r="E2670">
        <v>0.1</v>
      </c>
      <c r="F2670">
        <v>0.6</v>
      </c>
      <c r="G2670">
        <v>0.6</v>
      </c>
      <c r="H2670">
        <v>65</v>
      </c>
      <c r="I2670">
        <v>0</v>
      </c>
      <c r="J2670">
        <v>0</v>
      </c>
      <c r="K2670">
        <v>40.5</v>
      </c>
      <c r="L2670" t="s">
        <v>115</v>
      </c>
      <c r="M2670" t="s">
        <v>116</v>
      </c>
    </row>
    <row r="2671" spans="2:13" x14ac:dyDescent="0.2">
      <c r="B2671">
        <v>3104</v>
      </c>
      <c r="C2671">
        <v>5</v>
      </c>
      <c r="D2671">
        <v>6.9</v>
      </c>
      <c r="E2671">
        <v>0.11</v>
      </c>
      <c r="F2671">
        <v>0.6</v>
      </c>
      <c r="G2671">
        <v>0.6</v>
      </c>
      <c r="H2671">
        <v>75</v>
      </c>
      <c r="I2671">
        <v>0</v>
      </c>
      <c r="J2671">
        <v>1</v>
      </c>
      <c r="K2671">
        <v>41.3</v>
      </c>
      <c r="L2671" t="s">
        <v>117</v>
      </c>
      <c r="M2671" t="s">
        <v>118</v>
      </c>
    </row>
    <row r="2672" spans="2:13" x14ac:dyDescent="0.2">
      <c r="B2672">
        <v>3104</v>
      </c>
      <c r="C2672">
        <v>5</v>
      </c>
      <c r="D2672">
        <v>12.1</v>
      </c>
      <c r="E2672">
        <v>0.2</v>
      </c>
      <c r="F2672">
        <v>0.6</v>
      </c>
      <c r="G2672">
        <v>0.6</v>
      </c>
      <c r="H2672">
        <v>130</v>
      </c>
      <c r="I2672">
        <v>3</v>
      </c>
      <c r="J2672">
        <v>1</v>
      </c>
      <c r="K2672">
        <v>65.900000000000006</v>
      </c>
      <c r="L2672" t="s">
        <v>121</v>
      </c>
      <c r="M2672" t="s">
        <v>116</v>
      </c>
    </row>
    <row r="2673" spans="2:13" x14ac:dyDescent="0.2">
      <c r="B2673">
        <v>3104</v>
      </c>
      <c r="C2673">
        <v>5</v>
      </c>
      <c r="D2673">
        <v>18.100000000000001</v>
      </c>
      <c r="E2673">
        <v>0.3</v>
      </c>
      <c r="F2673">
        <v>0.6</v>
      </c>
      <c r="G2673">
        <v>0.7</v>
      </c>
      <c r="H2673">
        <v>195</v>
      </c>
      <c r="I2673">
        <v>8</v>
      </c>
      <c r="J2673">
        <v>1</v>
      </c>
      <c r="K2673">
        <v>77.900000000000006</v>
      </c>
      <c r="L2673" t="s">
        <v>128</v>
      </c>
      <c r="M2673" t="s">
        <v>116</v>
      </c>
    </row>
    <row r="2674" spans="2:13" x14ac:dyDescent="0.2">
      <c r="B2674">
        <v>3105</v>
      </c>
      <c r="C2674">
        <v>1</v>
      </c>
      <c r="D2674">
        <v>0</v>
      </c>
      <c r="E2674">
        <v>0</v>
      </c>
      <c r="F2674">
        <v>0.6</v>
      </c>
      <c r="G2674">
        <v>0.6</v>
      </c>
      <c r="H2674">
        <v>0</v>
      </c>
      <c r="I2674">
        <v>0</v>
      </c>
      <c r="J2674">
        <v>0</v>
      </c>
      <c r="K2674">
        <v>50</v>
      </c>
      <c r="L2674" t="s">
        <v>113</v>
      </c>
      <c r="M2674" t="s">
        <v>114</v>
      </c>
    </row>
    <row r="2675" spans="2:13" x14ac:dyDescent="0.2">
      <c r="B2675">
        <v>3105</v>
      </c>
      <c r="C2675">
        <v>1</v>
      </c>
      <c r="D2675">
        <v>6</v>
      </c>
      <c r="E2675">
        <v>0.1</v>
      </c>
      <c r="F2675">
        <v>0.6</v>
      </c>
      <c r="G2675">
        <v>0.6</v>
      </c>
      <c r="H2675">
        <v>65</v>
      </c>
      <c r="I2675">
        <v>0</v>
      </c>
      <c r="J2675">
        <v>0</v>
      </c>
      <c r="K2675">
        <v>40.5</v>
      </c>
      <c r="L2675" t="s">
        <v>115</v>
      </c>
      <c r="M2675" t="s">
        <v>116</v>
      </c>
    </row>
    <row r="2676" spans="2:13" x14ac:dyDescent="0.2">
      <c r="B2676">
        <v>3105</v>
      </c>
      <c r="C2676">
        <v>1</v>
      </c>
      <c r="D2676">
        <v>7</v>
      </c>
      <c r="E2676">
        <v>0.12</v>
      </c>
      <c r="F2676">
        <v>0.6</v>
      </c>
      <c r="G2676">
        <v>0.6</v>
      </c>
      <c r="H2676">
        <v>76</v>
      </c>
      <c r="I2676">
        <v>0</v>
      </c>
      <c r="J2676">
        <v>1</v>
      </c>
      <c r="K2676">
        <v>40.700000000000003</v>
      </c>
      <c r="L2676" t="s">
        <v>117</v>
      </c>
      <c r="M2676" t="s">
        <v>118</v>
      </c>
    </row>
    <row r="2677" spans="2:13" x14ac:dyDescent="0.2">
      <c r="B2677">
        <v>3105</v>
      </c>
      <c r="C2677">
        <v>1</v>
      </c>
      <c r="D2677">
        <v>12.1</v>
      </c>
      <c r="E2677">
        <v>0.2</v>
      </c>
      <c r="F2677">
        <v>0.6</v>
      </c>
      <c r="G2677">
        <v>0.6</v>
      </c>
      <c r="H2677">
        <v>130</v>
      </c>
      <c r="I2677">
        <v>2</v>
      </c>
      <c r="J2677">
        <v>1</v>
      </c>
      <c r="K2677">
        <v>40.200000000000003</v>
      </c>
      <c r="L2677" t="s">
        <v>132</v>
      </c>
      <c r="M2677" t="s">
        <v>116</v>
      </c>
    </row>
    <row r="2678" spans="2:13" x14ac:dyDescent="0.2">
      <c r="B2678">
        <v>3105</v>
      </c>
      <c r="C2678">
        <v>1</v>
      </c>
      <c r="D2678">
        <v>18.100000000000001</v>
      </c>
      <c r="E2678">
        <v>0.3</v>
      </c>
      <c r="F2678">
        <v>0.6</v>
      </c>
      <c r="G2678">
        <v>0.6</v>
      </c>
      <c r="H2678">
        <v>195</v>
      </c>
      <c r="I2678">
        <v>3</v>
      </c>
      <c r="J2678">
        <v>1</v>
      </c>
      <c r="K2678">
        <v>64.900000000000006</v>
      </c>
      <c r="L2678" t="s">
        <v>115</v>
      </c>
      <c r="M2678" t="s">
        <v>116</v>
      </c>
    </row>
    <row r="2679" spans="2:13" x14ac:dyDescent="0.2">
      <c r="B2679">
        <v>3105</v>
      </c>
      <c r="C2679">
        <v>6</v>
      </c>
      <c r="D2679">
        <v>0</v>
      </c>
      <c r="E2679">
        <v>0</v>
      </c>
      <c r="F2679">
        <v>0.6</v>
      </c>
      <c r="G2679">
        <v>0.6</v>
      </c>
      <c r="H2679">
        <v>0</v>
      </c>
      <c r="I2679">
        <v>0</v>
      </c>
      <c r="J2679">
        <v>0</v>
      </c>
      <c r="K2679">
        <v>50</v>
      </c>
      <c r="L2679" t="s">
        <v>113</v>
      </c>
      <c r="M2679" t="s">
        <v>114</v>
      </c>
    </row>
    <row r="2680" spans="2:13" x14ac:dyDescent="0.2">
      <c r="B2680">
        <v>3105</v>
      </c>
      <c r="C2680">
        <v>6</v>
      </c>
      <c r="D2680">
        <v>6</v>
      </c>
      <c r="E2680">
        <v>0.1</v>
      </c>
      <c r="F2680">
        <v>0.6</v>
      </c>
      <c r="G2680">
        <v>0.6</v>
      </c>
      <c r="H2680">
        <v>65</v>
      </c>
      <c r="I2680">
        <v>0</v>
      </c>
      <c r="J2680">
        <v>0</v>
      </c>
      <c r="K2680">
        <v>40.1</v>
      </c>
      <c r="L2680" t="s">
        <v>115</v>
      </c>
      <c r="M2680" t="s">
        <v>116</v>
      </c>
    </row>
    <row r="2681" spans="2:13" x14ac:dyDescent="0.2">
      <c r="B2681">
        <v>3105</v>
      </c>
      <c r="C2681">
        <v>6</v>
      </c>
      <c r="D2681">
        <v>11.3</v>
      </c>
      <c r="E2681">
        <v>0.19</v>
      </c>
      <c r="F2681">
        <v>0.6</v>
      </c>
      <c r="G2681">
        <v>0.6</v>
      </c>
      <c r="H2681">
        <v>122</v>
      </c>
      <c r="I2681">
        <v>3</v>
      </c>
      <c r="J2681">
        <v>1</v>
      </c>
      <c r="K2681">
        <v>66.8</v>
      </c>
      <c r="L2681" t="s">
        <v>117</v>
      </c>
      <c r="M2681" t="s">
        <v>118</v>
      </c>
    </row>
    <row r="2682" spans="2:13" x14ac:dyDescent="0.2">
      <c r="B2682">
        <v>3105</v>
      </c>
      <c r="C2682">
        <v>6</v>
      </c>
      <c r="D2682">
        <v>12.1</v>
      </c>
      <c r="E2682">
        <v>0.2</v>
      </c>
      <c r="F2682">
        <v>0.6</v>
      </c>
      <c r="G2682">
        <v>0.6</v>
      </c>
      <c r="H2682">
        <v>130</v>
      </c>
      <c r="I2682">
        <v>3</v>
      </c>
      <c r="J2682">
        <v>1</v>
      </c>
      <c r="K2682">
        <v>67.099999999999994</v>
      </c>
      <c r="L2682" t="s">
        <v>121</v>
      </c>
      <c r="M2682" t="s">
        <v>116</v>
      </c>
    </row>
    <row r="2683" spans="2:13" x14ac:dyDescent="0.2">
      <c r="B2683">
        <v>3105</v>
      </c>
      <c r="C2683">
        <v>6</v>
      </c>
      <c r="D2683">
        <v>18.100000000000001</v>
      </c>
      <c r="E2683">
        <v>0.3</v>
      </c>
      <c r="F2683">
        <v>0.6</v>
      </c>
      <c r="G2683">
        <v>0.6</v>
      </c>
      <c r="H2683">
        <v>195</v>
      </c>
      <c r="I2683">
        <v>5</v>
      </c>
      <c r="J2683">
        <v>1</v>
      </c>
      <c r="K2683">
        <v>76</v>
      </c>
      <c r="L2683" t="s">
        <v>115</v>
      </c>
      <c r="M2683" t="s">
        <v>116</v>
      </c>
    </row>
    <row r="2684" spans="2:13" x14ac:dyDescent="0.2">
      <c r="B2684">
        <v>3106</v>
      </c>
      <c r="C2684">
        <v>1</v>
      </c>
      <c r="D2684">
        <v>0</v>
      </c>
      <c r="E2684">
        <v>0</v>
      </c>
      <c r="F2684">
        <v>0.6</v>
      </c>
      <c r="G2684">
        <v>0.6</v>
      </c>
      <c r="H2684">
        <v>0</v>
      </c>
      <c r="I2684">
        <v>0</v>
      </c>
      <c r="J2684">
        <v>0</v>
      </c>
      <c r="K2684">
        <v>50</v>
      </c>
      <c r="L2684" t="s">
        <v>113</v>
      </c>
      <c r="M2684" t="s">
        <v>114</v>
      </c>
    </row>
    <row r="2685" spans="2:13" x14ac:dyDescent="0.2">
      <c r="B2685">
        <v>3106</v>
      </c>
      <c r="C2685">
        <v>1</v>
      </c>
      <c r="D2685">
        <v>6</v>
      </c>
      <c r="E2685">
        <v>0.1</v>
      </c>
      <c r="F2685">
        <v>0.6</v>
      </c>
      <c r="G2685">
        <v>0.6</v>
      </c>
      <c r="H2685">
        <v>65</v>
      </c>
      <c r="I2685">
        <v>0</v>
      </c>
      <c r="J2685">
        <v>0</v>
      </c>
      <c r="K2685">
        <v>33.1</v>
      </c>
      <c r="L2685" t="s">
        <v>115</v>
      </c>
      <c r="M2685" t="s">
        <v>116</v>
      </c>
    </row>
    <row r="2686" spans="2:13" x14ac:dyDescent="0.2">
      <c r="B2686">
        <v>3106</v>
      </c>
      <c r="C2686">
        <v>1</v>
      </c>
      <c r="D2686">
        <v>11.2</v>
      </c>
      <c r="E2686">
        <v>0.19</v>
      </c>
      <c r="F2686">
        <v>0.6</v>
      </c>
      <c r="G2686">
        <v>0.6</v>
      </c>
      <c r="H2686">
        <v>120</v>
      </c>
      <c r="I2686">
        <v>1</v>
      </c>
      <c r="J2686">
        <v>1</v>
      </c>
      <c r="K2686">
        <v>60</v>
      </c>
      <c r="L2686" t="s">
        <v>122</v>
      </c>
      <c r="M2686" t="s">
        <v>118</v>
      </c>
    </row>
    <row r="2687" spans="2:13" x14ac:dyDescent="0.2">
      <c r="B2687">
        <v>3106</v>
      </c>
      <c r="C2687">
        <v>1</v>
      </c>
      <c r="D2687">
        <v>11.8</v>
      </c>
      <c r="E2687">
        <v>0.2</v>
      </c>
      <c r="F2687">
        <v>0.6</v>
      </c>
      <c r="G2687">
        <v>0.6</v>
      </c>
      <c r="H2687">
        <v>127</v>
      </c>
      <c r="I2687">
        <v>1</v>
      </c>
      <c r="J2687">
        <v>2</v>
      </c>
      <c r="K2687">
        <v>51.6</v>
      </c>
      <c r="L2687" t="s">
        <v>119</v>
      </c>
      <c r="M2687" t="s">
        <v>118</v>
      </c>
    </row>
    <row r="2688" spans="2:13" x14ac:dyDescent="0.2">
      <c r="B2688">
        <v>3106</v>
      </c>
      <c r="C2688">
        <v>1</v>
      </c>
      <c r="D2688">
        <v>12.1</v>
      </c>
      <c r="E2688">
        <v>0.2</v>
      </c>
      <c r="F2688">
        <v>0.6</v>
      </c>
      <c r="G2688">
        <v>0.45</v>
      </c>
      <c r="H2688">
        <v>130</v>
      </c>
      <c r="I2688">
        <v>1</v>
      </c>
      <c r="J2688">
        <v>2</v>
      </c>
      <c r="K2688">
        <v>51.7</v>
      </c>
      <c r="L2688" t="s">
        <v>120</v>
      </c>
      <c r="M2688" t="s">
        <v>116</v>
      </c>
    </row>
    <row r="2689" spans="2:13" x14ac:dyDescent="0.2">
      <c r="B2689">
        <v>3106</v>
      </c>
      <c r="C2689">
        <v>1</v>
      </c>
      <c r="D2689">
        <v>16.3</v>
      </c>
      <c r="E2689">
        <v>0.27</v>
      </c>
      <c r="F2689">
        <v>0.45</v>
      </c>
      <c r="G2689">
        <v>0.45</v>
      </c>
      <c r="H2689">
        <v>164</v>
      </c>
      <c r="I2689">
        <v>3</v>
      </c>
      <c r="J2689">
        <v>3</v>
      </c>
      <c r="K2689">
        <v>48.2</v>
      </c>
      <c r="L2689" t="s">
        <v>135</v>
      </c>
      <c r="M2689" t="s">
        <v>118</v>
      </c>
    </row>
    <row r="2690" spans="2:13" x14ac:dyDescent="0.2">
      <c r="B2690">
        <v>3106</v>
      </c>
      <c r="C2690">
        <v>1</v>
      </c>
      <c r="D2690">
        <v>18.100000000000001</v>
      </c>
      <c r="E2690">
        <v>0.3</v>
      </c>
      <c r="F2690">
        <v>0.45</v>
      </c>
      <c r="G2690">
        <v>0.45</v>
      </c>
      <c r="H2690">
        <v>179</v>
      </c>
      <c r="I2690">
        <v>3</v>
      </c>
      <c r="J2690">
        <v>3</v>
      </c>
      <c r="K2690">
        <v>48.1</v>
      </c>
      <c r="L2690" t="s">
        <v>132</v>
      </c>
      <c r="M2690" t="s">
        <v>116</v>
      </c>
    </row>
    <row r="2691" spans="2:13" x14ac:dyDescent="0.2">
      <c r="B2691">
        <v>3106</v>
      </c>
      <c r="C2691">
        <v>2</v>
      </c>
      <c r="D2691">
        <v>0</v>
      </c>
      <c r="E2691">
        <v>0</v>
      </c>
      <c r="F2691">
        <v>0.6</v>
      </c>
      <c r="G2691">
        <v>0.6</v>
      </c>
      <c r="H2691">
        <v>0</v>
      </c>
      <c r="I2691">
        <v>0</v>
      </c>
      <c r="J2691">
        <v>0</v>
      </c>
      <c r="K2691">
        <v>50</v>
      </c>
      <c r="L2691" t="s">
        <v>113</v>
      </c>
      <c r="M2691" t="s">
        <v>114</v>
      </c>
    </row>
    <row r="2692" spans="2:13" x14ac:dyDescent="0.2">
      <c r="B2692">
        <v>3106</v>
      </c>
      <c r="C2692">
        <v>2</v>
      </c>
      <c r="D2692">
        <v>6</v>
      </c>
      <c r="E2692">
        <v>0.1</v>
      </c>
      <c r="F2692">
        <v>0.6</v>
      </c>
      <c r="G2692">
        <v>0.6</v>
      </c>
      <c r="H2692">
        <v>65</v>
      </c>
      <c r="I2692">
        <v>0</v>
      </c>
      <c r="J2692">
        <v>0</v>
      </c>
      <c r="K2692">
        <v>37.200000000000003</v>
      </c>
      <c r="L2692" t="s">
        <v>115</v>
      </c>
      <c r="M2692" t="s">
        <v>116</v>
      </c>
    </row>
    <row r="2693" spans="2:13" x14ac:dyDescent="0.2">
      <c r="B2693">
        <v>3106</v>
      </c>
      <c r="C2693">
        <v>2</v>
      </c>
      <c r="D2693">
        <v>6.7</v>
      </c>
      <c r="E2693">
        <v>0.11</v>
      </c>
      <c r="F2693">
        <v>0.6</v>
      </c>
      <c r="G2693">
        <v>0.6</v>
      </c>
      <c r="H2693">
        <v>72</v>
      </c>
      <c r="I2693">
        <v>0</v>
      </c>
      <c r="J2693">
        <v>1</v>
      </c>
      <c r="K2693">
        <v>62.7</v>
      </c>
      <c r="L2693" t="s">
        <v>122</v>
      </c>
      <c r="M2693" t="s">
        <v>118</v>
      </c>
    </row>
    <row r="2694" spans="2:13" x14ac:dyDescent="0.2">
      <c r="B2694">
        <v>3106</v>
      </c>
      <c r="C2694">
        <v>2</v>
      </c>
      <c r="D2694">
        <v>10.3</v>
      </c>
      <c r="E2694">
        <v>0.17</v>
      </c>
      <c r="F2694">
        <v>0.6</v>
      </c>
      <c r="G2694">
        <v>0.6</v>
      </c>
      <c r="H2694">
        <v>111</v>
      </c>
      <c r="I2694">
        <v>2</v>
      </c>
      <c r="J2694">
        <v>2</v>
      </c>
      <c r="K2694">
        <v>66.599999999999994</v>
      </c>
      <c r="L2694" t="s">
        <v>119</v>
      </c>
      <c r="M2694" t="s">
        <v>118</v>
      </c>
    </row>
    <row r="2695" spans="2:13" x14ac:dyDescent="0.2">
      <c r="B2695">
        <v>3106</v>
      </c>
      <c r="C2695">
        <v>2</v>
      </c>
      <c r="D2695">
        <v>12.1</v>
      </c>
      <c r="E2695">
        <v>0.2</v>
      </c>
      <c r="F2695">
        <v>0.6</v>
      </c>
      <c r="G2695">
        <v>0.6</v>
      </c>
      <c r="H2695">
        <v>130</v>
      </c>
      <c r="I2695">
        <v>2</v>
      </c>
      <c r="J2695">
        <v>2</v>
      </c>
      <c r="K2695">
        <v>65.7</v>
      </c>
      <c r="L2695" t="s">
        <v>146</v>
      </c>
      <c r="M2695" t="s">
        <v>116</v>
      </c>
    </row>
    <row r="2696" spans="2:13" x14ac:dyDescent="0.2">
      <c r="B2696">
        <v>3106</v>
      </c>
      <c r="C2696">
        <v>2</v>
      </c>
      <c r="D2696">
        <v>18.100000000000001</v>
      </c>
      <c r="E2696">
        <v>0.3</v>
      </c>
      <c r="F2696">
        <v>0.6</v>
      </c>
      <c r="G2696">
        <v>0.6</v>
      </c>
      <c r="H2696">
        <v>195</v>
      </c>
      <c r="I2696">
        <v>6</v>
      </c>
      <c r="J2696">
        <v>2</v>
      </c>
      <c r="K2696">
        <v>66.7</v>
      </c>
      <c r="L2696" t="s">
        <v>115</v>
      </c>
      <c r="M2696" t="s">
        <v>116</v>
      </c>
    </row>
    <row r="2697" spans="2:13" x14ac:dyDescent="0.2">
      <c r="B2697">
        <v>3106</v>
      </c>
      <c r="C2697">
        <v>3</v>
      </c>
      <c r="D2697">
        <v>0</v>
      </c>
      <c r="E2697">
        <v>0</v>
      </c>
      <c r="F2697">
        <v>0.6</v>
      </c>
      <c r="G2697">
        <v>0.6</v>
      </c>
      <c r="H2697">
        <v>0</v>
      </c>
      <c r="I2697">
        <v>0</v>
      </c>
      <c r="J2697">
        <v>0</v>
      </c>
      <c r="K2697">
        <v>50</v>
      </c>
      <c r="L2697" t="s">
        <v>113</v>
      </c>
      <c r="M2697" t="s">
        <v>114</v>
      </c>
    </row>
    <row r="2698" spans="2:13" x14ac:dyDescent="0.2">
      <c r="B2698">
        <v>3106</v>
      </c>
      <c r="C2698">
        <v>3</v>
      </c>
      <c r="D2698">
        <v>6</v>
      </c>
      <c r="E2698">
        <v>0.1</v>
      </c>
      <c r="F2698">
        <v>0.6</v>
      </c>
      <c r="G2698">
        <v>0.6</v>
      </c>
      <c r="H2698">
        <v>65</v>
      </c>
      <c r="I2698">
        <v>1</v>
      </c>
      <c r="J2698">
        <v>0</v>
      </c>
      <c r="K2698">
        <v>38</v>
      </c>
      <c r="L2698" t="s">
        <v>115</v>
      </c>
      <c r="M2698" t="s">
        <v>116</v>
      </c>
    </row>
    <row r="2699" spans="2:13" x14ac:dyDescent="0.2">
      <c r="B2699">
        <v>3106</v>
      </c>
      <c r="C2699">
        <v>3</v>
      </c>
      <c r="D2699">
        <v>8.9</v>
      </c>
      <c r="E2699">
        <v>0.15</v>
      </c>
      <c r="F2699">
        <v>0.6</v>
      </c>
      <c r="G2699">
        <v>0.6</v>
      </c>
      <c r="H2699">
        <v>97</v>
      </c>
      <c r="I2699">
        <v>3</v>
      </c>
      <c r="J2699">
        <v>1</v>
      </c>
      <c r="K2699">
        <v>62.2</v>
      </c>
      <c r="L2699" t="s">
        <v>117</v>
      </c>
      <c r="M2699" t="s">
        <v>118</v>
      </c>
    </row>
    <row r="2700" spans="2:13" x14ac:dyDescent="0.2">
      <c r="B2700">
        <v>3106</v>
      </c>
      <c r="C2700">
        <v>3</v>
      </c>
      <c r="D2700">
        <v>9.3000000000000007</v>
      </c>
      <c r="E2700">
        <v>0.15</v>
      </c>
      <c r="F2700">
        <v>0.6</v>
      </c>
      <c r="G2700">
        <v>0.6</v>
      </c>
      <c r="H2700">
        <v>100</v>
      </c>
      <c r="I2700">
        <v>3</v>
      </c>
      <c r="J2700">
        <v>2</v>
      </c>
      <c r="K2700">
        <v>53.8</v>
      </c>
      <c r="L2700" t="s">
        <v>119</v>
      </c>
      <c r="M2700" t="s">
        <v>118</v>
      </c>
    </row>
    <row r="2701" spans="2:13" x14ac:dyDescent="0.2">
      <c r="B2701">
        <v>3106</v>
      </c>
      <c r="C2701">
        <v>3</v>
      </c>
      <c r="D2701">
        <v>12.1</v>
      </c>
      <c r="E2701">
        <v>0.2</v>
      </c>
      <c r="F2701">
        <v>0.6</v>
      </c>
      <c r="G2701">
        <v>0.45</v>
      </c>
      <c r="H2701">
        <v>130</v>
      </c>
      <c r="I2701">
        <v>5</v>
      </c>
      <c r="J2701">
        <v>2</v>
      </c>
      <c r="K2701">
        <v>53.6</v>
      </c>
      <c r="L2701" t="s">
        <v>120</v>
      </c>
      <c r="M2701" t="s">
        <v>116</v>
      </c>
    </row>
    <row r="2702" spans="2:13" x14ac:dyDescent="0.2">
      <c r="B2702">
        <v>3106</v>
      </c>
      <c r="C2702">
        <v>3</v>
      </c>
      <c r="D2702">
        <v>18.100000000000001</v>
      </c>
      <c r="E2702">
        <v>0.3</v>
      </c>
      <c r="F2702">
        <v>0.45</v>
      </c>
      <c r="G2702">
        <v>0.55000000000000004</v>
      </c>
      <c r="H2702">
        <v>179</v>
      </c>
      <c r="I2702">
        <v>7</v>
      </c>
      <c r="J2702">
        <v>2</v>
      </c>
      <c r="K2702">
        <v>65.900000000000006</v>
      </c>
      <c r="L2702" t="s">
        <v>128</v>
      </c>
      <c r="M2702" t="s">
        <v>116</v>
      </c>
    </row>
    <row r="2703" spans="2:13" x14ac:dyDescent="0.2">
      <c r="B2703">
        <v>3106</v>
      </c>
      <c r="C2703">
        <v>4</v>
      </c>
      <c r="D2703">
        <v>0</v>
      </c>
      <c r="E2703">
        <v>0</v>
      </c>
      <c r="F2703">
        <v>0.6</v>
      </c>
      <c r="G2703">
        <v>0.6</v>
      </c>
      <c r="H2703">
        <v>0</v>
      </c>
      <c r="I2703">
        <v>0</v>
      </c>
      <c r="J2703">
        <v>0</v>
      </c>
      <c r="K2703">
        <v>50</v>
      </c>
      <c r="L2703" t="s">
        <v>113</v>
      </c>
      <c r="M2703" t="s">
        <v>114</v>
      </c>
    </row>
    <row r="2704" spans="2:13" x14ac:dyDescent="0.2">
      <c r="B2704">
        <v>3106</v>
      </c>
      <c r="C2704">
        <v>4</v>
      </c>
      <c r="D2704">
        <v>6</v>
      </c>
      <c r="E2704">
        <v>0.1</v>
      </c>
      <c r="F2704">
        <v>0.6</v>
      </c>
      <c r="G2704">
        <v>0.6</v>
      </c>
      <c r="H2704">
        <v>65</v>
      </c>
      <c r="I2704">
        <v>1</v>
      </c>
      <c r="J2704">
        <v>0</v>
      </c>
      <c r="K2704">
        <v>38</v>
      </c>
      <c r="L2704" t="s">
        <v>115</v>
      </c>
      <c r="M2704" t="s">
        <v>116</v>
      </c>
    </row>
    <row r="2705" spans="2:13" x14ac:dyDescent="0.2">
      <c r="B2705">
        <v>3106</v>
      </c>
      <c r="C2705">
        <v>4</v>
      </c>
      <c r="D2705">
        <v>6.3</v>
      </c>
      <c r="E2705">
        <v>0.11</v>
      </c>
      <c r="F2705">
        <v>0.6</v>
      </c>
      <c r="G2705">
        <v>0.6</v>
      </c>
      <c r="H2705">
        <v>69</v>
      </c>
      <c r="I2705">
        <v>2</v>
      </c>
      <c r="J2705">
        <v>1</v>
      </c>
      <c r="K2705">
        <v>62.8</v>
      </c>
      <c r="L2705" t="s">
        <v>122</v>
      </c>
      <c r="M2705" t="s">
        <v>118</v>
      </c>
    </row>
    <row r="2706" spans="2:13" x14ac:dyDescent="0.2">
      <c r="B2706">
        <v>3106</v>
      </c>
      <c r="C2706">
        <v>4</v>
      </c>
      <c r="D2706">
        <v>10.1</v>
      </c>
      <c r="E2706">
        <v>0.17</v>
      </c>
      <c r="F2706">
        <v>0.6</v>
      </c>
      <c r="G2706">
        <v>0.6</v>
      </c>
      <c r="H2706">
        <v>109</v>
      </c>
      <c r="I2706">
        <v>8</v>
      </c>
      <c r="J2706">
        <v>2</v>
      </c>
      <c r="K2706">
        <v>54.5</v>
      </c>
      <c r="L2706" t="s">
        <v>127</v>
      </c>
      <c r="M2706" t="s">
        <v>118</v>
      </c>
    </row>
    <row r="2707" spans="2:13" x14ac:dyDescent="0.2">
      <c r="B2707">
        <v>3106</v>
      </c>
      <c r="C2707">
        <v>4</v>
      </c>
      <c r="D2707">
        <v>12.1</v>
      </c>
      <c r="E2707">
        <v>0.2</v>
      </c>
      <c r="F2707">
        <v>0.6</v>
      </c>
      <c r="G2707">
        <v>0.45</v>
      </c>
      <c r="H2707">
        <v>130</v>
      </c>
      <c r="I2707">
        <v>10</v>
      </c>
      <c r="J2707">
        <v>2</v>
      </c>
      <c r="K2707">
        <v>54.8</v>
      </c>
      <c r="L2707" t="s">
        <v>120</v>
      </c>
      <c r="M2707" t="s">
        <v>116</v>
      </c>
    </row>
    <row r="2708" spans="2:13" x14ac:dyDescent="0.2">
      <c r="B2708">
        <v>3106</v>
      </c>
      <c r="C2708">
        <v>4</v>
      </c>
      <c r="D2708">
        <v>18.100000000000001</v>
      </c>
      <c r="E2708">
        <v>0.3</v>
      </c>
      <c r="F2708">
        <v>0.45</v>
      </c>
      <c r="G2708">
        <v>0.55000000000000004</v>
      </c>
      <c r="H2708">
        <v>179</v>
      </c>
      <c r="I2708">
        <v>13</v>
      </c>
      <c r="J2708">
        <v>2</v>
      </c>
      <c r="K2708">
        <v>72.3</v>
      </c>
      <c r="L2708" t="s">
        <v>128</v>
      </c>
      <c r="M2708" t="s">
        <v>116</v>
      </c>
    </row>
    <row r="2709" spans="2:13" x14ac:dyDescent="0.2">
      <c r="B2709">
        <v>3106</v>
      </c>
      <c r="C2709">
        <v>5</v>
      </c>
      <c r="D2709">
        <v>0</v>
      </c>
      <c r="E2709">
        <v>0</v>
      </c>
      <c r="F2709">
        <v>0.6</v>
      </c>
      <c r="G2709">
        <v>0.6</v>
      </c>
      <c r="H2709">
        <v>0</v>
      </c>
      <c r="I2709">
        <v>0</v>
      </c>
      <c r="J2709">
        <v>0</v>
      </c>
      <c r="K2709">
        <v>50</v>
      </c>
      <c r="L2709" t="s">
        <v>113</v>
      </c>
      <c r="M2709" t="s">
        <v>114</v>
      </c>
    </row>
    <row r="2710" spans="2:13" x14ac:dyDescent="0.2">
      <c r="B2710">
        <v>3106</v>
      </c>
      <c r="C2710">
        <v>5</v>
      </c>
      <c r="D2710">
        <v>6</v>
      </c>
      <c r="E2710">
        <v>0.1</v>
      </c>
      <c r="F2710">
        <v>0.6</v>
      </c>
      <c r="G2710">
        <v>0.6</v>
      </c>
      <c r="H2710">
        <v>65</v>
      </c>
      <c r="I2710">
        <v>0</v>
      </c>
      <c r="J2710">
        <v>0</v>
      </c>
      <c r="K2710">
        <v>85.5</v>
      </c>
      <c r="L2710" t="s">
        <v>115</v>
      </c>
      <c r="M2710" t="s">
        <v>116</v>
      </c>
    </row>
    <row r="2711" spans="2:13" x14ac:dyDescent="0.2">
      <c r="B2711">
        <v>3106</v>
      </c>
      <c r="C2711">
        <v>5</v>
      </c>
      <c r="D2711">
        <v>8.4</v>
      </c>
      <c r="E2711">
        <v>0.14000000000000001</v>
      </c>
      <c r="F2711">
        <v>0.6</v>
      </c>
      <c r="G2711">
        <v>0.6</v>
      </c>
      <c r="H2711">
        <v>91</v>
      </c>
      <c r="I2711">
        <v>2</v>
      </c>
      <c r="J2711">
        <v>1</v>
      </c>
      <c r="K2711">
        <v>69.7</v>
      </c>
      <c r="L2711" t="s">
        <v>129</v>
      </c>
      <c r="M2711" t="s">
        <v>118</v>
      </c>
    </row>
    <row r="2712" spans="2:13" x14ac:dyDescent="0.2">
      <c r="B2712">
        <v>3106</v>
      </c>
      <c r="C2712">
        <v>5</v>
      </c>
      <c r="D2712">
        <v>12.1</v>
      </c>
      <c r="E2712">
        <v>0.2</v>
      </c>
      <c r="F2712">
        <v>0.6</v>
      </c>
      <c r="G2712">
        <v>0.6</v>
      </c>
      <c r="H2712">
        <v>130</v>
      </c>
      <c r="I2712">
        <v>3</v>
      </c>
      <c r="J2712">
        <v>1</v>
      </c>
      <c r="K2712">
        <v>70.099999999999994</v>
      </c>
      <c r="L2712" t="s">
        <v>121</v>
      </c>
      <c r="M2712" t="s">
        <v>116</v>
      </c>
    </row>
    <row r="2713" spans="2:13" x14ac:dyDescent="0.2">
      <c r="B2713">
        <v>3106</v>
      </c>
      <c r="C2713">
        <v>5</v>
      </c>
      <c r="D2713">
        <v>12.1</v>
      </c>
      <c r="E2713">
        <v>0.2</v>
      </c>
      <c r="F2713">
        <v>0.6</v>
      </c>
      <c r="G2713">
        <v>0.6</v>
      </c>
      <c r="H2713">
        <v>131</v>
      </c>
      <c r="I2713">
        <v>3</v>
      </c>
      <c r="J2713">
        <v>2</v>
      </c>
      <c r="K2713">
        <v>61.8</v>
      </c>
      <c r="L2713" t="s">
        <v>127</v>
      </c>
      <c r="M2713" t="s">
        <v>118</v>
      </c>
    </row>
    <row r="2714" spans="2:13" x14ac:dyDescent="0.2">
      <c r="B2714">
        <v>3106</v>
      </c>
      <c r="C2714">
        <v>5</v>
      </c>
      <c r="D2714">
        <v>12.2</v>
      </c>
      <c r="E2714">
        <v>0.2</v>
      </c>
      <c r="F2714">
        <v>0.6</v>
      </c>
      <c r="G2714">
        <v>0.6</v>
      </c>
      <c r="H2714">
        <v>131</v>
      </c>
      <c r="I2714">
        <v>3</v>
      </c>
      <c r="J2714">
        <v>3</v>
      </c>
      <c r="K2714">
        <v>56.6</v>
      </c>
      <c r="L2714" t="s">
        <v>135</v>
      </c>
      <c r="M2714" t="s">
        <v>118</v>
      </c>
    </row>
    <row r="2715" spans="2:13" x14ac:dyDescent="0.2">
      <c r="B2715">
        <v>3106</v>
      </c>
      <c r="C2715">
        <v>5</v>
      </c>
      <c r="D2715">
        <v>17.100000000000001</v>
      </c>
      <c r="E2715">
        <v>0.28999999999999998</v>
      </c>
      <c r="F2715">
        <v>0.6</v>
      </c>
      <c r="G2715">
        <v>0.6</v>
      </c>
      <c r="H2715">
        <v>185</v>
      </c>
      <c r="I2715">
        <v>9</v>
      </c>
      <c r="J2715">
        <v>4</v>
      </c>
      <c r="K2715">
        <v>58.1</v>
      </c>
      <c r="L2715" t="s">
        <v>140</v>
      </c>
      <c r="M2715" t="s">
        <v>118</v>
      </c>
    </row>
    <row r="2716" spans="2:13" x14ac:dyDescent="0.2">
      <c r="B2716">
        <v>3106</v>
      </c>
      <c r="C2716">
        <v>5</v>
      </c>
      <c r="D2716">
        <v>18.100000000000001</v>
      </c>
      <c r="E2716">
        <v>0.3</v>
      </c>
      <c r="F2716">
        <v>0.6</v>
      </c>
      <c r="G2716">
        <v>0.45</v>
      </c>
      <c r="H2716">
        <v>195</v>
      </c>
      <c r="I2716">
        <v>9</v>
      </c>
      <c r="J2716">
        <v>4</v>
      </c>
      <c r="K2716">
        <v>58.5</v>
      </c>
      <c r="L2716" t="s">
        <v>131</v>
      </c>
      <c r="M2716" t="s">
        <v>116</v>
      </c>
    </row>
    <row r="2717" spans="2:13" x14ac:dyDescent="0.2">
      <c r="B2717">
        <v>3107</v>
      </c>
      <c r="C2717">
        <v>1</v>
      </c>
      <c r="D2717">
        <v>0</v>
      </c>
      <c r="E2717">
        <v>0</v>
      </c>
      <c r="F2717">
        <v>0.6</v>
      </c>
      <c r="G2717">
        <v>0.6</v>
      </c>
      <c r="H2717">
        <v>0</v>
      </c>
      <c r="I2717">
        <v>0</v>
      </c>
      <c r="J2717">
        <v>0</v>
      </c>
      <c r="K2717">
        <v>50</v>
      </c>
      <c r="L2717" t="s">
        <v>113</v>
      </c>
      <c r="M2717" t="s">
        <v>114</v>
      </c>
    </row>
    <row r="2718" spans="2:13" x14ac:dyDescent="0.2">
      <c r="B2718">
        <v>3107</v>
      </c>
      <c r="C2718">
        <v>1</v>
      </c>
      <c r="D2718">
        <v>6</v>
      </c>
      <c r="E2718">
        <v>0.1</v>
      </c>
      <c r="F2718">
        <v>0.6</v>
      </c>
      <c r="G2718">
        <v>0.6</v>
      </c>
      <c r="H2718">
        <v>65</v>
      </c>
      <c r="I2718">
        <v>0</v>
      </c>
      <c r="J2718">
        <v>0</v>
      </c>
      <c r="K2718">
        <v>34.299999999999997</v>
      </c>
      <c r="L2718" t="s">
        <v>115</v>
      </c>
      <c r="M2718" t="s">
        <v>116</v>
      </c>
    </row>
    <row r="2719" spans="2:13" x14ac:dyDescent="0.2">
      <c r="B2719">
        <v>3107</v>
      </c>
      <c r="C2719">
        <v>1</v>
      </c>
      <c r="D2719">
        <v>7.1</v>
      </c>
      <c r="E2719">
        <v>0.12</v>
      </c>
      <c r="F2719">
        <v>0.6</v>
      </c>
      <c r="G2719">
        <v>0.6</v>
      </c>
      <c r="H2719">
        <v>77</v>
      </c>
      <c r="I2719">
        <v>3</v>
      </c>
      <c r="J2719">
        <v>1</v>
      </c>
      <c r="K2719">
        <v>32.9</v>
      </c>
      <c r="L2719" t="s">
        <v>122</v>
      </c>
      <c r="M2719" t="s">
        <v>118</v>
      </c>
    </row>
    <row r="2720" spans="2:13" x14ac:dyDescent="0.2">
      <c r="B2720">
        <v>3107</v>
      </c>
      <c r="C2720">
        <v>1</v>
      </c>
      <c r="D2720">
        <v>12.1</v>
      </c>
      <c r="E2720">
        <v>0.2</v>
      </c>
      <c r="F2720">
        <v>0.6</v>
      </c>
      <c r="G2720">
        <v>0.6</v>
      </c>
      <c r="H2720">
        <v>130</v>
      </c>
      <c r="I2720">
        <v>4</v>
      </c>
      <c r="J2720">
        <v>1</v>
      </c>
      <c r="K2720">
        <v>58</v>
      </c>
      <c r="L2720" t="s">
        <v>121</v>
      </c>
      <c r="M2720" t="s">
        <v>116</v>
      </c>
    </row>
    <row r="2721" spans="2:13" x14ac:dyDescent="0.2">
      <c r="B2721">
        <v>3107</v>
      </c>
      <c r="C2721">
        <v>1</v>
      </c>
      <c r="D2721">
        <v>13.4</v>
      </c>
      <c r="E2721">
        <v>0.22</v>
      </c>
      <c r="F2721">
        <v>0.6</v>
      </c>
      <c r="G2721">
        <v>0.6</v>
      </c>
      <c r="H2721">
        <v>145</v>
      </c>
      <c r="I2721">
        <v>4</v>
      </c>
      <c r="J2721">
        <v>2</v>
      </c>
      <c r="K2721">
        <v>49.7</v>
      </c>
      <c r="L2721" t="s">
        <v>119</v>
      </c>
      <c r="M2721" t="s">
        <v>118</v>
      </c>
    </row>
    <row r="2722" spans="2:13" x14ac:dyDescent="0.2">
      <c r="B2722">
        <v>3107</v>
      </c>
      <c r="C2722">
        <v>1</v>
      </c>
      <c r="D2722">
        <v>13.7</v>
      </c>
      <c r="E2722">
        <v>0.23</v>
      </c>
      <c r="F2722">
        <v>0.6</v>
      </c>
      <c r="G2722">
        <v>0.6</v>
      </c>
      <c r="H2722">
        <v>148</v>
      </c>
      <c r="I2722">
        <v>4</v>
      </c>
      <c r="J2722">
        <v>3</v>
      </c>
      <c r="K2722">
        <v>45.7</v>
      </c>
      <c r="L2722" t="s">
        <v>125</v>
      </c>
      <c r="M2722" t="s">
        <v>118</v>
      </c>
    </row>
    <row r="2723" spans="2:13" x14ac:dyDescent="0.2">
      <c r="B2723">
        <v>3107</v>
      </c>
      <c r="C2723">
        <v>1</v>
      </c>
      <c r="D2723">
        <v>17.899999999999999</v>
      </c>
      <c r="E2723">
        <v>0.3</v>
      </c>
      <c r="F2723">
        <v>0.6</v>
      </c>
      <c r="G2723">
        <v>0.6</v>
      </c>
      <c r="H2723">
        <v>193</v>
      </c>
      <c r="I2723">
        <v>5</v>
      </c>
      <c r="J2723">
        <v>4</v>
      </c>
      <c r="K2723">
        <v>44.3</v>
      </c>
      <c r="L2723" t="s">
        <v>140</v>
      </c>
      <c r="M2723" t="s">
        <v>118</v>
      </c>
    </row>
    <row r="2724" spans="2:13" x14ac:dyDescent="0.2">
      <c r="B2724">
        <v>3107</v>
      </c>
      <c r="C2724">
        <v>1</v>
      </c>
      <c r="D2724">
        <v>18</v>
      </c>
      <c r="E2724">
        <v>0.3</v>
      </c>
      <c r="F2724">
        <v>0.6</v>
      </c>
      <c r="G2724">
        <v>0.6</v>
      </c>
      <c r="H2724">
        <v>194</v>
      </c>
      <c r="I2724">
        <v>5</v>
      </c>
      <c r="J2724">
        <v>5</v>
      </c>
      <c r="K2724">
        <v>42.6</v>
      </c>
      <c r="L2724" t="s">
        <v>140</v>
      </c>
      <c r="M2724" t="s">
        <v>118</v>
      </c>
    </row>
    <row r="2725" spans="2:13" x14ac:dyDescent="0.2">
      <c r="B2725">
        <v>3107</v>
      </c>
      <c r="C2725">
        <v>1</v>
      </c>
      <c r="D2725">
        <v>18.100000000000001</v>
      </c>
      <c r="E2725">
        <v>0.3</v>
      </c>
      <c r="F2725">
        <v>0.6</v>
      </c>
      <c r="G2725">
        <v>0.45</v>
      </c>
      <c r="H2725">
        <v>195</v>
      </c>
      <c r="I2725">
        <v>5</v>
      </c>
      <c r="J2725">
        <v>5</v>
      </c>
      <c r="K2725">
        <v>42.4</v>
      </c>
      <c r="L2725" t="s">
        <v>126</v>
      </c>
      <c r="M2725" t="s">
        <v>116</v>
      </c>
    </row>
    <row r="2726" spans="2:13" x14ac:dyDescent="0.2">
      <c r="B2726">
        <v>3107</v>
      </c>
      <c r="C2726">
        <v>2</v>
      </c>
      <c r="D2726">
        <v>0</v>
      </c>
      <c r="E2726">
        <v>0</v>
      </c>
      <c r="F2726">
        <v>0.6</v>
      </c>
      <c r="G2726">
        <v>0.6</v>
      </c>
      <c r="H2726">
        <v>0</v>
      </c>
      <c r="I2726">
        <v>0</v>
      </c>
      <c r="J2726">
        <v>0</v>
      </c>
      <c r="K2726">
        <v>50</v>
      </c>
      <c r="L2726" t="s">
        <v>113</v>
      </c>
      <c r="M2726" t="s">
        <v>114</v>
      </c>
    </row>
    <row r="2727" spans="2:13" x14ac:dyDescent="0.2">
      <c r="B2727">
        <v>3107</v>
      </c>
      <c r="C2727">
        <v>2</v>
      </c>
      <c r="D2727">
        <v>6</v>
      </c>
      <c r="E2727">
        <v>0.1</v>
      </c>
      <c r="F2727">
        <v>0.6</v>
      </c>
      <c r="G2727">
        <v>0.6</v>
      </c>
      <c r="H2727">
        <v>65</v>
      </c>
      <c r="I2727">
        <v>0</v>
      </c>
      <c r="J2727">
        <v>0</v>
      </c>
      <c r="K2727">
        <v>36.4</v>
      </c>
      <c r="L2727" t="s">
        <v>115</v>
      </c>
      <c r="M2727" t="s">
        <v>116</v>
      </c>
    </row>
    <row r="2728" spans="2:13" x14ac:dyDescent="0.2">
      <c r="B2728">
        <v>3107</v>
      </c>
      <c r="C2728">
        <v>2</v>
      </c>
      <c r="D2728">
        <v>11.2</v>
      </c>
      <c r="E2728">
        <v>0.19</v>
      </c>
      <c r="F2728">
        <v>0.6</v>
      </c>
      <c r="G2728">
        <v>0.6</v>
      </c>
      <c r="H2728">
        <v>121</v>
      </c>
      <c r="I2728">
        <v>3</v>
      </c>
      <c r="J2728">
        <v>1</v>
      </c>
      <c r="K2728">
        <v>59.8</v>
      </c>
      <c r="L2728" t="s">
        <v>117</v>
      </c>
      <c r="M2728" t="s">
        <v>118</v>
      </c>
    </row>
    <row r="2729" spans="2:13" x14ac:dyDescent="0.2">
      <c r="B2729">
        <v>3107</v>
      </c>
      <c r="C2729">
        <v>2</v>
      </c>
      <c r="D2729">
        <v>12.1</v>
      </c>
      <c r="E2729">
        <v>0.2</v>
      </c>
      <c r="F2729">
        <v>0.6</v>
      </c>
      <c r="G2729">
        <v>0.6</v>
      </c>
      <c r="H2729">
        <v>130</v>
      </c>
      <c r="I2729">
        <v>3</v>
      </c>
      <c r="J2729">
        <v>1</v>
      </c>
      <c r="K2729">
        <v>59.9</v>
      </c>
      <c r="L2729" t="s">
        <v>121</v>
      </c>
      <c r="M2729" t="s">
        <v>116</v>
      </c>
    </row>
    <row r="2730" spans="2:13" x14ac:dyDescent="0.2">
      <c r="B2730">
        <v>3107</v>
      </c>
      <c r="C2730">
        <v>2</v>
      </c>
      <c r="D2730">
        <v>18.100000000000001</v>
      </c>
      <c r="E2730">
        <v>0.3</v>
      </c>
      <c r="F2730">
        <v>0.6</v>
      </c>
      <c r="G2730">
        <v>0.6</v>
      </c>
      <c r="H2730">
        <v>195</v>
      </c>
      <c r="I2730">
        <v>3</v>
      </c>
      <c r="J2730">
        <v>1</v>
      </c>
      <c r="K2730">
        <v>66.2</v>
      </c>
      <c r="L2730" t="s">
        <v>115</v>
      </c>
      <c r="M2730" t="s">
        <v>116</v>
      </c>
    </row>
    <row r="2731" spans="2:13" x14ac:dyDescent="0.2">
      <c r="B2731">
        <v>3108</v>
      </c>
      <c r="C2731">
        <v>1</v>
      </c>
      <c r="D2731">
        <v>0</v>
      </c>
      <c r="E2731">
        <v>0</v>
      </c>
      <c r="F2731">
        <v>0.6</v>
      </c>
      <c r="G2731">
        <v>0.6</v>
      </c>
      <c r="H2731">
        <v>0</v>
      </c>
      <c r="I2731">
        <v>0</v>
      </c>
      <c r="J2731">
        <v>0</v>
      </c>
      <c r="K2731">
        <v>50</v>
      </c>
      <c r="L2731" t="s">
        <v>113</v>
      </c>
      <c r="M2731" t="s">
        <v>114</v>
      </c>
    </row>
    <row r="2732" spans="2:13" x14ac:dyDescent="0.2">
      <c r="B2732">
        <v>3108</v>
      </c>
      <c r="C2732">
        <v>1</v>
      </c>
      <c r="D2732">
        <v>6</v>
      </c>
      <c r="E2732">
        <v>0.1</v>
      </c>
      <c r="F2732">
        <v>0.6</v>
      </c>
      <c r="G2732">
        <v>0.6</v>
      </c>
      <c r="H2732">
        <v>65</v>
      </c>
      <c r="I2732">
        <v>0</v>
      </c>
      <c r="J2732">
        <v>0</v>
      </c>
      <c r="K2732">
        <v>38.799999999999997</v>
      </c>
      <c r="L2732" t="s">
        <v>115</v>
      </c>
      <c r="M2732" t="s">
        <v>116</v>
      </c>
    </row>
    <row r="2733" spans="2:13" x14ac:dyDescent="0.2">
      <c r="B2733">
        <v>3108</v>
      </c>
      <c r="C2733">
        <v>1</v>
      </c>
      <c r="D2733">
        <v>12.1</v>
      </c>
      <c r="E2733">
        <v>0.2</v>
      </c>
      <c r="F2733">
        <v>0.6</v>
      </c>
      <c r="G2733">
        <v>0.6</v>
      </c>
      <c r="H2733">
        <v>130</v>
      </c>
      <c r="I2733">
        <v>2</v>
      </c>
      <c r="J2733">
        <v>0</v>
      </c>
      <c r="K2733">
        <v>89</v>
      </c>
      <c r="L2733" t="s">
        <v>115</v>
      </c>
      <c r="M2733" t="s">
        <v>116</v>
      </c>
    </row>
    <row r="2734" spans="2:13" x14ac:dyDescent="0.2">
      <c r="B2734">
        <v>3108</v>
      </c>
      <c r="C2734">
        <v>1</v>
      </c>
      <c r="D2734">
        <v>18.100000000000001</v>
      </c>
      <c r="E2734">
        <v>0.3</v>
      </c>
      <c r="F2734">
        <v>0.6</v>
      </c>
      <c r="G2734">
        <v>0.6</v>
      </c>
      <c r="H2734">
        <v>195</v>
      </c>
      <c r="I2734">
        <v>4</v>
      </c>
      <c r="J2734">
        <v>0</v>
      </c>
      <c r="K2734">
        <v>89.3</v>
      </c>
      <c r="L2734" t="s">
        <v>115</v>
      </c>
      <c r="M2734" t="s">
        <v>116</v>
      </c>
    </row>
    <row r="2735" spans="2:13" x14ac:dyDescent="0.2">
      <c r="B2735">
        <v>3108</v>
      </c>
      <c r="C2735">
        <v>2</v>
      </c>
      <c r="D2735">
        <v>0</v>
      </c>
      <c r="E2735">
        <v>0</v>
      </c>
      <c r="F2735">
        <v>0.6</v>
      </c>
      <c r="G2735">
        <v>0.6</v>
      </c>
      <c r="H2735">
        <v>0</v>
      </c>
      <c r="I2735">
        <v>0</v>
      </c>
      <c r="J2735">
        <v>0</v>
      </c>
      <c r="K2735">
        <v>50</v>
      </c>
      <c r="L2735" t="s">
        <v>113</v>
      </c>
      <c r="M2735" t="s">
        <v>114</v>
      </c>
    </row>
    <row r="2736" spans="2:13" x14ac:dyDescent="0.2">
      <c r="B2736">
        <v>3108</v>
      </c>
      <c r="C2736">
        <v>2</v>
      </c>
      <c r="D2736">
        <v>6</v>
      </c>
      <c r="E2736">
        <v>0.1</v>
      </c>
      <c r="F2736">
        <v>0.6</v>
      </c>
      <c r="G2736">
        <v>0.6</v>
      </c>
      <c r="H2736">
        <v>65</v>
      </c>
      <c r="I2736">
        <v>1</v>
      </c>
      <c r="J2736">
        <v>0</v>
      </c>
      <c r="K2736">
        <v>89.7</v>
      </c>
      <c r="L2736" t="s">
        <v>115</v>
      </c>
      <c r="M2736" t="s">
        <v>116</v>
      </c>
    </row>
    <row r="2737" spans="2:13" x14ac:dyDescent="0.2">
      <c r="B2737">
        <v>3108</v>
      </c>
      <c r="C2737">
        <v>2</v>
      </c>
      <c r="D2737">
        <v>12.1</v>
      </c>
      <c r="E2737">
        <v>0.2</v>
      </c>
      <c r="F2737">
        <v>0.6</v>
      </c>
      <c r="G2737">
        <v>0.6</v>
      </c>
      <c r="H2737">
        <v>130</v>
      </c>
      <c r="I2737">
        <v>4</v>
      </c>
      <c r="J2737">
        <v>0</v>
      </c>
      <c r="K2737">
        <v>88.6</v>
      </c>
      <c r="L2737" t="s">
        <v>115</v>
      </c>
      <c r="M2737" t="s">
        <v>116</v>
      </c>
    </row>
    <row r="2738" spans="2:13" x14ac:dyDescent="0.2">
      <c r="B2738">
        <v>3108</v>
      </c>
      <c r="C2738">
        <v>2</v>
      </c>
      <c r="D2738">
        <v>13.7</v>
      </c>
      <c r="E2738">
        <v>0.23</v>
      </c>
      <c r="F2738">
        <v>0.6</v>
      </c>
      <c r="G2738">
        <v>0.6</v>
      </c>
      <c r="H2738">
        <v>147</v>
      </c>
      <c r="I2738">
        <v>4</v>
      </c>
      <c r="J2738">
        <v>1</v>
      </c>
      <c r="K2738">
        <v>72.2</v>
      </c>
      <c r="L2738" t="s">
        <v>122</v>
      </c>
      <c r="M2738" t="s">
        <v>118</v>
      </c>
    </row>
    <row r="2739" spans="2:13" x14ac:dyDescent="0.2">
      <c r="B2739">
        <v>3108</v>
      </c>
      <c r="C2739">
        <v>2</v>
      </c>
      <c r="D2739">
        <v>18.100000000000001</v>
      </c>
      <c r="E2739">
        <v>0.3</v>
      </c>
      <c r="F2739">
        <v>0.6</v>
      </c>
      <c r="G2739">
        <v>0.6</v>
      </c>
      <c r="H2739">
        <v>195</v>
      </c>
      <c r="I2739">
        <v>5</v>
      </c>
      <c r="J2739">
        <v>1</v>
      </c>
      <c r="K2739">
        <v>81.099999999999994</v>
      </c>
      <c r="L2739" t="s">
        <v>138</v>
      </c>
      <c r="M2739" t="s">
        <v>116</v>
      </c>
    </row>
    <row r="2740" spans="2:13" x14ac:dyDescent="0.2">
      <c r="B2740">
        <v>3109</v>
      </c>
      <c r="C2740">
        <v>1</v>
      </c>
      <c r="D2740">
        <v>0</v>
      </c>
      <c r="E2740">
        <v>0</v>
      </c>
      <c r="F2740">
        <v>0.6</v>
      </c>
      <c r="G2740">
        <v>0.6</v>
      </c>
      <c r="H2740">
        <v>0</v>
      </c>
      <c r="I2740">
        <v>0</v>
      </c>
      <c r="J2740">
        <v>0</v>
      </c>
      <c r="K2740">
        <v>50</v>
      </c>
      <c r="L2740" t="s">
        <v>113</v>
      </c>
      <c r="M2740" t="s">
        <v>114</v>
      </c>
    </row>
    <row r="2741" spans="2:13" x14ac:dyDescent="0.2">
      <c r="B2741">
        <v>3109</v>
      </c>
      <c r="C2741">
        <v>1</v>
      </c>
      <c r="D2741">
        <v>6</v>
      </c>
      <c r="E2741">
        <v>0.1</v>
      </c>
      <c r="F2741">
        <v>0.6</v>
      </c>
      <c r="G2741">
        <v>0.6</v>
      </c>
      <c r="H2741">
        <v>65</v>
      </c>
      <c r="I2741">
        <v>0</v>
      </c>
      <c r="J2741">
        <v>0</v>
      </c>
      <c r="K2741">
        <v>36.799999999999997</v>
      </c>
      <c r="L2741" t="s">
        <v>115</v>
      </c>
      <c r="M2741" t="s">
        <v>116</v>
      </c>
    </row>
    <row r="2742" spans="2:13" x14ac:dyDescent="0.2">
      <c r="B2742">
        <v>3109</v>
      </c>
      <c r="C2742">
        <v>1</v>
      </c>
      <c r="D2742">
        <v>7.9</v>
      </c>
      <c r="E2742">
        <v>0.13</v>
      </c>
      <c r="F2742">
        <v>0.6</v>
      </c>
      <c r="G2742">
        <v>0.6</v>
      </c>
      <c r="H2742">
        <v>85</v>
      </c>
      <c r="I2742">
        <v>2</v>
      </c>
      <c r="J2742">
        <v>1</v>
      </c>
      <c r="K2742">
        <v>37</v>
      </c>
      <c r="L2742" t="s">
        <v>122</v>
      </c>
      <c r="M2742" t="s">
        <v>118</v>
      </c>
    </row>
    <row r="2743" spans="2:13" x14ac:dyDescent="0.2">
      <c r="B2743">
        <v>3109</v>
      </c>
      <c r="C2743">
        <v>1</v>
      </c>
      <c r="D2743">
        <v>12.1</v>
      </c>
      <c r="E2743">
        <v>0.2</v>
      </c>
      <c r="F2743">
        <v>0.6</v>
      </c>
      <c r="G2743">
        <v>0.6</v>
      </c>
      <c r="H2743">
        <v>130</v>
      </c>
      <c r="I2743">
        <v>3</v>
      </c>
      <c r="J2743">
        <v>1</v>
      </c>
      <c r="K2743">
        <v>62.8</v>
      </c>
      <c r="L2743" t="s">
        <v>121</v>
      </c>
      <c r="M2743" t="s">
        <v>116</v>
      </c>
    </row>
    <row r="2744" spans="2:13" x14ac:dyDescent="0.2">
      <c r="B2744">
        <v>3109</v>
      </c>
      <c r="C2744">
        <v>1</v>
      </c>
      <c r="D2744">
        <v>18.100000000000001</v>
      </c>
      <c r="E2744">
        <v>0.3</v>
      </c>
      <c r="F2744">
        <v>0.6</v>
      </c>
      <c r="G2744">
        <v>0.6</v>
      </c>
      <c r="H2744">
        <v>195</v>
      </c>
      <c r="I2744">
        <v>9</v>
      </c>
      <c r="J2744">
        <v>1</v>
      </c>
      <c r="K2744">
        <v>71.099999999999994</v>
      </c>
      <c r="L2744" t="s">
        <v>115</v>
      </c>
      <c r="M2744" t="s">
        <v>116</v>
      </c>
    </row>
    <row r="2745" spans="2:13" x14ac:dyDescent="0.2">
      <c r="B2745">
        <v>3109</v>
      </c>
      <c r="C2745">
        <v>1</v>
      </c>
      <c r="D2745">
        <v>18.2</v>
      </c>
      <c r="E2745">
        <v>0.3</v>
      </c>
      <c r="F2745">
        <v>0.6</v>
      </c>
      <c r="G2745">
        <v>0.6</v>
      </c>
      <c r="H2745">
        <v>197</v>
      </c>
      <c r="I2745">
        <v>9</v>
      </c>
      <c r="J2745">
        <v>2</v>
      </c>
      <c r="K2745">
        <v>62.9</v>
      </c>
      <c r="L2745" t="s">
        <v>133</v>
      </c>
      <c r="M2745" t="s">
        <v>118</v>
      </c>
    </row>
    <row r="2746" spans="2:13" x14ac:dyDescent="0.2">
      <c r="B2746">
        <v>3109</v>
      </c>
      <c r="C2746">
        <v>2</v>
      </c>
      <c r="D2746">
        <v>0</v>
      </c>
      <c r="E2746">
        <v>0</v>
      </c>
      <c r="F2746">
        <v>0.6</v>
      </c>
      <c r="G2746">
        <v>0.6</v>
      </c>
      <c r="H2746">
        <v>0</v>
      </c>
      <c r="I2746">
        <v>0</v>
      </c>
      <c r="J2746">
        <v>0</v>
      </c>
      <c r="K2746">
        <v>50</v>
      </c>
      <c r="L2746" t="s">
        <v>113</v>
      </c>
      <c r="M2746" t="s">
        <v>114</v>
      </c>
    </row>
    <row r="2747" spans="2:13" x14ac:dyDescent="0.2">
      <c r="B2747">
        <v>3109</v>
      </c>
      <c r="C2747">
        <v>2</v>
      </c>
      <c r="D2747">
        <v>6</v>
      </c>
      <c r="E2747">
        <v>0.1</v>
      </c>
      <c r="F2747">
        <v>0.6</v>
      </c>
      <c r="G2747">
        <v>0.6</v>
      </c>
      <c r="H2747">
        <v>65</v>
      </c>
      <c r="I2747">
        <v>0</v>
      </c>
      <c r="J2747">
        <v>0</v>
      </c>
      <c r="K2747">
        <v>35.5</v>
      </c>
      <c r="L2747" t="s">
        <v>115</v>
      </c>
      <c r="M2747" t="s">
        <v>116</v>
      </c>
    </row>
    <row r="2748" spans="2:13" x14ac:dyDescent="0.2">
      <c r="B2748">
        <v>3109</v>
      </c>
      <c r="C2748">
        <v>2</v>
      </c>
      <c r="D2748">
        <v>9.6</v>
      </c>
      <c r="E2748">
        <v>0.16</v>
      </c>
      <c r="F2748">
        <v>0.6</v>
      </c>
      <c r="G2748">
        <v>0.6</v>
      </c>
      <c r="H2748">
        <v>104</v>
      </c>
      <c r="I2748">
        <v>0</v>
      </c>
      <c r="J2748">
        <v>1</v>
      </c>
      <c r="K2748">
        <v>61.2</v>
      </c>
      <c r="L2748" t="s">
        <v>117</v>
      </c>
      <c r="M2748" t="s">
        <v>118</v>
      </c>
    </row>
    <row r="2749" spans="2:13" x14ac:dyDescent="0.2">
      <c r="B2749">
        <v>3109</v>
      </c>
      <c r="C2749">
        <v>2</v>
      </c>
      <c r="D2749">
        <v>12.1</v>
      </c>
      <c r="E2749">
        <v>0.2</v>
      </c>
      <c r="F2749">
        <v>0.6</v>
      </c>
      <c r="G2749">
        <v>0.6</v>
      </c>
      <c r="H2749">
        <v>130</v>
      </c>
      <c r="I2749">
        <v>0</v>
      </c>
      <c r="J2749">
        <v>1</v>
      </c>
      <c r="K2749">
        <v>69.2</v>
      </c>
      <c r="L2749" t="s">
        <v>124</v>
      </c>
      <c r="M2749" t="s">
        <v>116</v>
      </c>
    </row>
    <row r="2750" spans="2:13" x14ac:dyDescent="0.2">
      <c r="B2750">
        <v>3109</v>
      </c>
      <c r="C2750">
        <v>2</v>
      </c>
      <c r="D2750">
        <v>13.3</v>
      </c>
      <c r="E2750">
        <v>0.22</v>
      </c>
      <c r="F2750">
        <v>0.6</v>
      </c>
      <c r="G2750">
        <v>0.6</v>
      </c>
      <c r="H2750">
        <v>144</v>
      </c>
      <c r="I2750">
        <v>1</v>
      </c>
      <c r="J2750">
        <v>2</v>
      </c>
      <c r="K2750">
        <v>60.9</v>
      </c>
      <c r="L2750" t="s">
        <v>123</v>
      </c>
      <c r="M2750" t="s">
        <v>118</v>
      </c>
    </row>
    <row r="2751" spans="2:13" x14ac:dyDescent="0.2">
      <c r="B2751">
        <v>3109</v>
      </c>
      <c r="C2751">
        <v>2</v>
      </c>
      <c r="D2751">
        <v>17.2</v>
      </c>
      <c r="E2751">
        <v>0.28999999999999998</v>
      </c>
      <c r="F2751">
        <v>0.6</v>
      </c>
      <c r="G2751">
        <v>0.6</v>
      </c>
      <c r="H2751">
        <v>185</v>
      </c>
      <c r="I2751">
        <v>3</v>
      </c>
      <c r="J2751">
        <v>3</v>
      </c>
      <c r="K2751">
        <v>55.7</v>
      </c>
      <c r="L2751" t="s">
        <v>125</v>
      </c>
      <c r="M2751" t="s">
        <v>118</v>
      </c>
    </row>
    <row r="2752" spans="2:13" x14ac:dyDescent="0.2">
      <c r="B2752">
        <v>3109</v>
      </c>
      <c r="C2752">
        <v>2</v>
      </c>
      <c r="D2752">
        <v>18.100000000000001</v>
      </c>
      <c r="E2752">
        <v>0.3</v>
      </c>
      <c r="F2752">
        <v>0.6</v>
      </c>
      <c r="G2752">
        <v>0.45</v>
      </c>
      <c r="H2752">
        <v>195</v>
      </c>
      <c r="I2752">
        <v>3</v>
      </c>
      <c r="J2752">
        <v>3</v>
      </c>
      <c r="K2752">
        <v>56.3</v>
      </c>
      <c r="L2752" t="s">
        <v>126</v>
      </c>
      <c r="M2752" t="s">
        <v>116</v>
      </c>
    </row>
    <row r="2753" spans="2:13" x14ac:dyDescent="0.2">
      <c r="B2753">
        <v>3109</v>
      </c>
      <c r="C2753">
        <v>3</v>
      </c>
      <c r="D2753">
        <v>0</v>
      </c>
      <c r="E2753">
        <v>0</v>
      </c>
      <c r="F2753">
        <v>0.6</v>
      </c>
      <c r="G2753">
        <v>0.6</v>
      </c>
      <c r="H2753">
        <v>0</v>
      </c>
      <c r="I2753">
        <v>0</v>
      </c>
      <c r="J2753">
        <v>0</v>
      </c>
      <c r="K2753">
        <v>50</v>
      </c>
      <c r="L2753" t="s">
        <v>113</v>
      </c>
      <c r="M2753" t="s">
        <v>114</v>
      </c>
    </row>
    <row r="2754" spans="2:13" x14ac:dyDescent="0.2">
      <c r="B2754">
        <v>3109</v>
      </c>
      <c r="C2754">
        <v>3</v>
      </c>
      <c r="D2754">
        <v>6</v>
      </c>
      <c r="E2754">
        <v>0.1</v>
      </c>
      <c r="F2754">
        <v>0.6</v>
      </c>
      <c r="G2754">
        <v>0.6</v>
      </c>
      <c r="H2754">
        <v>65</v>
      </c>
      <c r="I2754">
        <v>0</v>
      </c>
      <c r="J2754">
        <v>0</v>
      </c>
      <c r="K2754">
        <v>36.4</v>
      </c>
      <c r="L2754" t="s">
        <v>115</v>
      </c>
      <c r="M2754" t="s">
        <v>116</v>
      </c>
    </row>
    <row r="2755" spans="2:13" x14ac:dyDescent="0.2">
      <c r="B2755">
        <v>3109</v>
      </c>
      <c r="C2755">
        <v>3</v>
      </c>
      <c r="D2755">
        <v>10.8</v>
      </c>
      <c r="E2755">
        <v>0.18</v>
      </c>
      <c r="F2755">
        <v>0.6</v>
      </c>
      <c r="G2755">
        <v>0.6</v>
      </c>
      <c r="H2755">
        <v>117</v>
      </c>
      <c r="I2755">
        <v>1</v>
      </c>
      <c r="J2755">
        <v>1</v>
      </c>
      <c r="K2755">
        <v>70.400000000000006</v>
      </c>
      <c r="L2755" t="s">
        <v>117</v>
      </c>
      <c r="M2755" t="s">
        <v>118</v>
      </c>
    </row>
    <row r="2756" spans="2:13" x14ac:dyDescent="0.2">
      <c r="B2756">
        <v>3109</v>
      </c>
      <c r="C2756">
        <v>3</v>
      </c>
      <c r="D2756">
        <v>12.1</v>
      </c>
      <c r="E2756">
        <v>0.2</v>
      </c>
      <c r="F2756">
        <v>0.6</v>
      </c>
      <c r="G2756">
        <v>0.6</v>
      </c>
      <c r="H2756">
        <v>130</v>
      </c>
      <c r="I2756">
        <v>3</v>
      </c>
      <c r="J2756">
        <v>1</v>
      </c>
      <c r="K2756">
        <v>71.099999999999994</v>
      </c>
      <c r="L2756" t="s">
        <v>124</v>
      </c>
      <c r="M2756" t="s">
        <v>116</v>
      </c>
    </row>
    <row r="2757" spans="2:13" x14ac:dyDescent="0.2">
      <c r="B2757">
        <v>3109</v>
      </c>
      <c r="C2757">
        <v>3</v>
      </c>
      <c r="D2757">
        <v>18.100000000000001</v>
      </c>
      <c r="E2757">
        <v>0.3</v>
      </c>
      <c r="F2757">
        <v>0.6</v>
      </c>
      <c r="G2757">
        <v>0.6</v>
      </c>
      <c r="H2757">
        <v>195</v>
      </c>
      <c r="I2757">
        <v>6</v>
      </c>
      <c r="J2757">
        <v>1</v>
      </c>
      <c r="K2757">
        <v>74.900000000000006</v>
      </c>
      <c r="L2757" t="s">
        <v>115</v>
      </c>
      <c r="M2757" t="s">
        <v>116</v>
      </c>
    </row>
    <row r="2758" spans="2:13" x14ac:dyDescent="0.2">
      <c r="B2758">
        <v>3109</v>
      </c>
      <c r="C2758">
        <v>4</v>
      </c>
      <c r="D2758">
        <v>0</v>
      </c>
      <c r="E2758">
        <v>0</v>
      </c>
      <c r="F2758">
        <v>0.6</v>
      </c>
      <c r="G2758">
        <v>0.6</v>
      </c>
      <c r="H2758">
        <v>0</v>
      </c>
      <c r="I2758">
        <v>0</v>
      </c>
      <c r="J2758">
        <v>0</v>
      </c>
      <c r="K2758">
        <v>50</v>
      </c>
      <c r="L2758" t="s">
        <v>113</v>
      </c>
      <c r="M2758" t="s">
        <v>114</v>
      </c>
    </row>
    <row r="2759" spans="2:13" x14ac:dyDescent="0.2">
      <c r="B2759">
        <v>3109</v>
      </c>
      <c r="C2759">
        <v>4</v>
      </c>
      <c r="D2759">
        <v>6</v>
      </c>
      <c r="E2759">
        <v>0.1</v>
      </c>
      <c r="F2759">
        <v>0.6</v>
      </c>
      <c r="G2759">
        <v>0.6</v>
      </c>
      <c r="H2759">
        <v>65</v>
      </c>
      <c r="I2759">
        <v>0</v>
      </c>
      <c r="J2759">
        <v>0</v>
      </c>
      <c r="K2759">
        <v>38</v>
      </c>
      <c r="L2759" t="s">
        <v>115</v>
      </c>
      <c r="M2759" t="s">
        <v>116</v>
      </c>
    </row>
    <row r="2760" spans="2:13" x14ac:dyDescent="0.2">
      <c r="B2760">
        <v>3109</v>
      </c>
      <c r="C2760">
        <v>4</v>
      </c>
      <c r="D2760">
        <v>12.1</v>
      </c>
      <c r="E2760">
        <v>0.2</v>
      </c>
      <c r="F2760">
        <v>0.6</v>
      </c>
      <c r="G2760">
        <v>0.6</v>
      </c>
      <c r="H2760">
        <v>130</v>
      </c>
      <c r="I2760">
        <v>3</v>
      </c>
      <c r="J2760">
        <v>0</v>
      </c>
      <c r="K2760">
        <v>86.1</v>
      </c>
      <c r="L2760" t="s">
        <v>115</v>
      </c>
      <c r="M2760" t="s">
        <v>116</v>
      </c>
    </row>
    <row r="2761" spans="2:13" x14ac:dyDescent="0.2">
      <c r="B2761">
        <v>3109</v>
      </c>
      <c r="C2761">
        <v>4</v>
      </c>
      <c r="D2761">
        <v>14.6</v>
      </c>
      <c r="E2761">
        <v>0.24</v>
      </c>
      <c r="F2761">
        <v>0.6</v>
      </c>
      <c r="G2761">
        <v>0.6</v>
      </c>
      <c r="H2761">
        <v>158</v>
      </c>
      <c r="I2761">
        <v>3</v>
      </c>
      <c r="J2761">
        <v>1</v>
      </c>
      <c r="K2761">
        <v>69.5</v>
      </c>
      <c r="L2761" t="s">
        <v>117</v>
      </c>
      <c r="M2761" t="s">
        <v>118</v>
      </c>
    </row>
    <row r="2762" spans="2:13" x14ac:dyDescent="0.2">
      <c r="B2762">
        <v>3109</v>
      </c>
      <c r="C2762">
        <v>4</v>
      </c>
      <c r="D2762">
        <v>18.100000000000001</v>
      </c>
      <c r="E2762">
        <v>0.3</v>
      </c>
      <c r="F2762">
        <v>0.6</v>
      </c>
      <c r="G2762">
        <v>0.6</v>
      </c>
      <c r="H2762">
        <v>195</v>
      </c>
      <c r="I2762">
        <v>4</v>
      </c>
      <c r="J2762">
        <v>1</v>
      </c>
      <c r="K2762">
        <v>70.2</v>
      </c>
      <c r="L2762" t="s">
        <v>121</v>
      </c>
      <c r="M2762" t="s">
        <v>116</v>
      </c>
    </row>
    <row r="2763" spans="2:13" x14ac:dyDescent="0.2">
      <c r="B2763">
        <v>3109</v>
      </c>
      <c r="C2763">
        <v>5</v>
      </c>
      <c r="D2763">
        <v>0</v>
      </c>
      <c r="E2763">
        <v>0</v>
      </c>
      <c r="F2763">
        <v>0.6</v>
      </c>
      <c r="G2763">
        <v>0.6</v>
      </c>
      <c r="H2763">
        <v>0</v>
      </c>
      <c r="I2763">
        <v>0</v>
      </c>
      <c r="J2763">
        <v>0</v>
      </c>
      <c r="K2763">
        <v>50</v>
      </c>
      <c r="L2763" t="s">
        <v>113</v>
      </c>
      <c r="M2763" t="s">
        <v>114</v>
      </c>
    </row>
    <row r="2764" spans="2:13" x14ac:dyDescent="0.2">
      <c r="B2764">
        <v>3109</v>
      </c>
      <c r="C2764">
        <v>5</v>
      </c>
      <c r="D2764">
        <v>5.5</v>
      </c>
      <c r="E2764">
        <v>0.09</v>
      </c>
      <c r="F2764">
        <v>0.6</v>
      </c>
      <c r="G2764">
        <v>0.6</v>
      </c>
      <c r="H2764">
        <v>60</v>
      </c>
      <c r="I2764">
        <v>0</v>
      </c>
      <c r="J2764">
        <v>1</v>
      </c>
      <c r="K2764">
        <v>36.5</v>
      </c>
      <c r="L2764" t="s">
        <v>129</v>
      </c>
      <c r="M2764" t="s">
        <v>118</v>
      </c>
    </row>
    <row r="2765" spans="2:13" x14ac:dyDescent="0.2">
      <c r="B2765">
        <v>3109</v>
      </c>
      <c r="C2765">
        <v>5</v>
      </c>
      <c r="D2765">
        <v>6</v>
      </c>
      <c r="E2765">
        <v>0.1</v>
      </c>
      <c r="F2765">
        <v>0.6</v>
      </c>
      <c r="G2765">
        <v>0.6</v>
      </c>
      <c r="H2765">
        <v>65</v>
      </c>
      <c r="I2765">
        <v>1</v>
      </c>
      <c r="J2765">
        <v>1</v>
      </c>
      <c r="K2765">
        <v>35.5</v>
      </c>
      <c r="L2765" t="s">
        <v>132</v>
      </c>
      <c r="M2765" t="s">
        <v>116</v>
      </c>
    </row>
    <row r="2766" spans="2:13" x14ac:dyDescent="0.2">
      <c r="B2766">
        <v>3109</v>
      </c>
      <c r="C2766">
        <v>5</v>
      </c>
      <c r="D2766">
        <v>12.1</v>
      </c>
      <c r="E2766">
        <v>0.2</v>
      </c>
      <c r="F2766">
        <v>0.6</v>
      </c>
      <c r="G2766">
        <v>0.6</v>
      </c>
      <c r="H2766">
        <v>130</v>
      </c>
      <c r="I2766">
        <v>7</v>
      </c>
      <c r="J2766">
        <v>1</v>
      </c>
      <c r="K2766">
        <v>61.7</v>
      </c>
      <c r="L2766" t="s">
        <v>115</v>
      </c>
      <c r="M2766" t="s">
        <v>116</v>
      </c>
    </row>
    <row r="2767" spans="2:13" x14ac:dyDescent="0.2">
      <c r="B2767">
        <v>3109</v>
      </c>
      <c r="C2767">
        <v>5</v>
      </c>
      <c r="D2767">
        <v>14.3</v>
      </c>
      <c r="E2767">
        <v>0.24</v>
      </c>
      <c r="F2767">
        <v>0.6</v>
      </c>
      <c r="G2767">
        <v>0.6</v>
      </c>
      <c r="H2767">
        <v>154</v>
      </c>
      <c r="I2767">
        <v>10</v>
      </c>
      <c r="J2767">
        <v>2</v>
      </c>
      <c r="K2767">
        <v>54</v>
      </c>
      <c r="L2767" t="s">
        <v>133</v>
      </c>
      <c r="M2767" t="s">
        <v>118</v>
      </c>
    </row>
    <row r="2768" spans="2:13" x14ac:dyDescent="0.2">
      <c r="B2768">
        <v>3109</v>
      </c>
      <c r="C2768">
        <v>5</v>
      </c>
      <c r="D2768">
        <v>18.100000000000001</v>
      </c>
      <c r="E2768">
        <v>0.3</v>
      </c>
      <c r="F2768">
        <v>0.6</v>
      </c>
      <c r="G2768">
        <v>0.6</v>
      </c>
      <c r="H2768">
        <v>195</v>
      </c>
      <c r="I2768">
        <v>11</v>
      </c>
      <c r="J2768">
        <v>2</v>
      </c>
      <c r="K2768">
        <v>54.5</v>
      </c>
      <c r="L2768" t="s">
        <v>132</v>
      </c>
      <c r="M2768" t="s">
        <v>116</v>
      </c>
    </row>
    <row r="2769" spans="2:13" x14ac:dyDescent="0.2">
      <c r="B2769">
        <v>3110</v>
      </c>
      <c r="C2769">
        <v>1</v>
      </c>
      <c r="D2769">
        <v>0</v>
      </c>
      <c r="E2769">
        <v>0</v>
      </c>
      <c r="F2769">
        <v>0.6</v>
      </c>
      <c r="G2769">
        <v>0.6</v>
      </c>
      <c r="H2769">
        <v>0</v>
      </c>
      <c r="I2769">
        <v>0</v>
      </c>
      <c r="J2769">
        <v>0</v>
      </c>
      <c r="K2769">
        <v>50</v>
      </c>
      <c r="L2769" t="s">
        <v>113</v>
      </c>
      <c r="M2769" t="s">
        <v>114</v>
      </c>
    </row>
    <row r="2770" spans="2:13" x14ac:dyDescent="0.2">
      <c r="B2770">
        <v>3110</v>
      </c>
      <c r="C2770">
        <v>1</v>
      </c>
      <c r="D2770">
        <v>6</v>
      </c>
      <c r="E2770">
        <v>0.1</v>
      </c>
      <c r="F2770">
        <v>0.6</v>
      </c>
      <c r="G2770">
        <v>0.6</v>
      </c>
      <c r="H2770">
        <v>65</v>
      </c>
      <c r="I2770">
        <v>0</v>
      </c>
      <c r="J2770">
        <v>0</v>
      </c>
      <c r="K2770">
        <v>85.5</v>
      </c>
      <c r="L2770" t="s">
        <v>115</v>
      </c>
      <c r="M2770" t="s">
        <v>116</v>
      </c>
    </row>
    <row r="2771" spans="2:13" x14ac:dyDescent="0.2">
      <c r="B2771">
        <v>3110</v>
      </c>
      <c r="C2771">
        <v>1</v>
      </c>
      <c r="D2771">
        <v>9.8000000000000007</v>
      </c>
      <c r="E2771">
        <v>0.16</v>
      </c>
      <c r="F2771">
        <v>0.6</v>
      </c>
      <c r="G2771">
        <v>0.6</v>
      </c>
      <c r="H2771">
        <v>106</v>
      </c>
      <c r="I2771">
        <v>1</v>
      </c>
      <c r="J2771">
        <v>1</v>
      </c>
      <c r="K2771">
        <v>68</v>
      </c>
      <c r="L2771" t="s">
        <v>117</v>
      </c>
      <c r="M2771" t="s">
        <v>118</v>
      </c>
    </row>
    <row r="2772" spans="2:13" x14ac:dyDescent="0.2">
      <c r="B2772">
        <v>3110</v>
      </c>
      <c r="C2772">
        <v>1</v>
      </c>
      <c r="D2772">
        <v>11.4</v>
      </c>
      <c r="E2772">
        <v>0.19</v>
      </c>
      <c r="F2772">
        <v>0.6</v>
      </c>
      <c r="G2772">
        <v>0.6</v>
      </c>
      <c r="H2772">
        <v>123</v>
      </c>
      <c r="I2772">
        <v>3</v>
      </c>
      <c r="J2772">
        <v>2</v>
      </c>
      <c r="K2772">
        <v>60.7</v>
      </c>
      <c r="L2772" t="s">
        <v>119</v>
      </c>
      <c r="M2772" t="s">
        <v>118</v>
      </c>
    </row>
    <row r="2773" spans="2:13" x14ac:dyDescent="0.2">
      <c r="B2773">
        <v>3110</v>
      </c>
      <c r="C2773">
        <v>1</v>
      </c>
      <c r="D2773">
        <v>12.1</v>
      </c>
      <c r="E2773">
        <v>0.2</v>
      </c>
      <c r="F2773">
        <v>0.6</v>
      </c>
      <c r="G2773">
        <v>0.45</v>
      </c>
      <c r="H2773">
        <v>130</v>
      </c>
      <c r="I2773">
        <v>4</v>
      </c>
      <c r="J2773">
        <v>2</v>
      </c>
      <c r="K2773">
        <v>61.1</v>
      </c>
      <c r="L2773" t="s">
        <v>120</v>
      </c>
      <c r="M2773" t="s">
        <v>116</v>
      </c>
    </row>
    <row r="2774" spans="2:13" x14ac:dyDescent="0.2">
      <c r="B2774">
        <v>3110</v>
      </c>
      <c r="C2774">
        <v>1</v>
      </c>
      <c r="D2774">
        <v>13.7</v>
      </c>
      <c r="E2774">
        <v>0.23</v>
      </c>
      <c r="F2774">
        <v>0.45</v>
      </c>
      <c r="G2774">
        <v>0.45</v>
      </c>
      <c r="H2774">
        <v>144</v>
      </c>
      <c r="I2774">
        <v>7</v>
      </c>
      <c r="J2774">
        <v>3</v>
      </c>
      <c r="K2774">
        <v>56.1</v>
      </c>
      <c r="L2774" t="s">
        <v>125</v>
      </c>
      <c r="M2774" t="s">
        <v>118</v>
      </c>
    </row>
    <row r="2775" spans="2:13" x14ac:dyDescent="0.2">
      <c r="B2775">
        <v>3110</v>
      </c>
      <c r="C2775">
        <v>1</v>
      </c>
      <c r="D2775">
        <v>18.100000000000001</v>
      </c>
      <c r="E2775">
        <v>0.3</v>
      </c>
      <c r="F2775">
        <v>0.45</v>
      </c>
      <c r="G2775">
        <v>0.45</v>
      </c>
      <c r="H2775">
        <v>179</v>
      </c>
      <c r="I2775">
        <v>9</v>
      </c>
      <c r="J2775">
        <v>3</v>
      </c>
      <c r="K2775">
        <v>57.1</v>
      </c>
      <c r="L2775" t="s">
        <v>132</v>
      </c>
      <c r="M2775" t="s">
        <v>116</v>
      </c>
    </row>
    <row r="2776" spans="2:13" x14ac:dyDescent="0.2">
      <c r="B2776">
        <v>3110</v>
      </c>
      <c r="C2776">
        <v>2</v>
      </c>
      <c r="D2776">
        <v>0</v>
      </c>
      <c r="E2776">
        <v>0</v>
      </c>
      <c r="F2776">
        <v>0.6</v>
      </c>
      <c r="G2776">
        <v>0.6</v>
      </c>
      <c r="H2776">
        <v>0</v>
      </c>
      <c r="I2776">
        <v>0</v>
      </c>
      <c r="J2776">
        <v>0</v>
      </c>
      <c r="K2776">
        <v>50</v>
      </c>
      <c r="L2776" t="s">
        <v>113</v>
      </c>
      <c r="M2776" t="s">
        <v>114</v>
      </c>
    </row>
    <row r="2777" spans="2:13" x14ac:dyDescent="0.2">
      <c r="B2777">
        <v>3110</v>
      </c>
      <c r="C2777">
        <v>2</v>
      </c>
      <c r="D2777">
        <v>6</v>
      </c>
      <c r="E2777">
        <v>0.1</v>
      </c>
      <c r="F2777">
        <v>0.6</v>
      </c>
      <c r="G2777">
        <v>0.6</v>
      </c>
      <c r="H2777">
        <v>65</v>
      </c>
      <c r="I2777">
        <v>1</v>
      </c>
      <c r="J2777">
        <v>0</v>
      </c>
      <c r="K2777">
        <v>89.3</v>
      </c>
      <c r="L2777" t="s">
        <v>115</v>
      </c>
      <c r="M2777" t="s">
        <v>116</v>
      </c>
    </row>
    <row r="2778" spans="2:13" x14ac:dyDescent="0.2">
      <c r="B2778">
        <v>3110</v>
      </c>
      <c r="C2778">
        <v>2</v>
      </c>
      <c r="D2778">
        <v>12.1</v>
      </c>
      <c r="E2778">
        <v>0.2</v>
      </c>
      <c r="F2778">
        <v>0.6</v>
      </c>
      <c r="G2778">
        <v>0.7</v>
      </c>
      <c r="H2778">
        <v>130</v>
      </c>
      <c r="I2778">
        <v>3</v>
      </c>
      <c r="J2778">
        <v>0</v>
      </c>
      <c r="K2778">
        <v>87.8</v>
      </c>
      <c r="L2778" t="s">
        <v>128</v>
      </c>
      <c r="M2778" t="s">
        <v>116</v>
      </c>
    </row>
    <row r="2779" spans="2:13" x14ac:dyDescent="0.2">
      <c r="B2779">
        <v>3110</v>
      </c>
      <c r="C2779">
        <v>3</v>
      </c>
      <c r="D2779">
        <v>0</v>
      </c>
      <c r="E2779">
        <v>0</v>
      </c>
      <c r="F2779">
        <v>0.6</v>
      </c>
      <c r="G2779">
        <v>0.6</v>
      </c>
      <c r="H2779">
        <v>0</v>
      </c>
      <c r="I2779">
        <v>0</v>
      </c>
      <c r="J2779">
        <v>0</v>
      </c>
      <c r="K2779">
        <v>50</v>
      </c>
      <c r="L2779" t="s">
        <v>113</v>
      </c>
      <c r="M2779" t="s">
        <v>114</v>
      </c>
    </row>
    <row r="2780" spans="2:13" x14ac:dyDescent="0.2">
      <c r="B2780">
        <v>3110</v>
      </c>
      <c r="C2780">
        <v>3</v>
      </c>
      <c r="D2780">
        <v>6</v>
      </c>
      <c r="E2780">
        <v>0.1</v>
      </c>
      <c r="F2780">
        <v>0.6</v>
      </c>
      <c r="G2780">
        <v>0.6</v>
      </c>
      <c r="H2780">
        <v>65</v>
      </c>
      <c r="I2780">
        <v>2</v>
      </c>
      <c r="J2780">
        <v>0</v>
      </c>
      <c r="K2780">
        <v>38</v>
      </c>
      <c r="L2780" t="s">
        <v>115</v>
      </c>
      <c r="M2780" t="s">
        <v>116</v>
      </c>
    </row>
    <row r="2781" spans="2:13" x14ac:dyDescent="0.2">
      <c r="B2781">
        <v>3110</v>
      </c>
      <c r="C2781">
        <v>3</v>
      </c>
      <c r="D2781">
        <v>6.4</v>
      </c>
      <c r="E2781">
        <v>0.11</v>
      </c>
      <c r="F2781">
        <v>0.6</v>
      </c>
      <c r="G2781">
        <v>0.6</v>
      </c>
      <c r="H2781">
        <v>69</v>
      </c>
      <c r="I2781">
        <v>3</v>
      </c>
      <c r="J2781">
        <v>1</v>
      </c>
      <c r="K2781">
        <v>37.5</v>
      </c>
      <c r="L2781" t="s">
        <v>117</v>
      </c>
      <c r="M2781" t="s">
        <v>118</v>
      </c>
    </row>
    <row r="2782" spans="2:13" x14ac:dyDescent="0.2">
      <c r="B2782">
        <v>3110</v>
      </c>
      <c r="C2782">
        <v>3</v>
      </c>
      <c r="D2782">
        <v>12.1</v>
      </c>
      <c r="E2782">
        <v>0.2</v>
      </c>
      <c r="F2782">
        <v>0.6</v>
      </c>
      <c r="G2782">
        <v>0.6</v>
      </c>
      <c r="H2782">
        <v>130</v>
      </c>
      <c r="I2782">
        <v>8</v>
      </c>
      <c r="J2782">
        <v>1</v>
      </c>
      <c r="K2782">
        <v>63.6</v>
      </c>
      <c r="L2782" t="s">
        <v>121</v>
      </c>
      <c r="M2782" t="s">
        <v>116</v>
      </c>
    </row>
    <row r="2783" spans="2:13" x14ac:dyDescent="0.2">
      <c r="B2783">
        <v>3110</v>
      </c>
      <c r="C2783">
        <v>3</v>
      </c>
      <c r="D2783">
        <v>16.3</v>
      </c>
      <c r="E2783">
        <v>0.27</v>
      </c>
      <c r="F2783">
        <v>0.6</v>
      </c>
      <c r="G2783">
        <v>0.6</v>
      </c>
      <c r="H2783">
        <v>175</v>
      </c>
      <c r="I2783">
        <v>11</v>
      </c>
      <c r="J2783">
        <v>2</v>
      </c>
      <c r="K2783">
        <v>64.2</v>
      </c>
      <c r="L2783" t="s">
        <v>127</v>
      </c>
      <c r="M2783" t="s">
        <v>118</v>
      </c>
    </row>
    <row r="2784" spans="2:13" x14ac:dyDescent="0.2">
      <c r="B2784">
        <v>3110</v>
      </c>
      <c r="C2784">
        <v>3</v>
      </c>
      <c r="D2784">
        <v>18.100000000000001</v>
      </c>
      <c r="E2784">
        <v>0.3</v>
      </c>
      <c r="F2784">
        <v>0.6</v>
      </c>
      <c r="G2784">
        <v>0.6</v>
      </c>
      <c r="H2784">
        <v>195</v>
      </c>
      <c r="I2784">
        <v>14</v>
      </c>
      <c r="J2784">
        <v>2</v>
      </c>
      <c r="K2784">
        <v>63.6</v>
      </c>
      <c r="L2784" t="s">
        <v>121</v>
      </c>
      <c r="M2784" t="s">
        <v>116</v>
      </c>
    </row>
    <row r="2785" spans="2:13" x14ac:dyDescent="0.2">
      <c r="B2785">
        <v>3110</v>
      </c>
      <c r="C2785">
        <v>4</v>
      </c>
      <c r="D2785">
        <v>0</v>
      </c>
      <c r="E2785">
        <v>0</v>
      </c>
      <c r="F2785">
        <v>0.6</v>
      </c>
      <c r="G2785">
        <v>0.6</v>
      </c>
      <c r="H2785">
        <v>0</v>
      </c>
      <c r="I2785">
        <v>0</v>
      </c>
      <c r="J2785">
        <v>0</v>
      </c>
      <c r="K2785">
        <v>50</v>
      </c>
      <c r="L2785" t="s">
        <v>113</v>
      </c>
      <c r="M2785" t="s">
        <v>114</v>
      </c>
    </row>
    <row r="2786" spans="2:13" x14ac:dyDescent="0.2">
      <c r="B2786">
        <v>3110</v>
      </c>
      <c r="C2786">
        <v>4</v>
      </c>
      <c r="D2786">
        <v>6</v>
      </c>
      <c r="E2786">
        <v>0.1</v>
      </c>
      <c r="F2786">
        <v>0.6</v>
      </c>
      <c r="G2786">
        <v>0.6</v>
      </c>
      <c r="H2786">
        <v>65</v>
      </c>
      <c r="I2786">
        <v>1</v>
      </c>
      <c r="J2786">
        <v>0</v>
      </c>
      <c r="K2786">
        <v>36</v>
      </c>
      <c r="L2786" t="s">
        <v>115</v>
      </c>
      <c r="M2786" t="s">
        <v>116</v>
      </c>
    </row>
    <row r="2787" spans="2:13" x14ac:dyDescent="0.2">
      <c r="B2787">
        <v>3110</v>
      </c>
      <c r="C2787">
        <v>4</v>
      </c>
      <c r="D2787">
        <v>12.1</v>
      </c>
      <c r="E2787">
        <v>0.2</v>
      </c>
      <c r="F2787">
        <v>0.6</v>
      </c>
      <c r="G2787">
        <v>0.7</v>
      </c>
      <c r="H2787">
        <v>130</v>
      </c>
      <c r="I2787">
        <v>3</v>
      </c>
      <c r="J2787">
        <v>0</v>
      </c>
      <c r="K2787">
        <v>87.1</v>
      </c>
      <c r="L2787" t="s">
        <v>128</v>
      </c>
      <c r="M2787" t="s">
        <v>116</v>
      </c>
    </row>
    <row r="2788" spans="2:13" x14ac:dyDescent="0.2">
      <c r="B2788">
        <v>3110</v>
      </c>
      <c r="C2788">
        <v>4</v>
      </c>
      <c r="D2788">
        <v>12.5</v>
      </c>
      <c r="E2788">
        <v>0.21</v>
      </c>
      <c r="F2788">
        <v>0.7</v>
      </c>
      <c r="G2788">
        <v>0.7</v>
      </c>
      <c r="H2788">
        <v>135</v>
      </c>
      <c r="I2788">
        <v>3</v>
      </c>
      <c r="J2788">
        <v>1</v>
      </c>
      <c r="K2788">
        <v>70.099999999999994</v>
      </c>
      <c r="L2788" t="s">
        <v>122</v>
      </c>
      <c r="M2788" t="s">
        <v>118</v>
      </c>
    </row>
    <row r="2789" spans="2:13" x14ac:dyDescent="0.2">
      <c r="B2789">
        <v>3110</v>
      </c>
      <c r="C2789">
        <v>4</v>
      </c>
      <c r="D2789">
        <v>13.6</v>
      </c>
      <c r="E2789">
        <v>0.23</v>
      </c>
      <c r="F2789">
        <v>0.7</v>
      </c>
      <c r="G2789">
        <v>0.7</v>
      </c>
      <c r="H2789">
        <v>149</v>
      </c>
      <c r="I2789">
        <v>3</v>
      </c>
      <c r="J2789">
        <v>2</v>
      </c>
      <c r="K2789">
        <v>62.3</v>
      </c>
      <c r="L2789" t="s">
        <v>127</v>
      </c>
      <c r="M2789" t="s">
        <v>118</v>
      </c>
    </row>
    <row r="2790" spans="2:13" x14ac:dyDescent="0.2">
      <c r="B2790">
        <v>3110</v>
      </c>
      <c r="C2790">
        <v>4</v>
      </c>
      <c r="D2790">
        <v>16.3</v>
      </c>
      <c r="E2790">
        <v>0.27</v>
      </c>
      <c r="F2790">
        <v>0.7</v>
      </c>
      <c r="G2790">
        <v>0.7</v>
      </c>
      <c r="H2790">
        <v>184</v>
      </c>
      <c r="I2790">
        <v>6</v>
      </c>
      <c r="J2790">
        <v>3</v>
      </c>
      <c r="K2790">
        <v>57.6</v>
      </c>
      <c r="L2790" t="s">
        <v>125</v>
      </c>
      <c r="M2790" t="s">
        <v>118</v>
      </c>
    </row>
    <row r="2791" spans="2:13" x14ac:dyDescent="0.2">
      <c r="B2791">
        <v>3110</v>
      </c>
      <c r="C2791">
        <v>5</v>
      </c>
      <c r="D2791">
        <v>0</v>
      </c>
      <c r="E2791">
        <v>0</v>
      </c>
      <c r="F2791">
        <v>0.6</v>
      </c>
      <c r="G2791">
        <v>0.6</v>
      </c>
      <c r="H2791">
        <v>0</v>
      </c>
      <c r="I2791">
        <v>0</v>
      </c>
      <c r="J2791">
        <v>0</v>
      </c>
      <c r="K2791">
        <v>50</v>
      </c>
      <c r="L2791" t="s">
        <v>113</v>
      </c>
      <c r="M2791" t="s">
        <v>114</v>
      </c>
    </row>
    <row r="2792" spans="2:13" x14ac:dyDescent="0.2">
      <c r="B2792">
        <v>3110</v>
      </c>
      <c r="C2792">
        <v>5</v>
      </c>
      <c r="D2792">
        <v>5.5</v>
      </c>
      <c r="E2792">
        <v>0.09</v>
      </c>
      <c r="F2792">
        <v>0.6</v>
      </c>
      <c r="G2792">
        <v>0.6</v>
      </c>
      <c r="H2792">
        <v>59</v>
      </c>
      <c r="I2792">
        <v>0</v>
      </c>
      <c r="J2792">
        <v>1</v>
      </c>
      <c r="K2792">
        <v>39.5</v>
      </c>
      <c r="L2792" t="s">
        <v>117</v>
      </c>
      <c r="M2792" t="s">
        <v>118</v>
      </c>
    </row>
    <row r="2793" spans="2:13" x14ac:dyDescent="0.2">
      <c r="B2793">
        <v>3110</v>
      </c>
      <c r="C2793">
        <v>5</v>
      </c>
      <c r="D2793">
        <v>6</v>
      </c>
      <c r="E2793">
        <v>0.1</v>
      </c>
      <c r="F2793">
        <v>0.6</v>
      </c>
      <c r="G2793">
        <v>0.6</v>
      </c>
      <c r="H2793">
        <v>65</v>
      </c>
      <c r="I2793">
        <v>0</v>
      </c>
      <c r="J2793">
        <v>1</v>
      </c>
      <c r="K2793">
        <v>38</v>
      </c>
      <c r="L2793" t="s">
        <v>132</v>
      </c>
      <c r="M2793" t="s">
        <v>116</v>
      </c>
    </row>
    <row r="2794" spans="2:13" x14ac:dyDescent="0.2">
      <c r="B2794">
        <v>3110</v>
      </c>
      <c r="C2794">
        <v>5</v>
      </c>
      <c r="D2794">
        <v>12.1</v>
      </c>
      <c r="E2794">
        <v>0.2</v>
      </c>
      <c r="F2794">
        <v>0.6</v>
      </c>
      <c r="G2794">
        <v>0.6</v>
      </c>
      <c r="H2794">
        <v>130</v>
      </c>
      <c r="I2794">
        <v>4</v>
      </c>
      <c r="J2794">
        <v>1</v>
      </c>
      <c r="K2794">
        <v>64</v>
      </c>
      <c r="L2794" t="s">
        <v>115</v>
      </c>
      <c r="M2794" t="s">
        <v>116</v>
      </c>
    </row>
    <row r="2795" spans="2:13" x14ac:dyDescent="0.2">
      <c r="B2795">
        <v>3110</v>
      </c>
      <c r="C2795">
        <v>5</v>
      </c>
      <c r="D2795">
        <v>15.2</v>
      </c>
      <c r="E2795">
        <v>0.25</v>
      </c>
      <c r="F2795">
        <v>0.6</v>
      </c>
      <c r="G2795">
        <v>0.6</v>
      </c>
      <c r="H2795">
        <v>164</v>
      </c>
      <c r="I2795">
        <v>6</v>
      </c>
      <c r="J2795">
        <v>2</v>
      </c>
      <c r="K2795">
        <v>63.5</v>
      </c>
      <c r="L2795" t="s">
        <v>133</v>
      </c>
      <c r="M2795" t="s">
        <v>118</v>
      </c>
    </row>
    <row r="2796" spans="2:13" x14ac:dyDescent="0.2">
      <c r="B2796">
        <v>3110</v>
      </c>
      <c r="C2796">
        <v>5</v>
      </c>
      <c r="D2796">
        <v>18.100000000000001</v>
      </c>
      <c r="E2796">
        <v>0.3</v>
      </c>
      <c r="F2796">
        <v>0.6</v>
      </c>
      <c r="G2796">
        <v>0.6</v>
      </c>
      <c r="H2796">
        <v>195</v>
      </c>
      <c r="I2796">
        <v>7</v>
      </c>
      <c r="J2796">
        <v>2</v>
      </c>
      <c r="K2796">
        <v>64.099999999999994</v>
      </c>
      <c r="L2796" t="s">
        <v>121</v>
      </c>
      <c r="M2796" t="s">
        <v>116</v>
      </c>
    </row>
    <row r="2797" spans="2:13" x14ac:dyDescent="0.2">
      <c r="B2797">
        <v>3111</v>
      </c>
      <c r="C2797">
        <v>1</v>
      </c>
      <c r="D2797">
        <v>0</v>
      </c>
      <c r="E2797">
        <v>0</v>
      </c>
      <c r="F2797">
        <v>0.6</v>
      </c>
      <c r="G2797">
        <v>0.6</v>
      </c>
      <c r="H2797">
        <v>0</v>
      </c>
      <c r="I2797">
        <v>0</v>
      </c>
      <c r="J2797">
        <v>0</v>
      </c>
      <c r="K2797">
        <v>50</v>
      </c>
      <c r="L2797" t="s">
        <v>113</v>
      </c>
      <c r="M2797" t="s">
        <v>114</v>
      </c>
    </row>
    <row r="2798" spans="2:13" x14ac:dyDescent="0.2">
      <c r="B2798">
        <v>3111</v>
      </c>
      <c r="C2798">
        <v>1</v>
      </c>
      <c r="D2798">
        <v>6</v>
      </c>
      <c r="E2798">
        <v>0.1</v>
      </c>
      <c r="F2798">
        <v>0.6</v>
      </c>
      <c r="G2798">
        <v>0.6</v>
      </c>
      <c r="H2798">
        <v>65</v>
      </c>
      <c r="I2798">
        <v>0</v>
      </c>
      <c r="J2798">
        <v>0</v>
      </c>
      <c r="K2798">
        <v>36</v>
      </c>
      <c r="L2798" t="s">
        <v>115</v>
      </c>
      <c r="M2798" t="s">
        <v>116</v>
      </c>
    </row>
    <row r="2799" spans="2:13" x14ac:dyDescent="0.2">
      <c r="B2799">
        <v>3111</v>
      </c>
      <c r="C2799">
        <v>1</v>
      </c>
      <c r="D2799">
        <v>12.1</v>
      </c>
      <c r="E2799">
        <v>0.2</v>
      </c>
      <c r="F2799">
        <v>0.6</v>
      </c>
      <c r="G2799">
        <v>0.6</v>
      </c>
      <c r="H2799">
        <v>130</v>
      </c>
      <c r="I2799">
        <v>2</v>
      </c>
      <c r="J2799">
        <v>0</v>
      </c>
      <c r="K2799">
        <v>34.6</v>
      </c>
      <c r="L2799" t="s">
        <v>115</v>
      </c>
      <c r="M2799" t="s">
        <v>116</v>
      </c>
    </row>
    <row r="2800" spans="2:13" x14ac:dyDescent="0.2">
      <c r="B2800">
        <v>3111</v>
      </c>
      <c r="C2800">
        <v>1</v>
      </c>
      <c r="D2800">
        <v>14.8</v>
      </c>
      <c r="E2800">
        <v>0.25</v>
      </c>
      <c r="F2800">
        <v>0.6</v>
      </c>
      <c r="G2800">
        <v>0.6</v>
      </c>
      <c r="H2800">
        <v>160</v>
      </c>
      <c r="I2800">
        <v>3</v>
      </c>
      <c r="J2800">
        <v>1</v>
      </c>
      <c r="K2800">
        <v>68</v>
      </c>
      <c r="L2800" t="s">
        <v>117</v>
      </c>
      <c r="M2800" t="s">
        <v>118</v>
      </c>
    </row>
    <row r="2801" spans="2:13" x14ac:dyDescent="0.2">
      <c r="B2801">
        <v>3111</v>
      </c>
      <c r="C2801">
        <v>1</v>
      </c>
      <c r="D2801">
        <v>18.100000000000001</v>
      </c>
      <c r="E2801">
        <v>0.3</v>
      </c>
      <c r="F2801">
        <v>0.6</v>
      </c>
      <c r="G2801">
        <v>0.6</v>
      </c>
      <c r="H2801">
        <v>195</v>
      </c>
      <c r="I2801">
        <v>5</v>
      </c>
      <c r="J2801">
        <v>1</v>
      </c>
      <c r="K2801">
        <v>72.3</v>
      </c>
      <c r="L2801" t="s">
        <v>136</v>
      </c>
      <c r="M2801" t="s">
        <v>116</v>
      </c>
    </row>
    <row r="2802" spans="2:13" x14ac:dyDescent="0.2">
      <c r="B2802">
        <v>3111</v>
      </c>
      <c r="C2802">
        <v>6</v>
      </c>
      <c r="D2802">
        <v>0</v>
      </c>
      <c r="E2802">
        <v>0</v>
      </c>
      <c r="F2802">
        <v>0.6</v>
      </c>
      <c r="G2802">
        <v>0.6</v>
      </c>
      <c r="H2802">
        <v>0</v>
      </c>
      <c r="I2802">
        <v>0</v>
      </c>
      <c r="J2802">
        <v>0</v>
      </c>
      <c r="K2802">
        <v>50</v>
      </c>
      <c r="L2802" t="s">
        <v>113</v>
      </c>
      <c r="M2802" t="s">
        <v>114</v>
      </c>
    </row>
    <row r="2803" spans="2:13" x14ac:dyDescent="0.2">
      <c r="B2803">
        <v>3111</v>
      </c>
      <c r="C2803">
        <v>6</v>
      </c>
      <c r="D2803">
        <v>6</v>
      </c>
      <c r="E2803">
        <v>0.1</v>
      </c>
      <c r="F2803">
        <v>0.6</v>
      </c>
      <c r="G2803">
        <v>0.6</v>
      </c>
      <c r="H2803">
        <v>65</v>
      </c>
      <c r="I2803">
        <v>0</v>
      </c>
      <c r="J2803">
        <v>0</v>
      </c>
      <c r="K2803">
        <v>37.200000000000003</v>
      </c>
      <c r="L2803" t="s">
        <v>115</v>
      </c>
      <c r="M2803" t="s">
        <v>116</v>
      </c>
    </row>
    <row r="2804" spans="2:13" x14ac:dyDescent="0.2">
      <c r="B2804">
        <v>3111</v>
      </c>
      <c r="C2804">
        <v>6</v>
      </c>
      <c r="D2804">
        <v>8.1999999999999993</v>
      </c>
      <c r="E2804">
        <v>0.14000000000000001</v>
      </c>
      <c r="F2804">
        <v>0.6</v>
      </c>
      <c r="G2804">
        <v>0.6</v>
      </c>
      <c r="H2804">
        <v>89</v>
      </c>
      <c r="I2804">
        <v>2</v>
      </c>
      <c r="J2804">
        <v>1</v>
      </c>
      <c r="K2804">
        <v>37.200000000000003</v>
      </c>
      <c r="L2804" t="s">
        <v>117</v>
      </c>
      <c r="M2804" t="s">
        <v>118</v>
      </c>
    </row>
    <row r="2805" spans="2:13" x14ac:dyDescent="0.2">
      <c r="B2805">
        <v>3111</v>
      </c>
      <c r="C2805">
        <v>6</v>
      </c>
      <c r="D2805">
        <v>8.5</v>
      </c>
      <c r="E2805">
        <v>0.14000000000000001</v>
      </c>
      <c r="F2805">
        <v>0.6</v>
      </c>
      <c r="G2805">
        <v>0.6</v>
      </c>
      <c r="H2805">
        <v>92</v>
      </c>
      <c r="I2805">
        <v>2</v>
      </c>
      <c r="J2805">
        <v>2</v>
      </c>
      <c r="K2805">
        <v>37.6</v>
      </c>
      <c r="L2805" t="s">
        <v>119</v>
      </c>
      <c r="M2805" t="s">
        <v>118</v>
      </c>
    </row>
    <row r="2806" spans="2:13" x14ac:dyDescent="0.2">
      <c r="B2806">
        <v>3111</v>
      </c>
      <c r="C2806">
        <v>6</v>
      </c>
      <c r="D2806">
        <v>12.1</v>
      </c>
      <c r="E2806">
        <v>0.2</v>
      </c>
      <c r="F2806">
        <v>0.6</v>
      </c>
      <c r="G2806">
        <v>0.45</v>
      </c>
      <c r="H2806">
        <v>130</v>
      </c>
      <c r="I2806">
        <v>3</v>
      </c>
      <c r="J2806">
        <v>2</v>
      </c>
      <c r="K2806">
        <v>37.6</v>
      </c>
      <c r="L2806" t="s">
        <v>126</v>
      </c>
      <c r="M2806" t="s">
        <v>116</v>
      </c>
    </row>
    <row r="2807" spans="2:13" x14ac:dyDescent="0.2">
      <c r="B2807">
        <v>3111</v>
      </c>
      <c r="C2807">
        <v>6</v>
      </c>
      <c r="D2807">
        <v>14.4</v>
      </c>
      <c r="E2807">
        <v>0.24</v>
      </c>
      <c r="F2807">
        <v>0.45</v>
      </c>
      <c r="G2807">
        <v>0.45</v>
      </c>
      <c r="H2807">
        <v>149</v>
      </c>
      <c r="I2807">
        <v>3</v>
      </c>
      <c r="J2807">
        <v>3</v>
      </c>
      <c r="K2807">
        <v>37.5</v>
      </c>
      <c r="L2807" t="s">
        <v>135</v>
      </c>
      <c r="M2807" t="s">
        <v>118</v>
      </c>
    </row>
    <row r="2808" spans="2:13" x14ac:dyDescent="0.2">
      <c r="B2808">
        <v>3111</v>
      </c>
      <c r="C2808">
        <v>6</v>
      </c>
      <c r="D2808">
        <v>18.100000000000001</v>
      </c>
      <c r="E2808">
        <v>0.3</v>
      </c>
      <c r="F2808">
        <v>0.45</v>
      </c>
      <c r="G2808">
        <v>0.45</v>
      </c>
      <c r="H2808">
        <v>179</v>
      </c>
      <c r="I2808">
        <v>5</v>
      </c>
      <c r="J2808">
        <v>3</v>
      </c>
      <c r="K2808">
        <v>37</v>
      </c>
      <c r="L2808" t="s">
        <v>132</v>
      </c>
      <c r="M2808" t="s">
        <v>116</v>
      </c>
    </row>
    <row r="2809" spans="2:13" x14ac:dyDescent="0.2">
      <c r="B2809">
        <v>3112</v>
      </c>
      <c r="C2809">
        <v>1</v>
      </c>
      <c r="D2809">
        <v>0</v>
      </c>
      <c r="E2809">
        <v>0</v>
      </c>
      <c r="F2809">
        <v>0.6</v>
      </c>
      <c r="G2809">
        <v>0.6</v>
      </c>
      <c r="H2809">
        <v>0</v>
      </c>
      <c r="I2809">
        <v>0</v>
      </c>
      <c r="J2809">
        <v>0</v>
      </c>
      <c r="K2809">
        <v>50</v>
      </c>
      <c r="L2809" t="s">
        <v>113</v>
      </c>
      <c r="M2809" t="s">
        <v>114</v>
      </c>
    </row>
    <row r="2810" spans="2:13" x14ac:dyDescent="0.2">
      <c r="B2810">
        <v>3112</v>
      </c>
      <c r="C2810">
        <v>1</v>
      </c>
      <c r="D2810">
        <v>6</v>
      </c>
      <c r="E2810">
        <v>0.1</v>
      </c>
      <c r="F2810">
        <v>0.6</v>
      </c>
      <c r="G2810">
        <v>0.6</v>
      </c>
      <c r="H2810">
        <v>65</v>
      </c>
      <c r="I2810">
        <v>0</v>
      </c>
      <c r="J2810">
        <v>0</v>
      </c>
      <c r="K2810">
        <v>26</v>
      </c>
      <c r="L2810" t="s">
        <v>115</v>
      </c>
      <c r="M2810" t="s">
        <v>116</v>
      </c>
    </row>
    <row r="2811" spans="2:13" x14ac:dyDescent="0.2">
      <c r="B2811">
        <v>3112</v>
      </c>
      <c r="C2811">
        <v>1</v>
      </c>
      <c r="D2811">
        <v>8.3000000000000007</v>
      </c>
      <c r="E2811">
        <v>0.14000000000000001</v>
      </c>
      <c r="F2811">
        <v>0.6</v>
      </c>
      <c r="G2811">
        <v>0.6</v>
      </c>
      <c r="H2811">
        <v>90</v>
      </c>
      <c r="I2811">
        <v>0</v>
      </c>
      <c r="J2811">
        <v>1</v>
      </c>
      <c r="K2811">
        <v>52.1</v>
      </c>
      <c r="L2811" t="s">
        <v>122</v>
      </c>
      <c r="M2811" t="s">
        <v>118</v>
      </c>
    </row>
    <row r="2812" spans="2:13" x14ac:dyDescent="0.2">
      <c r="B2812">
        <v>3112</v>
      </c>
      <c r="C2812">
        <v>1</v>
      </c>
      <c r="D2812">
        <v>12</v>
      </c>
      <c r="E2812">
        <v>0.2</v>
      </c>
      <c r="F2812">
        <v>0.6</v>
      </c>
      <c r="G2812">
        <v>0.6</v>
      </c>
      <c r="H2812">
        <v>129</v>
      </c>
      <c r="I2812">
        <v>3</v>
      </c>
      <c r="J2812">
        <v>2</v>
      </c>
      <c r="K2812">
        <v>58.2</v>
      </c>
      <c r="L2812" t="s">
        <v>127</v>
      </c>
      <c r="M2812" t="s">
        <v>118</v>
      </c>
    </row>
    <row r="2813" spans="2:13" x14ac:dyDescent="0.2">
      <c r="B2813">
        <v>3112</v>
      </c>
      <c r="C2813">
        <v>1</v>
      </c>
      <c r="D2813">
        <v>12.1</v>
      </c>
      <c r="E2813">
        <v>0.2</v>
      </c>
      <c r="F2813">
        <v>0.6</v>
      </c>
      <c r="G2813">
        <v>0.6</v>
      </c>
      <c r="H2813">
        <v>130</v>
      </c>
      <c r="I2813">
        <v>3</v>
      </c>
      <c r="J2813">
        <v>3</v>
      </c>
      <c r="K2813">
        <v>53.2</v>
      </c>
      <c r="L2813" t="s">
        <v>125</v>
      </c>
      <c r="M2813" t="s">
        <v>118</v>
      </c>
    </row>
    <row r="2814" spans="2:13" x14ac:dyDescent="0.2">
      <c r="B2814">
        <v>3112</v>
      </c>
      <c r="C2814">
        <v>1</v>
      </c>
      <c r="D2814">
        <v>12.1</v>
      </c>
      <c r="E2814">
        <v>0.2</v>
      </c>
      <c r="F2814">
        <v>0.6</v>
      </c>
      <c r="G2814">
        <v>0.6</v>
      </c>
      <c r="H2814">
        <v>130</v>
      </c>
      <c r="I2814">
        <v>3</v>
      </c>
      <c r="J2814">
        <v>3</v>
      </c>
      <c r="K2814">
        <v>53.2</v>
      </c>
      <c r="L2814" t="s">
        <v>121</v>
      </c>
      <c r="M2814" t="s">
        <v>116</v>
      </c>
    </row>
    <row r="2815" spans="2:13" x14ac:dyDescent="0.2">
      <c r="B2815">
        <v>3112</v>
      </c>
      <c r="C2815">
        <v>1</v>
      </c>
      <c r="D2815">
        <v>18.100000000000001</v>
      </c>
      <c r="E2815">
        <v>0.3</v>
      </c>
      <c r="F2815">
        <v>0.6</v>
      </c>
      <c r="G2815">
        <v>0.6</v>
      </c>
      <c r="H2815">
        <v>195</v>
      </c>
      <c r="I2815">
        <v>6</v>
      </c>
      <c r="J2815">
        <v>3</v>
      </c>
      <c r="K2815">
        <v>57.4</v>
      </c>
      <c r="L2815" t="s">
        <v>115</v>
      </c>
      <c r="M2815" t="s">
        <v>116</v>
      </c>
    </row>
    <row r="2816" spans="2:13" x14ac:dyDescent="0.2">
      <c r="B2816">
        <v>3112</v>
      </c>
      <c r="C2816">
        <v>2</v>
      </c>
      <c r="D2816">
        <v>0</v>
      </c>
      <c r="E2816">
        <v>0</v>
      </c>
      <c r="F2816">
        <v>0.6</v>
      </c>
      <c r="G2816">
        <v>0.6</v>
      </c>
      <c r="H2816">
        <v>0</v>
      </c>
      <c r="I2816">
        <v>0</v>
      </c>
      <c r="J2816">
        <v>0</v>
      </c>
      <c r="K2816">
        <v>50</v>
      </c>
      <c r="L2816" t="s">
        <v>113</v>
      </c>
      <c r="M2816" t="s">
        <v>114</v>
      </c>
    </row>
    <row r="2817" spans="2:13" x14ac:dyDescent="0.2">
      <c r="B2817">
        <v>3112</v>
      </c>
      <c r="C2817">
        <v>2</v>
      </c>
      <c r="D2817">
        <v>6</v>
      </c>
      <c r="E2817">
        <v>0.1</v>
      </c>
      <c r="F2817">
        <v>0.6</v>
      </c>
      <c r="G2817">
        <v>0.6</v>
      </c>
      <c r="H2817">
        <v>65</v>
      </c>
      <c r="I2817">
        <v>2</v>
      </c>
      <c r="J2817">
        <v>0</v>
      </c>
      <c r="K2817">
        <v>34.700000000000003</v>
      </c>
      <c r="L2817" t="s">
        <v>115</v>
      </c>
      <c r="M2817" t="s">
        <v>116</v>
      </c>
    </row>
    <row r="2818" spans="2:13" x14ac:dyDescent="0.2">
      <c r="B2818">
        <v>3112</v>
      </c>
      <c r="C2818">
        <v>2</v>
      </c>
      <c r="D2818">
        <v>8.9</v>
      </c>
      <c r="E2818">
        <v>0.15</v>
      </c>
      <c r="F2818">
        <v>0.6</v>
      </c>
      <c r="G2818">
        <v>0.6</v>
      </c>
      <c r="H2818">
        <v>96</v>
      </c>
      <c r="I2818">
        <v>2</v>
      </c>
      <c r="J2818">
        <v>1</v>
      </c>
      <c r="K2818">
        <v>57.6</v>
      </c>
      <c r="L2818" t="s">
        <v>122</v>
      </c>
      <c r="M2818" t="s">
        <v>118</v>
      </c>
    </row>
    <row r="2819" spans="2:13" x14ac:dyDescent="0.2">
      <c r="B2819">
        <v>3112</v>
      </c>
      <c r="C2819">
        <v>2</v>
      </c>
      <c r="D2819">
        <v>12.1</v>
      </c>
      <c r="E2819">
        <v>0.2</v>
      </c>
      <c r="F2819">
        <v>0.6</v>
      </c>
      <c r="G2819">
        <v>0.6</v>
      </c>
      <c r="H2819">
        <v>130</v>
      </c>
      <c r="I2819">
        <v>2</v>
      </c>
      <c r="J2819">
        <v>1</v>
      </c>
      <c r="K2819">
        <v>57.6</v>
      </c>
      <c r="L2819" t="s">
        <v>121</v>
      </c>
      <c r="M2819" t="s">
        <v>116</v>
      </c>
    </row>
    <row r="2820" spans="2:13" x14ac:dyDescent="0.2">
      <c r="B2820">
        <v>3112</v>
      </c>
      <c r="C2820">
        <v>2</v>
      </c>
      <c r="D2820">
        <v>12.4</v>
      </c>
      <c r="E2820">
        <v>0.21</v>
      </c>
      <c r="F2820">
        <v>0.6</v>
      </c>
      <c r="G2820">
        <v>0.6</v>
      </c>
      <c r="H2820">
        <v>134</v>
      </c>
      <c r="I2820">
        <v>2</v>
      </c>
      <c r="J2820">
        <v>2</v>
      </c>
      <c r="K2820">
        <v>49.3</v>
      </c>
      <c r="L2820" t="s">
        <v>119</v>
      </c>
      <c r="M2820" t="s">
        <v>118</v>
      </c>
    </row>
    <row r="2821" spans="2:13" x14ac:dyDescent="0.2">
      <c r="B2821">
        <v>3112</v>
      </c>
      <c r="C2821">
        <v>2</v>
      </c>
      <c r="D2821">
        <v>12.7</v>
      </c>
      <c r="E2821">
        <v>0.21</v>
      </c>
      <c r="F2821">
        <v>0.6</v>
      </c>
      <c r="G2821">
        <v>0.6</v>
      </c>
      <c r="H2821">
        <v>137</v>
      </c>
      <c r="I2821">
        <v>2</v>
      </c>
      <c r="J2821">
        <v>3</v>
      </c>
      <c r="K2821">
        <v>45.1</v>
      </c>
      <c r="L2821" t="s">
        <v>135</v>
      </c>
      <c r="M2821" t="s">
        <v>118</v>
      </c>
    </row>
    <row r="2822" spans="2:13" x14ac:dyDescent="0.2">
      <c r="B2822">
        <v>3112</v>
      </c>
      <c r="C2822">
        <v>2</v>
      </c>
      <c r="D2822">
        <v>15.7</v>
      </c>
      <c r="E2822">
        <v>0.26</v>
      </c>
      <c r="F2822">
        <v>0.6</v>
      </c>
      <c r="G2822">
        <v>0.6</v>
      </c>
      <c r="H2822">
        <v>169</v>
      </c>
      <c r="I2822">
        <v>2</v>
      </c>
      <c r="J2822">
        <v>4</v>
      </c>
      <c r="K2822">
        <v>43.1</v>
      </c>
      <c r="L2822" t="s">
        <v>130</v>
      </c>
      <c r="M2822" t="s">
        <v>118</v>
      </c>
    </row>
    <row r="2823" spans="2:13" x14ac:dyDescent="0.2">
      <c r="B2823">
        <v>3112</v>
      </c>
      <c r="C2823">
        <v>2</v>
      </c>
      <c r="D2823">
        <v>18.100000000000001</v>
      </c>
      <c r="E2823">
        <v>0.3</v>
      </c>
      <c r="F2823">
        <v>0.6</v>
      </c>
      <c r="G2823">
        <v>0.45</v>
      </c>
      <c r="H2823">
        <v>195</v>
      </c>
      <c r="I2823">
        <v>3</v>
      </c>
      <c r="J2823">
        <v>4</v>
      </c>
      <c r="K2823">
        <v>42</v>
      </c>
      <c r="L2823" t="s">
        <v>126</v>
      </c>
      <c r="M2823" t="s">
        <v>116</v>
      </c>
    </row>
    <row r="2824" spans="2:13" x14ac:dyDescent="0.2">
      <c r="B2824">
        <v>3113</v>
      </c>
      <c r="C2824">
        <v>1</v>
      </c>
      <c r="D2824">
        <v>0</v>
      </c>
      <c r="E2824">
        <v>0</v>
      </c>
      <c r="F2824">
        <v>0.6</v>
      </c>
      <c r="G2824">
        <v>0.6</v>
      </c>
      <c r="H2824">
        <v>0</v>
      </c>
      <c r="I2824">
        <v>0</v>
      </c>
      <c r="J2824">
        <v>0</v>
      </c>
      <c r="K2824">
        <v>50</v>
      </c>
      <c r="L2824" t="s">
        <v>113</v>
      </c>
      <c r="M2824" t="s">
        <v>114</v>
      </c>
    </row>
    <row r="2825" spans="2:13" x14ac:dyDescent="0.2">
      <c r="B2825">
        <v>3113</v>
      </c>
      <c r="C2825">
        <v>1</v>
      </c>
      <c r="D2825">
        <v>6</v>
      </c>
      <c r="E2825">
        <v>0.1</v>
      </c>
      <c r="F2825">
        <v>0.6</v>
      </c>
      <c r="G2825">
        <v>0.6</v>
      </c>
      <c r="H2825">
        <v>65</v>
      </c>
      <c r="I2825">
        <v>0</v>
      </c>
      <c r="J2825">
        <v>0</v>
      </c>
      <c r="K2825">
        <v>37.6</v>
      </c>
      <c r="L2825" t="s">
        <v>115</v>
      </c>
      <c r="M2825" t="s">
        <v>116</v>
      </c>
    </row>
    <row r="2826" spans="2:13" x14ac:dyDescent="0.2">
      <c r="B2826">
        <v>3113</v>
      </c>
      <c r="C2826">
        <v>1</v>
      </c>
      <c r="D2826">
        <v>7.1</v>
      </c>
      <c r="E2826">
        <v>0.12</v>
      </c>
      <c r="F2826">
        <v>0.6</v>
      </c>
      <c r="G2826">
        <v>0.6</v>
      </c>
      <c r="H2826">
        <v>77</v>
      </c>
      <c r="I2826">
        <v>1</v>
      </c>
      <c r="J2826">
        <v>1</v>
      </c>
      <c r="K2826">
        <v>37.700000000000003</v>
      </c>
      <c r="L2826" t="s">
        <v>142</v>
      </c>
      <c r="M2826" t="s">
        <v>118</v>
      </c>
    </row>
    <row r="2827" spans="2:13" x14ac:dyDescent="0.2">
      <c r="B2827">
        <v>3113</v>
      </c>
      <c r="C2827">
        <v>1</v>
      </c>
      <c r="D2827">
        <v>9.6999999999999993</v>
      </c>
      <c r="E2827">
        <v>0.16</v>
      </c>
      <c r="F2827">
        <v>0.6</v>
      </c>
      <c r="G2827">
        <v>0.6</v>
      </c>
      <c r="H2827">
        <v>104</v>
      </c>
      <c r="I2827">
        <v>1</v>
      </c>
      <c r="J2827">
        <v>2</v>
      </c>
      <c r="K2827">
        <v>56</v>
      </c>
      <c r="L2827" t="s">
        <v>127</v>
      </c>
      <c r="M2827" t="s">
        <v>118</v>
      </c>
    </row>
    <row r="2828" spans="2:13" x14ac:dyDescent="0.2">
      <c r="B2828">
        <v>3113</v>
      </c>
      <c r="C2828">
        <v>1</v>
      </c>
      <c r="D2828">
        <v>9.8000000000000007</v>
      </c>
      <c r="E2828">
        <v>0.16</v>
      </c>
      <c r="F2828">
        <v>0.6</v>
      </c>
      <c r="G2828">
        <v>0.6</v>
      </c>
      <c r="H2828">
        <v>105</v>
      </c>
      <c r="I2828">
        <v>1</v>
      </c>
      <c r="J2828">
        <v>3</v>
      </c>
      <c r="K2828">
        <v>52</v>
      </c>
      <c r="L2828" t="s">
        <v>125</v>
      </c>
      <c r="M2828" t="s">
        <v>118</v>
      </c>
    </row>
    <row r="2829" spans="2:13" x14ac:dyDescent="0.2">
      <c r="B2829">
        <v>3113</v>
      </c>
      <c r="C2829">
        <v>1</v>
      </c>
      <c r="D2829">
        <v>11.1</v>
      </c>
      <c r="E2829">
        <v>0.18</v>
      </c>
      <c r="F2829">
        <v>0.6</v>
      </c>
      <c r="G2829">
        <v>0.6</v>
      </c>
      <c r="H2829">
        <v>119</v>
      </c>
      <c r="I2829">
        <v>1</v>
      </c>
      <c r="J2829">
        <v>4</v>
      </c>
      <c r="K2829">
        <v>48.9</v>
      </c>
      <c r="L2829" t="s">
        <v>140</v>
      </c>
      <c r="M2829" t="s">
        <v>118</v>
      </c>
    </row>
    <row r="2830" spans="2:13" x14ac:dyDescent="0.2">
      <c r="B2830">
        <v>3113</v>
      </c>
      <c r="C2830">
        <v>1</v>
      </c>
      <c r="D2830">
        <v>12.1</v>
      </c>
      <c r="E2830">
        <v>0.2</v>
      </c>
      <c r="F2830">
        <v>0.6</v>
      </c>
      <c r="G2830">
        <v>0.45</v>
      </c>
      <c r="H2830">
        <v>130</v>
      </c>
      <c r="I2830">
        <v>1</v>
      </c>
      <c r="J2830">
        <v>4</v>
      </c>
      <c r="K2830">
        <v>49.2</v>
      </c>
      <c r="L2830" t="s">
        <v>158</v>
      </c>
      <c r="M2830" t="s">
        <v>116</v>
      </c>
    </row>
    <row r="2831" spans="2:13" x14ac:dyDescent="0.2">
      <c r="B2831">
        <v>3113</v>
      </c>
      <c r="C2831">
        <v>1</v>
      </c>
      <c r="D2831">
        <v>18.100000000000001</v>
      </c>
      <c r="E2831">
        <v>0.3</v>
      </c>
      <c r="F2831">
        <v>0.45</v>
      </c>
      <c r="G2831">
        <v>0.45</v>
      </c>
      <c r="H2831">
        <v>179</v>
      </c>
      <c r="I2831">
        <v>4</v>
      </c>
      <c r="J2831">
        <v>4</v>
      </c>
      <c r="K2831">
        <v>55.9</v>
      </c>
      <c r="L2831" t="s">
        <v>115</v>
      </c>
      <c r="M2831" t="s">
        <v>116</v>
      </c>
    </row>
    <row r="2832" spans="2:13" x14ac:dyDescent="0.2">
      <c r="B2832">
        <v>3113</v>
      </c>
      <c r="C2832">
        <v>2</v>
      </c>
      <c r="D2832">
        <v>0</v>
      </c>
      <c r="E2832">
        <v>0</v>
      </c>
      <c r="F2832">
        <v>0.6</v>
      </c>
      <c r="G2832">
        <v>0.6</v>
      </c>
      <c r="H2832">
        <v>0</v>
      </c>
      <c r="I2832">
        <v>0</v>
      </c>
      <c r="J2832">
        <v>0</v>
      </c>
      <c r="K2832">
        <v>50</v>
      </c>
      <c r="L2832" t="s">
        <v>113</v>
      </c>
      <c r="M2832" t="s">
        <v>114</v>
      </c>
    </row>
    <row r="2833" spans="2:13" x14ac:dyDescent="0.2">
      <c r="B2833">
        <v>3113</v>
      </c>
      <c r="C2833">
        <v>2</v>
      </c>
      <c r="D2833">
        <v>6</v>
      </c>
      <c r="E2833">
        <v>0.1</v>
      </c>
      <c r="F2833">
        <v>0.6</v>
      </c>
      <c r="G2833">
        <v>0.6</v>
      </c>
      <c r="H2833">
        <v>65</v>
      </c>
      <c r="I2833">
        <v>0</v>
      </c>
      <c r="J2833">
        <v>0</v>
      </c>
      <c r="K2833">
        <v>41.3</v>
      </c>
      <c r="L2833" t="s">
        <v>115</v>
      </c>
      <c r="M2833" t="s">
        <v>116</v>
      </c>
    </row>
    <row r="2834" spans="2:13" x14ac:dyDescent="0.2">
      <c r="B2834">
        <v>3113</v>
      </c>
      <c r="C2834">
        <v>2</v>
      </c>
      <c r="D2834">
        <v>6.7</v>
      </c>
      <c r="E2834">
        <v>0.11</v>
      </c>
      <c r="F2834">
        <v>0.6</v>
      </c>
      <c r="G2834">
        <v>0.6</v>
      </c>
      <c r="H2834">
        <v>72</v>
      </c>
      <c r="I2834">
        <v>0</v>
      </c>
      <c r="J2834">
        <v>1</v>
      </c>
      <c r="K2834">
        <v>66.400000000000006</v>
      </c>
      <c r="L2834" t="s">
        <v>117</v>
      </c>
      <c r="M2834" t="s">
        <v>118</v>
      </c>
    </row>
    <row r="2835" spans="2:13" x14ac:dyDescent="0.2">
      <c r="B2835">
        <v>3113</v>
      </c>
      <c r="C2835">
        <v>2</v>
      </c>
      <c r="D2835">
        <v>12.1</v>
      </c>
      <c r="E2835">
        <v>0.2</v>
      </c>
      <c r="F2835">
        <v>0.6</v>
      </c>
      <c r="G2835">
        <v>0.6</v>
      </c>
      <c r="H2835">
        <v>130</v>
      </c>
      <c r="I2835">
        <v>4</v>
      </c>
      <c r="J2835">
        <v>1</v>
      </c>
      <c r="K2835">
        <v>73.400000000000006</v>
      </c>
      <c r="L2835" t="s">
        <v>124</v>
      </c>
      <c r="M2835" t="s">
        <v>116</v>
      </c>
    </row>
    <row r="2836" spans="2:13" x14ac:dyDescent="0.2">
      <c r="B2836">
        <v>3113</v>
      </c>
      <c r="C2836">
        <v>2</v>
      </c>
      <c r="D2836">
        <v>13.8</v>
      </c>
      <c r="E2836">
        <v>0.23</v>
      </c>
      <c r="F2836">
        <v>0.6</v>
      </c>
      <c r="G2836">
        <v>0.6</v>
      </c>
      <c r="H2836">
        <v>149</v>
      </c>
      <c r="I2836">
        <v>4</v>
      </c>
      <c r="J2836">
        <v>2</v>
      </c>
      <c r="K2836">
        <v>64.7</v>
      </c>
      <c r="L2836" t="s">
        <v>119</v>
      </c>
      <c r="M2836" t="s">
        <v>118</v>
      </c>
    </row>
    <row r="2837" spans="2:13" x14ac:dyDescent="0.2">
      <c r="B2837">
        <v>3113</v>
      </c>
      <c r="C2837">
        <v>2</v>
      </c>
      <c r="D2837">
        <v>18.100000000000001</v>
      </c>
      <c r="E2837">
        <v>0.3</v>
      </c>
      <c r="F2837">
        <v>0.6</v>
      </c>
      <c r="G2837">
        <v>0.6</v>
      </c>
      <c r="H2837">
        <v>195</v>
      </c>
      <c r="I2837">
        <v>4</v>
      </c>
      <c r="J2837">
        <v>2</v>
      </c>
      <c r="K2837">
        <v>69.5</v>
      </c>
      <c r="L2837" t="s">
        <v>121</v>
      </c>
      <c r="M2837" t="s">
        <v>116</v>
      </c>
    </row>
    <row r="2838" spans="2:13" x14ac:dyDescent="0.2">
      <c r="B2838">
        <v>3113</v>
      </c>
      <c r="C2838">
        <v>3</v>
      </c>
      <c r="D2838">
        <v>0</v>
      </c>
      <c r="E2838">
        <v>0</v>
      </c>
      <c r="F2838">
        <v>0.6</v>
      </c>
      <c r="G2838">
        <v>0.6</v>
      </c>
      <c r="H2838">
        <v>0</v>
      </c>
      <c r="I2838">
        <v>0</v>
      </c>
      <c r="J2838">
        <v>0</v>
      </c>
      <c r="K2838">
        <v>50</v>
      </c>
      <c r="L2838" t="s">
        <v>113</v>
      </c>
      <c r="M2838" t="s">
        <v>114</v>
      </c>
    </row>
    <row r="2839" spans="2:13" x14ac:dyDescent="0.2">
      <c r="B2839">
        <v>3113</v>
      </c>
      <c r="C2839">
        <v>3</v>
      </c>
      <c r="D2839">
        <v>6</v>
      </c>
      <c r="E2839">
        <v>0.1</v>
      </c>
      <c r="F2839">
        <v>0.6</v>
      </c>
      <c r="G2839">
        <v>0.6</v>
      </c>
      <c r="H2839">
        <v>65</v>
      </c>
      <c r="I2839">
        <v>1</v>
      </c>
      <c r="J2839">
        <v>0</v>
      </c>
      <c r="K2839">
        <v>41.7</v>
      </c>
      <c r="L2839" t="s">
        <v>115</v>
      </c>
      <c r="M2839" t="s">
        <v>116</v>
      </c>
    </row>
    <row r="2840" spans="2:13" x14ac:dyDescent="0.2">
      <c r="B2840">
        <v>3113</v>
      </c>
      <c r="C2840">
        <v>3</v>
      </c>
      <c r="D2840">
        <v>7.8</v>
      </c>
      <c r="E2840">
        <v>0.13</v>
      </c>
      <c r="F2840">
        <v>0.6</v>
      </c>
      <c r="G2840">
        <v>0.6</v>
      </c>
      <c r="H2840">
        <v>84</v>
      </c>
      <c r="I2840">
        <v>3</v>
      </c>
      <c r="J2840">
        <v>1</v>
      </c>
      <c r="K2840">
        <v>42</v>
      </c>
      <c r="L2840" t="s">
        <v>122</v>
      </c>
      <c r="M2840" t="s">
        <v>118</v>
      </c>
    </row>
    <row r="2841" spans="2:13" x14ac:dyDescent="0.2">
      <c r="B2841">
        <v>3113</v>
      </c>
      <c r="C2841">
        <v>3</v>
      </c>
      <c r="D2841">
        <v>12.1</v>
      </c>
      <c r="E2841">
        <v>0.2</v>
      </c>
      <c r="F2841">
        <v>0.6</v>
      </c>
      <c r="G2841">
        <v>0.6</v>
      </c>
      <c r="H2841">
        <v>130</v>
      </c>
      <c r="I2841">
        <v>5</v>
      </c>
      <c r="J2841">
        <v>1</v>
      </c>
      <c r="K2841">
        <v>67.099999999999994</v>
      </c>
      <c r="L2841" t="s">
        <v>121</v>
      </c>
      <c r="M2841" t="s">
        <v>116</v>
      </c>
    </row>
    <row r="2842" spans="2:13" x14ac:dyDescent="0.2">
      <c r="B2842">
        <v>3113</v>
      </c>
      <c r="C2842">
        <v>3</v>
      </c>
      <c r="D2842">
        <v>12.1</v>
      </c>
      <c r="E2842">
        <v>0.2</v>
      </c>
      <c r="F2842">
        <v>0.6</v>
      </c>
      <c r="G2842">
        <v>0.6</v>
      </c>
      <c r="H2842">
        <v>131</v>
      </c>
      <c r="I2842">
        <v>5</v>
      </c>
      <c r="J2842">
        <v>2</v>
      </c>
      <c r="K2842">
        <v>58.8</v>
      </c>
      <c r="L2842" t="s">
        <v>123</v>
      </c>
      <c r="M2842" t="s">
        <v>118</v>
      </c>
    </row>
    <row r="2843" spans="2:13" x14ac:dyDescent="0.2">
      <c r="B2843">
        <v>3113</v>
      </c>
      <c r="C2843">
        <v>3</v>
      </c>
      <c r="D2843">
        <v>18.100000000000001</v>
      </c>
      <c r="E2843">
        <v>0.3</v>
      </c>
      <c r="F2843">
        <v>0.6</v>
      </c>
      <c r="G2843">
        <v>0.6</v>
      </c>
      <c r="H2843">
        <v>195</v>
      </c>
      <c r="I2843">
        <v>6</v>
      </c>
      <c r="J2843">
        <v>2</v>
      </c>
      <c r="K2843">
        <v>65.3</v>
      </c>
      <c r="L2843" t="s">
        <v>121</v>
      </c>
      <c r="M2843" t="s">
        <v>116</v>
      </c>
    </row>
    <row r="2844" spans="2:13" x14ac:dyDescent="0.2">
      <c r="B2844">
        <v>3113</v>
      </c>
      <c r="C2844">
        <v>4</v>
      </c>
      <c r="D2844">
        <v>0</v>
      </c>
      <c r="E2844">
        <v>0</v>
      </c>
      <c r="F2844">
        <v>0.6</v>
      </c>
      <c r="G2844">
        <v>0.6</v>
      </c>
      <c r="H2844">
        <v>0</v>
      </c>
      <c r="I2844">
        <v>0</v>
      </c>
      <c r="J2844">
        <v>0</v>
      </c>
      <c r="K2844">
        <v>50</v>
      </c>
      <c r="L2844" t="s">
        <v>113</v>
      </c>
      <c r="M2844" t="s">
        <v>114</v>
      </c>
    </row>
    <row r="2845" spans="2:13" x14ac:dyDescent="0.2">
      <c r="B2845">
        <v>3113</v>
      </c>
      <c r="C2845">
        <v>4</v>
      </c>
      <c r="D2845">
        <v>6</v>
      </c>
      <c r="E2845">
        <v>0.1</v>
      </c>
      <c r="F2845">
        <v>0.6</v>
      </c>
      <c r="G2845">
        <v>0.6</v>
      </c>
      <c r="H2845">
        <v>65</v>
      </c>
      <c r="I2845">
        <v>0</v>
      </c>
      <c r="J2845">
        <v>0</v>
      </c>
      <c r="K2845">
        <v>36.4</v>
      </c>
      <c r="L2845" t="s">
        <v>115</v>
      </c>
      <c r="M2845" t="s">
        <v>116</v>
      </c>
    </row>
    <row r="2846" spans="2:13" x14ac:dyDescent="0.2">
      <c r="B2846">
        <v>3113</v>
      </c>
      <c r="C2846">
        <v>4</v>
      </c>
      <c r="D2846">
        <v>6.4</v>
      </c>
      <c r="E2846">
        <v>0.11</v>
      </c>
      <c r="F2846">
        <v>0.6</v>
      </c>
      <c r="G2846">
        <v>0.6</v>
      </c>
      <c r="H2846">
        <v>70</v>
      </c>
      <c r="I2846">
        <v>0</v>
      </c>
      <c r="J2846">
        <v>1</v>
      </c>
      <c r="K2846">
        <v>36</v>
      </c>
      <c r="L2846" t="s">
        <v>122</v>
      </c>
      <c r="M2846" t="s">
        <v>118</v>
      </c>
    </row>
    <row r="2847" spans="2:13" x14ac:dyDescent="0.2">
      <c r="B2847">
        <v>3113</v>
      </c>
      <c r="C2847">
        <v>4</v>
      </c>
      <c r="D2847">
        <v>12.1</v>
      </c>
      <c r="E2847">
        <v>0.2</v>
      </c>
      <c r="F2847">
        <v>0.6</v>
      </c>
      <c r="G2847">
        <v>0.6</v>
      </c>
      <c r="H2847">
        <v>130</v>
      </c>
      <c r="I2847">
        <v>5</v>
      </c>
      <c r="J2847">
        <v>1</v>
      </c>
      <c r="K2847">
        <v>37.6</v>
      </c>
      <c r="L2847" t="s">
        <v>132</v>
      </c>
      <c r="M2847" t="s">
        <v>116</v>
      </c>
    </row>
    <row r="2848" spans="2:13" x14ac:dyDescent="0.2">
      <c r="B2848">
        <v>3113</v>
      </c>
      <c r="C2848">
        <v>4</v>
      </c>
      <c r="D2848">
        <v>18.100000000000001</v>
      </c>
      <c r="E2848">
        <v>0.3</v>
      </c>
      <c r="F2848">
        <v>0.6</v>
      </c>
      <c r="G2848">
        <v>0.6</v>
      </c>
      <c r="H2848">
        <v>195</v>
      </c>
      <c r="I2848">
        <v>9</v>
      </c>
      <c r="J2848">
        <v>1</v>
      </c>
      <c r="K2848">
        <v>64.2</v>
      </c>
      <c r="L2848" t="s">
        <v>115</v>
      </c>
      <c r="M2848" t="s">
        <v>116</v>
      </c>
    </row>
    <row r="2849" spans="2:13" x14ac:dyDescent="0.2">
      <c r="B2849">
        <v>3113</v>
      </c>
      <c r="C2849">
        <v>5</v>
      </c>
      <c r="D2849">
        <v>0</v>
      </c>
      <c r="E2849">
        <v>0</v>
      </c>
      <c r="F2849">
        <v>0.6</v>
      </c>
      <c r="G2849">
        <v>0.6</v>
      </c>
      <c r="H2849">
        <v>0</v>
      </c>
      <c r="I2849">
        <v>0</v>
      </c>
      <c r="J2849">
        <v>0</v>
      </c>
      <c r="K2849">
        <v>50</v>
      </c>
      <c r="L2849" t="s">
        <v>113</v>
      </c>
      <c r="M2849" t="s">
        <v>114</v>
      </c>
    </row>
    <row r="2850" spans="2:13" x14ac:dyDescent="0.2">
      <c r="B2850">
        <v>3113</v>
      </c>
      <c r="C2850">
        <v>5</v>
      </c>
      <c r="D2850">
        <v>6</v>
      </c>
      <c r="E2850">
        <v>0.1</v>
      </c>
      <c r="F2850">
        <v>0.6</v>
      </c>
      <c r="G2850">
        <v>0.6</v>
      </c>
      <c r="H2850">
        <v>65</v>
      </c>
      <c r="I2850">
        <v>0</v>
      </c>
      <c r="J2850">
        <v>0</v>
      </c>
      <c r="K2850">
        <v>41.3</v>
      </c>
      <c r="L2850" t="s">
        <v>115</v>
      </c>
      <c r="M2850" t="s">
        <v>116</v>
      </c>
    </row>
    <row r="2851" spans="2:13" x14ac:dyDescent="0.2">
      <c r="B2851">
        <v>3113</v>
      </c>
      <c r="C2851">
        <v>5</v>
      </c>
      <c r="D2851">
        <v>12.1</v>
      </c>
      <c r="E2851">
        <v>0.2</v>
      </c>
      <c r="F2851">
        <v>0.6</v>
      </c>
      <c r="G2851">
        <v>0.6</v>
      </c>
      <c r="H2851">
        <v>130</v>
      </c>
      <c r="I2851">
        <v>2</v>
      </c>
      <c r="J2851">
        <v>0</v>
      </c>
      <c r="K2851">
        <v>41.7</v>
      </c>
      <c r="L2851" t="s">
        <v>115</v>
      </c>
      <c r="M2851" t="s">
        <v>116</v>
      </c>
    </row>
    <row r="2852" spans="2:13" x14ac:dyDescent="0.2">
      <c r="B2852">
        <v>3113</v>
      </c>
      <c r="C2852">
        <v>5</v>
      </c>
      <c r="D2852">
        <v>16.399999999999999</v>
      </c>
      <c r="E2852">
        <v>0.27</v>
      </c>
      <c r="F2852">
        <v>0.6</v>
      </c>
      <c r="G2852">
        <v>0.6</v>
      </c>
      <c r="H2852">
        <v>177</v>
      </c>
      <c r="I2852">
        <v>4</v>
      </c>
      <c r="J2852">
        <v>1</v>
      </c>
      <c r="K2852">
        <v>66.5</v>
      </c>
      <c r="L2852" t="s">
        <v>122</v>
      </c>
      <c r="M2852" t="s">
        <v>118</v>
      </c>
    </row>
    <row r="2853" spans="2:13" x14ac:dyDescent="0.2">
      <c r="B2853">
        <v>3113</v>
      </c>
      <c r="C2853">
        <v>5</v>
      </c>
      <c r="D2853">
        <v>18.100000000000001</v>
      </c>
      <c r="E2853">
        <v>0.3</v>
      </c>
      <c r="F2853">
        <v>0.6</v>
      </c>
      <c r="G2853">
        <v>0.6</v>
      </c>
      <c r="H2853">
        <v>195</v>
      </c>
      <c r="I2853">
        <v>6</v>
      </c>
      <c r="J2853">
        <v>1</v>
      </c>
      <c r="K2853">
        <v>74.2</v>
      </c>
      <c r="L2853" t="s">
        <v>124</v>
      </c>
      <c r="M2853" t="s">
        <v>116</v>
      </c>
    </row>
    <row r="2854" spans="2:13" x14ac:dyDescent="0.2">
      <c r="B2854">
        <v>3114</v>
      </c>
      <c r="C2854">
        <v>1</v>
      </c>
      <c r="D2854">
        <v>0</v>
      </c>
      <c r="E2854">
        <v>0</v>
      </c>
      <c r="F2854">
        <v>0.6</v>
      </c>
      <c r="G2854">
        <v>0.6</v>
      </c>
      <c r="H2854">
        <v>0</v>
      </c>
      <c r="I2854">
        <v>0</v>
      </c>
      <c r="J2854">
        <v>0</v>
      </c>
      <c r="K2854">
        <v>50</v>
      </c>
      <c r="L2854" t="s">
        <v>113</v>
      </c>
      <c r="M2854" t="s">
        <v>114</v>
      </c>
    </row>
    <row r="2855" spans="2:13" x14ac:dyDescent="0.2">
      <c r="B2855">
        <v>3114</v>
      </c>
      <c r="C2855">
        <v>1</v>
      </c>
      <c r="D2855">
        <v>5.6</v>
      </c>
      <c r="E2855">
        <v>0.09</v>
      </c>
      <c r="F2855">
        <v>0.6</v>
      </c>
      <c r="G2855">
        <v>0.6</v>
      </c>
      <c r="H2855">
        <v>61</v>
      </c>
      <c r="I2855">
        <v>1</v>
      </c>
      <c r="J2855">
        <v>1</v>
      </c>
      <c r="K2855">
        <v>67.900000000000006</v>
      </c>
      <c r="L2855" t="s">
        <v>122</v>
      </c>
      <c r="M2855" t="s">
        <v>118</v>
      </c>
    </row>
    <row r="2856" spans="2:13" x14ac:dyDescent="0.2">
      <c r="B2856">
        <v>3114</v>
      </c>
      <c r="C2856">
        <v>1</v>
      </c>
      <c r="D2856">
        <v>6</v>
      </c>
      <c r="E2856">
        <v>0.1</v>
      </c>
      <c r="F2856">
        <v>0.6</v>
      </c>
      <c r="G2856">
        <v>0.6</v>
      </c>
      <c r="H2856">
        <v>65</v>
      </c>
      <c r="I2856">
        <v>1</v>
      </c>
      <c r="J2856">
        <v>1</v>
      </c>
      <c r="K2856">
        <v>68.400000000000006</v>
      </c>
      <c r="L2856" t="s">
        <v>121</v>
      </c>
      <c r="M2856" t="s">
        <v>116</v>
      </c>
    </row>
    <row r="2857" spans="2:13" x14ac:dyDescent="0.2">
      <c r="B2857">
        <v>3114</v>
      </c>
      <c r="C2857">
        <v>1</v>
      </c>
      <c r="D2857">
        <v>12.1</v>
      </c>
      <c r="E2857">
        <v>0.2</v>
      </c>
      <c r="F2857">
        <v>0.6</v>
      </c>
      <c r="G2857">
        <v>0.7</v>
      </c>
      <c r="H2857">
        <v>130</v>
      </c>
      <c r="I2857">
        <v>3</v>
      </c>
      <c r="J2857">
        <v>1</v>
      </c>
      <c r="K2857">
        <v>83.6</v>
      </c>
      <c r="L2857" t="s">
        <v>128</v>
      </c>
      <c r="M2857" t="s">
        <v>116</v>
      </c>
    </row>
    <row r="2858" spans="2:13" x14ac:dyDescent="0.2">
      <c r="B2858">
        <v>3114</v>
      </c>
      <c r="C2858">
        <v>2</v>
      </c>
      <c r="D2858">
        <v>0</v>
      </c>
      <c r="E2858">
        <v>0</v>
      </c>
      <c r="F2858">
        <v>0.6</v>
      </c>
      <c r="G2858">
        <v>0.6</v>
      </c>
      <c r="H2858">
        <v>0</v>
      </c>
      <c r="I2858">
        <v>0</v>
      </c>
      <c r="J2858">
        <v>0</v>
      </c>
      <c r="K2858">
        <v>50</v>
      </c>
      <c r="L2858" t="s">
        <v>113</v>
      </c>
      <c r="M2858" t="s">
        <v>114</v>
      </c>
    </row>
    <row r="2859" spans="2:13" x14ac:dyDescent="0.2">
      <c r="B2859">
        <v>3114</v>
      </c>
      <c r="C2859">
        <v>2</v>
      </c>
      <c r="D2859">
        <v>6</v>
      </c>
      <c r="E2859">
        <v>0.1</v>
      </c>
      <c r="F2859">
        <v>0.6</v>
      </c>
      <c r="G2859">
        <v>0.6</v>
      </c>
      <c r="H2859">
        <v>65</v>
      </c>
      <c r="I2859">
        <v>0</v>
      </c>
      <c r="J2859">
        <v>0</v>
      </c>
      <c r="K2859">
        <v>42.1</v>
      </c>
      <c r="L2859" t="s">
        <v>115</v>
      </c>
      <c r="M2859" t="s">
        <v>116</v>
      </c>
    </row>
    <row r="2860" spans="2:13" x14ac:dyDescent="0.2">
      <c r="B2860">
        <v>3114</v>
      </c>
      <c r="C2860">
        <v>2</v>
      </c>
      <c r="D2860">
        <v>12.1</v>
      </c>
      <c r="E2860">
        <v>0.2</v>
      </c>
      <c r="F2860">
        <v>0.6</v>
      </c>
      <c r="G2860">
        <v>0.6</v>
      </c>
      <c r="H2860">
        <v>130</v>
      </c>
      <c r="I2860">
        <v>5</v>
      </c>
      <c r="J2860">
        <v>0</v>
      </c>
      <c r="K2860">
        <v>43.8</v>
      </c>
      <c r="L2860" t="s">
        <v>115</v>
      </c>
      <c r="M2860" t="s">
        <v>116</v>
      </c>
    </row>
    <row r="2861" spans="2:13" x14ac:dyDescent="0.2">
      <c r="B2861">
        <v>3114</v>
      </c>
      <c r="C2861">
        <v>2</v>
      </c>
      <c r="D2861">
        <v>15.2</v>
      </c>
      <c r="E2861">
        <v>0.25</v>
      </c>
      <c r="F2861">
        <v>0.6</v>
      </c>
      <c r="G2861">
        <v>0.6</v>
      </c>
      <c r="H2861">
        <v>164</v>
      </c>
      <c r="I2861">
        <v>7</v>
      </c>
      <c r="J2861">
        <v>1</v>
      </c>
      <c r="K2861">
        <v>44.2</v>
      </c>
      <c r="L2861" t="s">
        <v>122</v>
      </c>
      <c r="M2861" t="s">
        <v>118</v>
      </c>
    </row>
    <row r="2862" spans="2:13" x14ac:dyDescent="0.2">
      <c r="B2862">
        <v>3114</v>
      </c>
      <c r="C2862">
        <v>2</v>
      </c>
      <c r="D2862">
        <v>18.100000000000001</v>
      </c>
      <c r="E2862">
        <v>0.3</v>
      </c>
      <c r="F2862">
        <v>0.6</v>
      </c>
      <c r="G2862">
        <v>0.6</v>
      </c>
      <c r="H2862">
        <v>195</v>
      </c>
      <c r="I2862">
        <v>9</v>
      </c>
      <c r="J2862">
        <v>1</v>
      </c>
      <c r="K2862">
        <v>43.8</v>
      </c>
      <c r="L2862" t="s">
        <v>132</v>
      </c>
      <c r="M2862" t="s">
        <v>116</v>
      </c>
    </row>
    <row r="2863" spans="2:13" x14ac:dyDescent="0.2">
      <c r="B2863">
        <v>3114</v>
      </c>
      <c r="C2863">
        <v>6</v>
      </c>
      <c r="D2863">
        <v>0</v>
      </c>
      <c r="E2863">
        <v>0</v>
      </c>
      <c r="F2863">
        <v>0.6</v>
      </c>
      <c r="G2863">
        <v>0.6</v>
      </c>
      <c r="H2863">
        <v>0</v>
      </c>
      <c r="I2863">
        <v>0</v>
      </c>
      <c r="J2863">
        <v>0</v>
      </c>
      <c r="K2863">
        <v>50</v>
      </c>
      <c r="L2863" t="s">
        <v>113</v>
      </c>
      <c r="M2863" t="s">
        <v>114</v>
      </c>
    </row>
    <row r="2864" spans="2:13" x14ac:dyDescent="0.2">
      <c r="B2864">
        <v>3114</v>
      </c>
      <c r="C2864">
        <v>6</v>
      </c>
      <c r="D2864">
        <v>6</v>
      </c>
      <c r="E2864">
        <v>0.1</v>
      </c>
      <c r="F2864">
        <v>0.6</v>
      </c>
      <c r="G2864">
        <v>0.6</v>
      </c>
      <c r="H2864">
        <v>65</v>
      </c>
      <c r="I2864">
        <v>1</v>
      </c>
      <c r="J2864">
        <v>0</v>
      </c>
      <c r="K2864">
        <v>45</v>
      </c>
      <c r="L2864" t="s">
        <v>115</v>
      </c>
      <c r="M2864" t="s">
        <v>116</v>
      </c>
    </row>
    <row r="2865" spans="2:13" x14ac:dyDescent="0.2">
      <c r="B2865">
        <v>3114</v>
      </c>
      <c r="C2865">
        <v>6</v>
      </c>
      <c r="D2865">
        <v>12.1</v>
      </c>
      <c r="E2865">
        <v>0.2</v>
      </c>
      <c r="F2865">
        <v>0.6</v>
      </c>
      <c r="G2865">
        <v>0.7</v>
      </c>
      <c r="H2865">
        <v>130</v>
      </c>
      <c r="I2865">
        <v>7</v>
      </c>
      <c r="J2865">
        <v>0</v>
      </c>
      <c r="K2865">
        <v>93.6</v>
      </c>
      <c r="L2865" t="s">
        <v>128</v>
      </c>
      <c r="M2865" t="s">
        <v>116</v>
      </c>
    </row>
    <row r="2866" spans="2:13" x14ac:dyDescent="0.2">
      <c r="B2866">
        <v>3114</v>
      </c>
      <c r="C2866">
        <v>7</v>
      </c>
      <c r="D2866">
        <v>0</v>
      </c>
      <c r="E2866">
        <v>0</v>
      </c>
      <c r="F2866">
        <v>0.6</v>
      </c>
      <c r="G2866">
        <v>0.6</v>
      </c>
      <c r="H2866">
        <v>0</v>
      </c>
      <c r="I2866">
        <v>0</v>
      </c>
      <c r="J2866">
        <v>0</v>
      </c>
      <c r="K2866">
        <v>50</v>
      </c>
      <c r="L2866" t="s">
        <v>113</v>
      </c>
      <c r="M2866" t="s">
        <v>114</v>
      </c>
    </row>
    <row r="2867" spans="2:13" x14ac:dyDescent="0.2">
      <c r="B2867">
        <v>3114</v>
      </c>
      <c r="C2867">
        <v>7</v>
      </c>
      <c r="D2867">
        <v>5.5</v>
      </c>
      <c r="E2867">
        <v>0.09</v>
      </c>
      <c r="F2867">
        <v>0.6</v>
      </c>
      <c r="G2867">
        <v>0.6</v>
      </c>
      <c r="H2867">
        <v>60</v>
      </c>
      <c r="I2867">
        <v>0</v>
      </c>
      <c r="J2867">
        <v>1</v>
      </c>
      <c r="K2867">
        <v>45.5</v>
      </c>
      <c r="L2867" t="s">
        <v>122</v>
      </c>
      <c r="M2867" t="s">
        <v>118</v>
      </c>
    </row>
    <row r="2868" spans="2:13" x14ac:dyDescent="0.2">
      <c r="B2868">
        <v>3114</v>
      </c>
      <c r="C2868">
        <v>7</v>
      </c>
      <c r="D2868">
        <v>6</v>
      </c>
      <c r="E2868">
        <v>0.1</v>
      </c>
      <c r="F2868">
        <v>0.6</v>
      </c>
      <c r="G2868">
        <v>0.6</v>
      </c>
      <c r="H2868">
        <v>65</v>
      </c>
      <c r="I2868">
        <v>0</v>
      </c>
      <c r="J2868">
        <v>1</v>
      </c>
      <c r="K2868">
        <v>45.9</v>
      </c>
      <c r="L2868" t="s">
        <v>132</v>
      </c>
      <c r="M2868" t="s">
        <v>116</v>
      </c>
    </row>
    <row r="2869" spans="2:13" x14ac:dyDescent="0.2">
      <c r="B2869">
        <v>3114</v>
      </c>
      <c r="C2869">
        <v>7</v>
      </c>
      <c r="D2869">
        <v>8.1999999999999993</v>
      </c>
      <c r="E2869">
        <v>0.14000000000000001</v>
      </c>
      <c r="F2869">
        <v>0.6</v>
      </c>
      <c r="G2869">
        <v>0.6</v>
      </c>
      <c r="H2869">
        <v>89</v>
      </c>
      <c r="I2869">
        <v>0</v>
      </c>
      <c r="J2869">
        <v>2</v>
      </c>
      <c r="K2869">
        <v>43.6</v>
      </c>
      <c r="L2869" t="s">
        <v>149</v>
      </c>
      <c r="M2869" t="s">
        <v>118</v>
      </c>
    </row>
    <row r="2870" spans="2:13" x14ac:dyDescent="0.2">
      <c r="B2870">
        <v>3114</v>
      </c>
      <c r="C2870">
        <v>7</v>
      </c>
      <c r="D2870">
        <v>12.1</v>
      </c>
      <c r="E2870">
        <v>0.2</v>
      </c>
      <c r="F2870">
        <v>0.6</v>
      </c>
      <c r="G2870">
        <v>0.6</v>
      </c>
      <c r="H2870">
        <v>130</v>
      </c>
      <c r="I2870">
        <v>7</v>
      </c>
      <c r="J2870">
        <v>2</v>
      </c>
      <c r="K2870">
        <v>43.4</v>
      </c>
      <c r="L2870" t="s">
        <v>132</v>
      </c>
      <c r="M2870" t="s">
        <v>116</v>
      </c>
    </row>
    <row r="2871" spans="2:13" x14ac:dyDescent="0.2">
      <c r="B2871">
        <v>3114</v>
      </c>
      <c r="C2871">
        <v>7</v>
      </c>
      <c r="D2871">
        <v>18.100000000000001</v>
      </c>
      <c r="E2871">
        <v>0.3</v>
      </c>
      <c r="F2871">
        <v>0.6</v>
      </c>
      <c r="G2871">
        <v>0.7</v>
      </c>
      <c r="H2871">
        <v>195</v>
      </c>
      <c r="I2871">
        <v>8</v>
      </c>
      <c r="J2871">
        <v>2</v>
      </c>
      <c r="K2871">
        <v>69.2</v>
      </c>
      <c r="L2871" t="s">
        <v>128</v>
      </c>
      <c r="M2871" t="s">
        <v>116</v>
      </c>
    </row>
    <row r="2872" spans="2:13" x14ac:dyDescent="0.2">
      <c r="B2872">
        <v>3115</v>
      </c>
      <c r="C2872">
        <v>1</v>
      </c>
      <c r="D2872">
        <v>0</v>
      </c>
      <c r="E2872">
        <v>0</v>
      </c>
      <c r="F2872">
        <v>0.6</v>
      </c>
      <c r="G2872">
        <v>0.6</v>
      </c>
      <c r="H2872">
        <v>0</v>
      </c>
      <c r="I2872">
        <v>0</v>
      </c>
      <c r="J2872">
        <v>0</v>
      </c>
      <c r="K2872">
        <v>50</v>
      </c>
      <c r="L2872" t="s">
        <v>113</v>
      </c>
      <c r="M2872" t="s">
        <v>114</v>
      </c>
    </row>
    <row r="2873" spans="2:13" x14ac:dyDescent="0.2">
      <c r="B2873">
        <v>3115</v>
      </c>
      <c r="C2873">
        <v>1</v>
      </c>
      <c r="D2873">
        <v>6</v>
      </c>
      <c r="E2873">
        <v>0.1</v>
      </c>
      <c r="F2873">
        <v>0.6</v>
      </c>
      <c r="G2873">
        <v>0.6</v>
      </c>
      <c r="H2873">
        <v>65</v>
      </c>
      <c r="I2873">
        <v>1</v>
      </c>
      <c r="J2873">
        <v>0</v>
      </c>
      <c r="K2873">
        <v>33.9</v>
      </c>
      <c r="L2873" t="s">
        <v>115</v>
      </c>
      <c r="M2873" t="s">
        <v>116</v>
      </c>
    </row>
    <row r="2874" spans="2:13" x14ac:dyDescent="0.2">
      <c r="B2874">
        <v>3115</v>
      </c>
      <c r="C2874">
        <v>1</v>
      </c>
      <c r="D2874">
        <v>6.1</v>
      </c>
      <c r="E2874">
        <v>0.1</v>
      </c>
      <c r="F2874">
        <v>0.6</v>
      </c>
      <c r="G2874">
        <v>0.6</v>
      </c>
      <c r="H2874">
        <v>66</v>
      </c>
      <c r="I2874">
        <v>1</v>
      </c>
      <c r="J2874">
        <v>1</v>
      </c>
      <c r="K2874">
        <v>34</v>
      </c>
      <c r="L2874" t="s">
        <v>122</v>
      </c>
      <c r="M2874" t="s">
        <v>118</v>
      </c>
    </row>
    <row r="2875" spans="2:13" x14ac:dyDescent="0.2">
      <c r="B2875">
        <v>3115</v>
      </c>
      <c r="C2875">
        <v>1</v>
      </c>
      <c r="D2875">
        <v>10.1</v>
      </c>
      <c r="E2875">
        <v>0.17</v>
      </c>
      <c r="F2875">
        <v>0.6</v>
      </c>
      <c r="G2875">
        <v>0.6</v>
      </c>
      <c r="H2875">
        <v>109</v>
      </c>
      <c r="I2875">
        <v>4</v>
      </c>
      <c r="J2875">
        <v>2</v>
      </c>
      <c r="K2875">
        <v>33.9</v>
      </c>
      <c r="L2875" t="s">
        <v>127</v>
      </c>
      <c r="M2875" t="s">
        <v>118</v>
      </c>
    </row>
    <row r="2876" spans="2:13" x14ac:dyDescent="0.2">
      <c r="B2876">
        <v>3115</v>
      </c>
      <c r="C2876">
        <v>1</v>
      </c>
      <c r="D2876">
        <v>10.3</v>
      </c>
      <c r="E2876">
        <v>0.17</v>
      </c>
      <c r="F2876">
        <v>0.6</v>
      </c>
      <c r="G2876">
        <v>0.6</v>
      </c>
      <c r="H2876">
        <v>111</v>
      </c>
      <c r="I2876">
        <v>4</v>
      </c>
      <c r="J2876">
        <v>3</v>
      </c>
      <c r="K2876">
        <v>34.1</v>
      </c>
      <c r="L2876" t="s">
        <v>125</v>
      </c>
      <c r="M2876" t="s">
        <v>118</v>
      </c>
    </row>
    <row r="2877" spans="2:13" x14ac:dyDescent="0.2">
      <c r="B2877">
        <v>3115</v>
      </c>
      <c r="C2877">
        <v>1</v>
      </c>
      <c r="D2877">
        <v>12.1</v>
      </c>
      <c r="E2877">
        <v>0.2</v>
      </c>
      <c r="F2877">
        <v>0.6</v>
      </c>
      <c r="G2877">
        <v>0.45</v>
      </c>
      <c r="H2877">
        <v>130</v>
      </c>
      <c r="I2877">
        <v>7</v>
      </c>
      <c r="J2877">
        <v>3</v>
      </c>
      <c r="K2877">
        <v>33.799999999999997</v>
      </c>
      <c r="L2877" t="s">
        <v>126</v>
      </c>
      <c r="M2877" t="s">
        <v>116</v>
      </c>
    </row>
    <row r="2878" spans="2:13" x14ac:dyDescent="0.2">
      <c r="B2878">
        <v>3115</v>
      </c>
      <c r="C2878">
        <v>1</v>
      </c>
      <c r="D2878">
        <v>18.100000000000001</v>
      </c>
      <c r="E2878">
        <v>0.3</v>
      </c>
      <c r="F2878">
        <v>0.45</v>
      </c>
      <c r="G2878">
        <v>0.45</v>
      </c>
      <c r="H2878">
        <v>179</v>
      </c>
      <c r="I2878">
        <v>8</v>
      </c>
      <c r="J2878">
        <v>3</v>
      </c>
      <c r="K2878">
        <v>33</v>
      </c>
      <c r="L2878" t="s">
        <v>115</v>
      </c>
      <c r="M2878" t="s">
        <v>116</v>
      </c>
    </row>
    <row r="2879" spans="2:13" x14ac:dyDescent="0.2">
      <c r="B2879">
        <v>3115</v>
      </c>
      <c r="C2879">
        <v>2</v>
      </c>
      <c r="D2879">
        <v>0</v>
      </c>
      <c r="E2879">
        <v>0</v>
      </c>
      <c r="F2879">
        <v>0.6</v>
      </c>
      <c r="G2879">
        <v>0.6</v>
      </c>
      <c r="H2879">
        <v>0</v>
      </c>
      <c r="I2879">
        <v>0</v>
      </c>
      <c r="J2879">
        <v>0</v>
      </c>
      <c r="K2879">
        <v>50</v>
      </c>
      <c r="L2879" t="s">
        <v>113</v>
      </c>
      <c r="M2879" t="s">
        <v>114</v>
      </c>
    </row>
    <row r="2880" spans="2:13" x14ac:dyDescent="0.2">
      <c r="B2880">
        <v>3115</v>
      </c>
      <c r="C2880">
        <v>2</v>
      </c>
      <c r="D2880">
        <v>6</v>
      </c>
      <c r="E2880">
        <v>0.1</v>
      </c>
      <c r="F2880">
        <v>0.6</v>
      </c>
      <c r="G2880">
        <v>0.6</v>
      </c>
      <c r="H2880">
        <v>65</v>
      </c>
      <c r="I2880">
        <v>0</v>
      </c>
      <c r="J2880">
        <v>0</v>
      </c>
      <c r="K2880">
        <v>31.4</v>
      </c>
      <c r="L2880" t="s">
        <v>115</v>
      </c>
      <c r="M2880" t="s">
        <v>116</v>
      </c>
    </row>
    <row r="2881" spans="2:13" x14ac:dyDescent="0.2">
      <c r="B2881">
        <v>3115</v>
      </c>
      <c r="C2881">
        <v>2</v>
      </c>
      <c r="D2881">
        <v>12.1</v>
      </c>
      <c r="E2881">
        <v>0.2</v>
      </c>
      <c r="F2881">
        <v>0.6</v>
      </c>
      <c r="G2881">
        <v>0.6</v>
      </c>
      <c r="H2881">
        <v>130</v>
      </c>
      <c r="I2881">
        <v>1</v>
      </c>
      <c r="J2881">
        <v>0</v>
      </c>
      <c r="K2881">
        <v>32.6</v>
      </c>
      <c r="L2881" t="s">
        <v>115</v>
      </c>
      <c r="M2881" t="s">
        <v>116</v>
      </c>
    </row>
    <row r="2882" spans="2:13" x14ac:dyDescent="0.2">
      <c r="B2882">
        <v>3115</v>
      </c>
      <c r="C2882">
        <v>2</v>
      </c>
      <c r="D2882">
        <v>12.8</v>
      </c>
      <c r="E2882">
        <v>0.21</v>
      </c>
      <c r="F2882">
        <v>0.6</v>
      </c>
      <c r="G2882">
        <v>0.6</v>
      </c>
      <c r="H2882">
        <v>138</v>
      </c>
      <c r="I2882">
        <v>1</v>
      </c>
      <c r="J2882">
        <v>1</v>
      </c>
      <c r="K2882">
        <v>57.5</v>
      </c>
      <c r="L2882" t="s">
        <v>122</v>
      </c>
      <c r="M2882" t="s">
        <v>118</v>
      </c>
    </row>
    <row r="2883" spans="2:13" x14ac:dyDescent="0.2">
      <c r="B2883">
        <v>3115</v>
      </c>
      <c r="C2883">
        <v>2</v>
      </c>
      <c r="D2883">
        <v>18.100000000000001</v>
      </c>
      <c r="E2883">
        <v>0.3</v>
      </c>
      <c r="F2883">
        <v>0.6</v>
      </c>
      <c r="G2883">
        <v>0.6</v>
      </c>
      <c r="H2883">
        <v>195</v>
      </c>
      <c r="I2883">
        <v>2</v>
      </c>
      <c r="J2883">
        <v>1</v>
      </c>
      <c r="K2883">
        <v>73.900000000000006</v>
      </c>
      <c r="L2883" t="s">
        <v>138</v>
      </c>
      <c r="M2883" t="s">
        <v>116</v>
      </c>
    </row>
    <row r="2884" spans="2:13" x14ac:dyDescent="0.2">
      <c r="B2884">
        <v>3115</v>
      </c>
      <c r="C2884">
        <v>6</v>
      </c>
      <c r="D2884">
        <v>0</v>
      </c>
      <c r="E2884">
        <v>0</v>
      </c>
      <c r="F2884">
        <v>0.6</v>
      </c>
      <c r="G2884">
        <v>0.6</v>
      </c>
      <c r="H2884">
        <v>0</v>
      </c>
      <c r="I2884">
        <v>0</v>
      </c>
      <c r="J2884">
        <v>0</v>
      </c>
      <c r="K2884">
        <v>50</v>
      </c>
      <c r="L2884" t="s">
        <v>113</v>
      </c>
      <c r="M2884" t="s">
        <v>114</v>
      </c>
    </row>
    <row r="2885" spans="2:13" x14ac:dyDescent="0.2">
      <c r="B2885">
        <v>3115</v>
      </c>
      <c r="C2885">
        <v>6</v>
      </c>
      <c r="D2885">
        <v>6</v>
      </c>
      <c r="E2885">
        <v>0.1</v>
      </c>
      <c r="F2885">
        <v>0.6</v>
      </c>
      <c r="G2885">
        <v>0.6</v>
      </c>
      <c r="H2885">
        <v>65</v>
      </c>
      <c r="I2885">
        <v>1</v>
      </c>
      <c r="J2885">
        <v>0</v>
      </c>
      <c r="K2885">
        <v>33.1</v>
      </c>
      <c r="L2885" t="s">
        <v>115</v>
      </c>
      <c r="M2885" t="s">
        <v>116</v>
      </c>
    </row>
    <row r="2886" spans="2:13" x14ac:dyDescent="0.2">
      <c r="B2886">
        <v>3115</v>
      </c>
      <c r="C2886">
        <v>6</v>
      </c>
      <c r="D2886">
        <v>7.1</v>
      </c>
      <c r="E2886">
        <v>0.12</v>
      </c>
      <c r="F2886">
        <v>0.6</v>
      </c>
      <c r="G2886">
        <v>0.6</v>
      </c>
      <c r="H2886">
        <v>77</v>
      </c>
      <c r="I2886">
        <v>1</v>
      </c>
      <c r="J2886">
        <v>1</v>
      </c>
      <c r="K2886">
        <v>32.9</v>
      </c>
      <c r="L2886" t="s">
        <v>122</v>
      </c>
      <c r="M2886" t="s">
        <v>118</v>
      </c>
    </row>
    <row r="2887" spans="2:13" x14ac:dyDescent="0.2">
      <c r="B2887">
        <v>3115</v>
      </c>
      <c r="C2887">
        <v>6</v>
      </c>
      <c r="D2887">
        <v>8.4</v>
      </c>
      <c r="E2887">
        <v>0.14000000000000001</v>
      </c>
      <c r="F2887">
        <v>0.6</v>
      </c>
      <c r="G2887">
        <v>0.6</v>
      </c>
      <c r="H2887">
        <v>91</v>
      </c>
      <c r="I2887">
        <v>1</v>
      </c>
      <c r="J2887">
        <v>2</v>
      </c>
      <c r="K2887">
        <v>50.3</v>
      </c>
      <c r="L2887" t="s">
        <v>119</v>
      </c>
      <c r="M2887" t="s">
        <v>118</v>
      </c>
    </row>
    <row r="2888" spans="2:13" x14ac:dyDescent="0.2">
      <c r="B2888">
        <v>3115</v>
      </c>
      <c r="C2888">
        <v>6</v>
      </c>
      <c r="D2888">
        <v>12.1</v>
      </c>
      <c r="E2888">
        <v>0.2</v>
      </c>
      <c r="F2888">
        <v>0.6</v>
      </c>
      <c r="G2888">
        <v>0.6</v>
      </c>
      <c r="H2888">
        <v>130</v>
      </c>
      <c r="I2888">
        <v>2</v>
      </c>
      <c r="J2888">
        <v>2</v>
      </c>
      <c r="K2888">
        <v>59.2</v>
      </c>
      <c r="L2888" t="s">
        <v>121</v>
      </c>
      <c r="M2888" t="s">
        <v>116</v>
      </c>
    </row>
    <row r="2889" spans="2:13" x14ac:dyDescent="0.2">
      <c r="B2889">
        <v>3115</v>
      </c>
      <c r="C2889">
        <v>6</v>
      </c>
      <c r="D2889">
        <v>18.100000000000001</v>
      </c>
      <c r="E2889">
        <v>0.3</v>
      </c>
      <c r="F2889">
        <v>0.6</v>
      </c>
      <c r="G2889">
        <v>0.6</v>
      </c>
      <c r="H2889">
        <v>195</v>
      </c>
      <c r="I2889">
        <v>6</v>
      </c>
      <c r="J2889">
        <v>2</v>
      </c>
      <c r="K2889">
        <v>64.3</v>
      </c>
      <c r="L2889" t="s">
        <v>115</v>
      </c>
      <c r="M2889" t="s">
        <v>116</v>
      </c>
    </row>
    <row r="2890" spans="2:13" x14ac:dyDescent="0.2">
      <c r="B2890">
        <v>3116</v>
      </c>
      <c r="C2890">
        <v>1</v>
      </c>
      <c r="D2890">
        <v>0</v>
      </c>
      <c r="E2890">
        <v>0</v>
      </c>
      <c r="F2890">
        <v>0.6</v>
      </c>
      <c r="G2890">
        <v>0.6</v>
      </c>
      <c r="H2890">
        <v>0</v>
      </c>
      <c r="I2890">
        <v>0</v>
      </c>
      <c r="J2890">
        <v>0</v>
      </c>
      <c r="K2890">
        <v>50</v>
      </c>
      <c r="L2890" t="s">
        <v>113</v>
      </c>
      <c r="M2890" t="s">
        <v>114</v>
      </c>
    </row>
    <row r="2891" spans="2:13" x14ac:dyDescent="0.2">
      <c r="B2891">
        <v>3116</v>
      </c>
      <c r="C2891">
        <v>1</v>
      </c>
      <c r="D2891">
        <v>5.7</v>
      </c>
      <c r="E2891">
        <v>0.1</v>
      </c>
      <c r="F2891">
        <v>0.6</v>
      </c>
      <c r="G2891">
        <v>0.6</v>
      </c>
      <c r="H2891">
        <v>62</v>
      </c>
      <c r="I2891">
        <v>0</v>
      </c>
      <c r="J2891">
        <v>1</v>
      </c>
      <c r="K2891">
        <v>40.4</v>
      </c>
      <c r="L2891" t="s">
        <v>117</v>
      </c>
      <c r="M2891" t="s">
        <v>118</v>
      </c>
    </row>
    <row r="2892" spans="2:13" x14ac:dyDescent="0.2">
      <c r="B2892">
        <v>3116</v>
      </c>
      <c r="C2892">
        <v>1</v>
      </c>
      <c r="D2892">
        <v>6</v>
      </c>
      <c r="E2892">
        <v>0.1</v>
      </c>
      <c r="F2892">
        <v>0.6</v>
      </c>
      <c r="G2892">
        <v>0.6</v>
      </c>
      <c r="H2892">
        <v>65</v>
      </c>
      <c r="I2892">
        <v>0</v>
      </c>
      <c r="J2892">
        <v>1</v>
      </c>
      <c r="K2892">
        <v>40.1</v>
      </c>
      <c r="L2892" t="s">
        <v>132</v>
      </c>
      <c r="M2892" t="s">
        <v>116</v>
      </c>
    </row>
    <row r="2893" spans="2:13" x14ac:dyDescent="0.2">
      <c r="B2893">
        <v>3116</v>
      </c>
      <c r="C2893">
        <v>1</v>
      </c>
      <c r="D2893">
        <v>7.8</v>
      </c>
      <c r="E2893">
        <v>0.13</v>
      </c>
      <c r="F2893">
        <v>0.6</v>
      </c>
      <c r="G2893">
        <v>0.6</v>
      </c>
      <c r="H2893">
        <v>85</v>
      </c>
      <c r="I2893">
        <v>0</v>
      </c>
      <c r="J2893">
        <v>2</v>
      </c>
      <c r="K2893">
        <v>39.799999999999997</v>
      </c>
      <c r="L2893" t="s">
        <v>119</v>
      </c>
      <c r="M2893" t="s">
        <v>118</v>
      </c>
    </row>
    <row r="2894" spans="2:13" x14ac:dyDescent="0.2">
      <c r="B2894">
        <v>3116</v>
      </c>
      <c r="C2894">
        <v>1</v>
      </c>
      <c r="D2894">
        <v>11.1</v>
      </c>
      <c r="E2894">
        <v>0.19</v>
      </c>
      <c r="F2894">
        <v>0.6</v>
      </c>
      <c r="G2894">
        <v>0.6</v>
      </c>
      <c r="H2894">
        <v>120</v>
      </c>
      <c r="I2894">
        <v>1</v>
      </c>
      <c r="J2894">
        <v>3</v>
      </c>
      <c r="K2894">
        <v>39.6</v>
      </c>
      <c r="L2894" t="s">
        <v>125</v>
      </c>
      <c r="M2894" t="s">
        <v>118</v>
      </c>
    </row>
    <row r="2895" spans="2:13" x14ac:dyDescent="0.2">
      <c r="B2895">
        <v>3116</v>
      </c>
      <c r="C2895">
        <v>1</v>
      </c>
      <c r="D2895">
        <v>11.2</v>
      </c>
      <c r="E2895">
        <v>0.19</v>
      </c>
      <c r="F2895">
        <v>0.6</v>
      </c>
      <c r="G2895">
        <v>0.6</v>
      </c>
      <c r="H2895">
        <v>120</v>
      </c>
      <c r="I2895">
        <v>1</v>
      </c>
      <c r="J2895">
        <v>4</v>
      </c>
      <c r="K2895">
        <v>39.700000000000003</v>
      </c>
      <c r="L2895" t="s">
        <v>130</v>
      </c>
      <c r="M2895" t="s">
        <v>118</v>
      </c>
    </row>
    <row r="2896" spans="2:13" x14ac:dyDescent="0.2">
      <c r="B2896">
        <v>3116</v>
      </c>
      <c r="C2896">
        <v>1</v>
      </c>
      <c r="D2896">
        <v>12.1</v>
      </c>
      <c r="E2896">
        <v>0.2</v>
      </c>
      <c r="F2896">
        <v>0.6</v>
      </c>
      <c r="G2896">
        <v>0.45</v>
      </c>
      <c r="H2896">
        <v>130</v>
      </c>
      <c r="I2896">
        <v>2</v>
      </c>
      <c r="J2896">
        <v>4</v>
      </c>
      <c r="K2896">
        <v>39.799999999999997</v>
      </c>
      <c r="L2896" t="s">
        <v>126</v>
      </c>
      <c r="M2896" t="s">
        <v>116</v>
      </c>
    </row>
    <row r="2897" spans="2:13" x14ac:dyDescent="0.2">
      <c r="B2897">
        <v>3116</v>
      </c>
      <c r="C2897">
        <v>1</v>
      </c>
      <c r="D2897">
        <v>18.100000000000001</v>
      </c>
      <c r="E2897">
        <v>0.3</v>
      </c>
      <c r="F2897">
        <v>0.45</v>
      </c>
      <c r="G2897">
        <v>0.45</v>
      </c>
      <c r="H2897">
        <v>179</v>
      </c>
      <c r="I2897">
        <v>3</v>
      </c>
      <c r="J2897">
        <v>4</v>
      </c>
      <c r="K2897">
        <v>41.7</v>
      </c>
      <c r="L2897" t="s">
        <v>115</v>
      </c>
      <c r="M2897" t="s">
        <v>116</v>
      </c>
    </row>
    <row r="2898" spans="2:13" x14ac:dyDescent="0.2">
      <c r="B2898">
        <v>3116</v>
      </c>
      <c r="C2898">
        <v>2</v>
      </c>
      <c r="D2898">
        <v>0</v>
      </c>
      <c r="E2898">
        <v>0</v>
      </c>
      <c r="F2898">
        <v>0.6</v>
      </c>
      <c r="G2898">
        <v>0.6</v>
      </c>
      <c r="H2898">
        <v>0</v>
      </c>
      <c r="I2898">
        <v>0</v>
      </c>
      <c r="J2898">
        <v>0</v>
      </c>
      <c r="K2898">
        <v>50</v>
      </c>
      <c r="L2898" t="s">
        <v>113</v>
      </c>
      <c r="M2898" t="s">
        <v>114</v>
      </c>
    </row>
    <row r="2899" spans="2:13" x14ac:dyDescent="0.2">
      <c r="B2899">
        <v>3116</v>
      </c>
      <c r="C2899">
        <v>2</v>
      </c>
      <c r="D2899">
        <v>6</v>
      </c>
      <c r="E2899">
        <v>0.1</v>
      </c>
      <c r="F2899">
        <v>0.6</v>
      </c>
      <c r="G2899">
        <v>0.6</v>
      </c>
      <c r="H2899">
        <v>65</v>
      </c>
      <c r="I2899">
        <v>0</v>
      </c>
      <c r="J2899">
        <v>0</v>
      </c>
      <c r="K2899">
        <v>93</v>
      </c>
      <c r="L2899" t="s">
        <v>115</v>
      </c>
      <c r="M2899" t="s">
        <v>116</v>
      </c>
    </row>
    <row r="2900" spans="2:13" x14ac:dyDescent="0.2">
      <c r="B2900">
        <v>3116</v>
      </c>
      <c r="C2900">
        <v>2</v>
      </c>
      <c r="D2900">
        <v>12.1</v>
      </c>
      <c r="E2900">
        <v>0.2</v>
      </c>
      <c r="F2900">
        <v>0.6</v>
      </c>
      <c r="G2900">
        <v>0.7</v>
      </c>
      <c r="H2900">
        <v>130</v>
      </c>
      <c r="I2900">
        <v>3</v>
      </c>
      <c r="J2900">
        <v>0</v>
      </c>
      <c r="K2900">
        <v>93.6</v>
      </c>
      <c r="L2900" t="s">
        <v>128</v>
      </c>
      <c r="M2900" t="s">
        <v>116</v>
      </c>
    </row>
    <row r="2901" spans="2:13" x14ac:dyDescent="0.2">
      <c r="B2901">
        <v>3116</v>
      </c>
      <c r="C2901">
        <v>2</v>
      </c>
      <c r="D2901">
        <v>17.399999999999999</v>
      </c>
      <c r="E2901">
        <v>0.28999999999999998</v>
      </c>
      <c r="F2901">
        <v>0.7</v>
      </c>
      <c r="G2901">
        <v>0.7</v>
      </c>
      <c r="H2901">
        <v>197</v>
      </c>
      <c r="I2901">
        <v>9</v>
      </c>
      <c r="J2901">
        <v>1</v>
      </c>
      <c r="K2901">
        <v>85.8</v>
      </c>
      <c r="L2901" t="s">
        <v>122</v>
      </c>
      <c r="M2901" t="s">
        <v>118</v>
      </c>
    </row>
    <row r="2902" spans="2:13" x14ac:dyDescent="0.2">
      <c r="B2902">
        <v>3116</v>
      </c>
      <c r="C2902">
        <v>3</v>
      </c>
      <c r="D2902">
        <v>0</v>
      </c>
      <c r="E2902">
        <v>0</v>
      </c>
      <c r="F2902">
        <v>0.6</v>
      </c>
      <c r="G2902">
        <v>0.6</v>
      </c>
      <c r="H2902">
        <v>0</v>
      </c>
      <c r="I2902">
        <v>0</v>
      </c>
      <c r="J2902">
        <v>0</v>
      </c>
      <c r="K2902">
        <v>50</v>
      </c>
      <c r="L2902" t="s">
        <v>113</v>
      </c>
      <c r="M2902" t="s">
        <v>114</v>
      </c>
    </row>
    <row r="2903" spans="2:13" x14ac:dyDescent="0.2">
      <c r="B2903">
        <v>3116</v>
      </c>
      <c r="C2903">
        <v>3</v>
      </c>
      <c r="D2903">
        <v>6</v>
      </c>
      <c r="E2903">
        <v>0.1</v>
      </c>
      <c r="F2903">
        <v>0.6</v>
      </c>
      <c r="G2903">
        <v>0.6</v>
      </c>
      <c r="H2903">
        <v>65</v>
      </c>
      <c r="I2903">
        <v>0</v>
      </c>
      <c r="J2903">
        <v>0</v>
      </c>
      <c r="K2903">
        <v>41.3</v>
      </c>
      <c r="L2903" t="s">
        <v>115</v>
      </c>
      <c r="M2903" t="s">
        <v>116</v>
      </c>
    </row>
    <row r="2904" spans="2:13" x14ac:dyDescent="0.2">
      <c r="B2904">
        <v>3116</v>
      </c>
      <c r="C2904">
        <v>3</v>
      </c>
      <c r="D2904">
        <v>12.1</v>
      </c>
      <c r="E2904">
        <v>0.2</v>
      </c>
      <c r="F2904">
        <v>0.6</v>
      </c>
      <c r="G2904">
        <v>0.7</v>
      </c>
      <c r="H2904">
        <v>130</v>
      </c>
      <c r="I2904">
        <v>6</v>
      </c>
      <c r="J2904">
        <v>0</v>
      </c>
      <c r="K2904">
        <v>91.7</v>
      </c>
      <c r="L2904" t="s">
        <v>128</v>
      </c>
      <c r="M2904" t="s">
        <v>116</v>
      </c>
    </row>
    <row r="2905" spans="2:13" x14ac:dyDescent="0.2">
      <c r="B2905">
        <v>3116</v>
      </c>
      <c r="C2905">
        <v>3</v>
      </c>
      <c r="D2905">
        <v>12.5</v>
      </c>
      <c r="E2905">
        <v>0.21</v>
      </c>
      <c r="F2905">
        <v>0.7</v>
      </c>
      <c r="G2905">
        <v>0.7</v>
      </c>
      <c r="H2905">
        <v>135</v>
      </c>
      <c r="I2905">
        <v>8</v>
      </c>
      <c r="J2905">
        <v>1</v>
      </c>
      <c r="K2905">
        <v>79.099999999999994</v>
      </c>
      <c r="L2905" t="s">
        <v>122</v>
      </c>
      <c r="M2905" t="s">
        <v>118</v>
      </c>
    </row>
    <row r="2906" spans="2:13" x14ac:dyDescent="0.2">
      <c r="B2906">
        <v>3116</v>
      </c>
      <c r="C2906">
        <v>3</v>
      </c>
      <c r="D2906">
        <v>14.7</v>
      </c>
      <c r="E2906">
        <v>0.25</v>
      </c>
      <c r="F2906">
        <v>0.7</v>
      </c>
      <c r="G2906">
        <v>0.7</v>
      </c>
      <c r="H2906">
        <v>164</v>
      </c>
      <c r="I2906">
        <v>10</v>
      </c>
      <c r="J2906">
        <v>2</v>
      </c>
      <c r="K2906">
        <v>71.5</v>
      </c>
      <c r="L2906" t="s">
        <v>127</v>
      </c>
      <c r="M2906" t="s">
        <v>118</v>
      </c>
    </row>
    <row r="2907" spans="2:13" x14ac:dyDescent="0.2">
      <c r="B2907">
        <v>3117</v>
      </c>
      <c r="C2907">
        <v>1</v>
      </c>
      <c r="D2907">
        <v>0</v>
      </c>
      <c r="E2907">
        <v>0</v>
      </c>
      <c r="F2907">
        <v>0.6</v>
      </c>
      <c r="G2907">
        <v>0.6</v>
      </c>
      <c r="H2907">
        <v>0</v>
      </c>
      <c r="I2907">
        <v>0</v>
      </c>
      <c r="J2907">
        <v>0</v>
      </c>
      <c r="K2907">
        <v>50</v>
      </c>
      <c r="L2907" t="s">
        <v>113</v>
      </c>
      <c r="M2907" t="s">
        <v>114</v>
      </c>
    </row>
    <row r="2908" spans="2:13" x14ac:dyDescent="0.2">
      <c r="B2908">
        <v>3117</v>
      </c>
      <c r="C2908">
        <v>1</v>
      </c>
      <c r="D2908">
        <v>6</v>
      </c>
      <c r="E2908">
        <v>0.1</v>
      </c>
      <c r="F2908">
        <v>0.6</v>
      </c>
      <c r="G2908">
        <v>0.6</v>
      </c>
      <c r="H2908">
        <v>65</v>
      </c>
      <c r="I2908">
        <v>0</v>
      </c>
      <c r="J2908">
        <v>0</v>
      </c>
      <c r="K2908">
        <v>31.4</v>
      </c>
      <c r="L2908" t="s">
        <v>115</v>
      </c>
      <c r="M2908" t="s">
        <v>116</v>
      </c>
    </row>
    <row r="2909" spans="2:13" x14ac:dyDescent="0.2">
      <c r="B2909">
        <v>3117</v>
      </c>
      <c r="C2909">
        <v>1</v>
      </c>
      <c r="D2909">
        <v>7.3</v>
      </c>
      <c r="E2909">
        <v>0.12</v>
      </c>
      <c r="F2909">
        <v>0.6</v>
      </c>
      <c r="G2909">
        <v>0.6</v>
      </c>
      <c r="H2909">
        <v>79</v>
      </c>
      <c r="I2909">
        <v>1</v>
      </c>
      <c r="J2909">
        <v>1</v>
      </c>
      <c r="K2909">
        <v>33.6</v>
      </c>
      <c r="L2909" t="s">
        <v>117</v>
      </c>
      <c r="M2909" t="s">
        <v>118</v>
      </c>
    </row>
    <row r="2910" spans="2:13" x14ac:dyDescent="0.2">
      <c r="B2910">
        <v>3117</v>
      </c>
      <c r="C2910">
        <v>1</v>
      </c>
      <c r="D2910">
        <v>11.1</v>
      </c>
      <c r="E2910">
        <v>0.18</v>
      </c>
      <c r="F2910">
        <v>0.6</v>
      </c>
      <c r="G2910">
        <v>0.6</v>
      </c>
      <c r="H2910">
        <v>119</v>
      </c>
      <c r="I2910">
        <v>2</v>
      </c>
      <c r="J2910">
        <v>2</v>
      </c>
      <c r="K2910">
        <v>33.5</v>
      </c>
      <c r="L2910" t="s">
        <v>119</v>
      </c>
      <c r="M2910" t="s">
        <v>118</v>
      </c>
    </row>
    <row r="2911" spans="2:13" x14ac:dyDescent="0.2">
      <c r="B2911">
        <v>3117</v>
      </c>
      <c r="C2911">
        <v>1</v>
      </c>
      <c r="D2911">
        <v>12.1</v>
      </c>
      <c r="E2911">
        <v>0.2</v>
      </c>
      <c r="F2911">
        <v>0.6</v>
      </c>
      <c r="G2911">
        <v>0.45</v>
      </c>
      <c r="H2911">
        <v>130</v>
      </c>
      <c r="I2911">
        <v>2</v>
      </c>
      <c r="J2911">
        <v>2</v>
      </c>
      <c r="K2911">
        <v>34.200000000000003</v>
      </c>
      <c r="L2911" t="s">
        <v>126</v>
      </c>
      <c r="M2911" t="s">
        <v>116</v>
      </c>
    </row>
    <row r="2912" spans="2:13" x14ac:dyDescent="0.2">
      <c r="B2912">
        <v>3117</v>
      </c>
      <c r="C2912">
        <v>1</v>
      </c>
      <c r="D2912">
        <v>16.3</v>
      </c>
      <c r="E2912">
        <v>0.27</v>
      </c>
      <c r="F2912">
        <v>0.45</v>
      </c>
      <c r="G2912">
        <v>0.45</v>
      </c>
      <c r="H2912">
        <v>165</v>
      </c>
      <c r="I2912">
        <v>4</v>
      </c>
      <c r="J2912">
        <v>3</v>
      </c>
      <c r="K2912">
        <v>33</v>
      </c>
      <c r="L2912" t="s">
        <v>125</v>
      </c>
      <c r="M2912" t="s">
        <v>118</v>
      </c>
    </row>
    <row r="2913" spans="2:13" x14ac:dyDescent="0.2">
      <c r="B2913">
        <v>3117</v>
      </c>
      <c r="C2913">
        <v>1</v>
      </c>
      <c r="D2913">
        <v>18.100000000000001</v>
      </c>
      <c r="E2913">
        <v>0.3</v>
      </c>
      <c r="F2913">
        <v>0.45</v>
      </c>
      <c r="G2913">
        <v>0.45</v>
      </c>
      <c r="H2913">
        <v>179</v>
      </c>
      <c r="I2913">
        <v>4</v>
      </c>
      <c r="J2913">
        <v>3</v>
      </c>
      <c r="K2913">
        <v>33.1</v>
      </c>
      <c r="L2913" t="s">
        <v>132</v>
      </c>
      <c r="M2913" t="s">
        <v>116</v>
      </c>
    </row>
    <row r="2914" spans="2:13" x14ac:dyDescent="0.2">
      <c r="B2914">
        <v>3117</v>
      </c>
      <c r="C2914">
        <v>6</v>
      </c>
      <c r="D2914">
        <v>0</v>
      </c>
      <c r="E2914">
        <v>0</v>
      </c>
      <c r="F2914">
        <v>0.6</v>
      </c>
      <c r="G2914">
        <v>0.6</v>
      </c>
      <c r="H2914">
        <v>0</v>
      </c>
      <c r="I2914">
        <v>0</v>
      </c>
      <c r="J2914">
        <v>0</v>
      </c>
      <c r="K2914">
        <v>50</v>
      </c>
      <c r="L2914" t="s">
        <v>113</v>
      </c>
      <c r="M2914" t="s">
        <v>114</v>
      </c>
    </row>
    <row r="2915" spans="2:13" x14ac:dyDescent="0.2">
      <c r="B2915">
        <v>3117</v>
      </c>
      <c r="C2915">
        <v>6</v>
      </c>
      <c r="D2915">
        <v>6</v>
      </c>
      <c r="E2915">
        <v>0.1</v>
      </c>
      <c r="F2915">
        <v>0.6</v>
      </c>
      <c r="G2915">
        <v>0.6</v>
      </c>
      <c r="H2915">
        <v>65</v>
      </c>
      <c r="I2915">
        <v>0</v>
      </c>
      <c r="J2915">
        <v>0</v>
      </c>
      <c r="K2915">
        <v>32.200000000000003</v>
      </c>
      <c r="L2915" t="s">
        <v>115</v>
      </c>
      <c r="M2915" t="s">
        <v>116</v>
      </c>
    </row>
    <row r="2916" spans="2:13" x14ac:dyDescent="0.2">
      <c r="B2916">
        <v>3117</v>
      </c>
      <c r="C2916">
        <v>6</v>
      </c>
      <c r="D2916">
        <v>7</v>
      </c>
      <c r="E2916">
        <v>0.12</v>
      </c>
      <c r="F2916">
        <v>0.6</v>
      </c>
      <c r="G2916">
        <v>0.6</v>
      </c>
      <c r="H2916">
        <v>76</v>
      </c>
      <c r="I2916">
        <v>0</v>
      </c>
      <c r="J2916">
        <v>1</v>
      </c>
      <c r="K2916">
        <v>32.5</v>
      </c>
      <c r="L2916" t="s">
        <v>117</v>
      </c>
      <c r="M2916" t="s">
        <v>118</v>
      </c>
    </row>
    <row r="2917" spans="2:13" x14ac:dyDescent="0.2">
      <c r="B2917">
        <v>3117</v>
      </c>
      <c r="C2917">
        <v>6</v>
      </c>
      <c r="D2917">
        <v>11.2</v>
      </c>
      <c r="E2917">
        <v>0.19</v>
      </c>
      <c r="F2917">
        <v>0.6</v>
      </c>
      <c r="G2917">
        <v>0.6</v>
      </c>
      <c r="H2917">
        <v>121</v>
      </c>
      <c r="I2917">
        <v>2</v>
      </c>
      <c r="J2917">
        <v>2</v>
      </c>
      <c r="K2917">
        <v>32.6</v>
      </c>
      <c r="L2917" t="s">
        <v>123</v>
      </c>
      <c r="M2917" t="s">
        <v>118</v>
      </c>
    </row>
    <row r="2918" spans="2:13" x14ac:dyDescent="0.2">
      <c r="B2918">
        <v>3117</v>
      </c>
      <c r="C2918">
        <v>6</v>
      </c>
      <c r="D2918">
        <v>12.1</v>
      </c>
      <c r="E2918">
        <v>0.2</v>
      </c>
      <c r="F2918">
        <v>0.6</v>
      </c>
      <c r="G2918">
        <v>0.45</v>
      </c>
      <c r="H2918">
        <v>130</v>
      </c>
      <c r="I2918">
        <v>2</v>
      </c>
      <c r="J2918">
        <v>2</v>
      </c>
      <c r="K2918">
        <v>32.6</v>
      </c>
      <c r="L2918" t="s">
        <v>126</v>
      </c>
      <c r="M2918" t="s">
        <v>116</v>
      </c>
    </row>
    <row r="2919" spans="2:13" x14ac:dyDescent="0.2">
      <c r="B2919">
        <v>3117</v>
      </c>
      <c r="C2919">
        <v>6</v>
      </c>
      <c r="D2919">
        <v>18.100000000000001</v>
      </c>
      <c r="E2919">
        <v>0.3</v>
      </c>
      <c r="F2919">
        <v>0.45</v>
      </c>
      <c r="G2919">
        <v>0.45</v>
      </c>
      <c r="H2919">
        <v>179</v>
      </c>
      <c r="I2919">
        <v>5</v>
      </c>
      <c r="J2919">
        <v>2</v>
      </c>
      <c r="K2919">
        <v>32.799999999999997</v>
      </c>
      <c r="L2919" t="s">
        <v>115</v>
      </c>
      <c r="M2919" t="s">
        <v>116</v>
      </c>
    </row>
    <row r="2920" spans="2:13" x14ac:dyDescent="0.2">
      <c r="B2920">
        <v>3117</v>
      </c>
      <c r="C2920">
        <v>6</v>
      </c>
      <c r="D2920">
        <v>19.8</v>
      </c>
      <c r="E2920">
        <v>0.33</v>
      </c>
      <c r="F2920">
        <v>0.45</v>
      </c>
      <c r="G2920">
        <v>0.45</v>
      </c>
      <c r="H2920">
        <v>193</v>
      </c>
      <c r="I2920">
        <v>5</v>
      </c>
      <c r="J2920">
        <v>3</v>
      </c>
      <c r="K2920">
        <v>52.8</v>
      </c>
      <c r="L2920" t="s">
        <v>144</v>
      </c>
      <c r="M2920" t="s">
        <v>118</v>
      </c>
    </row>
    <row r="2921" spans="2:13" x14ac:dyDescent="0.2">
      <c r="B2921">
        <v>3118</v>
      </c>
      <c r="C2921">
        <v>1</v>
      </c>
      <c r="D2921">
        <v>0</v>
      </c>
      <c r="E2921">
        <v>0</v>
      </c>
      <c r="F2921">
        <v>0.6</v>
      </c>
      <c r="G2921">
        <v>0.6</v>
      </c>
      <c r="H2921">
        <v>0</v>
      </c>
      <c r="I2921">
        <v>0</v>
      </c>
      <c r="J2921">
        <v>0</v>
      </c>
      <c r="K2921">
        <v>50</v>
      </c>
      <c r="L2921" t="s">
        <v>113</v>
      </c>
      <c r="M2921" t="s">
        <v>114</v>
      </c>
    </row>
    <row r="2922" spans="2:13" x14ac:dyDescent="0.2">
      <c r="B2922">
        <v>3118</v>
      </c>
      <c r="C2922">
        <v>1</v>
      </c>
      <c r="D2922">
        <v>6</v>
      </c>
      <c r="E2922">
        <v>0.1</v>
      </c>
      <c r="F2922">
        <v>0.6</v>
      </c>
      <c r="G2922">
        <v>0.6</v>
      </c>
      <c r="H2922">
        <v>65</v>
      </c>
      <c r="I2922">
        <v>0</v>
      </c>
      <c r="J2922">
        <v>0</v>
      </c>
      <c r="K2922">
        <v>40.1</v>
      </c>
      <c r="L2922" t="s">
        <v>115</v>
      </c>
      <c r="M2922" t="s">
        <v>116</v>
      </c>
    </row>
    <row r="2923" spans="2:13" x14ac:dyDescent="0.2">
      <c r="B2923">
        <v>3118</v>
      </c>
      <c r="C2923">
        <v>1</v>
      </c>
      <c r="D2923">
        <v>7.2</v>
      </c>
      <c r="E2923">
        <v>0.12</v>
      </c>
      <c r="F2923">
        <v>0.6</v>
      </c>
      <c r="G2923">
        <v>0.6</v>
      </c>
      <c r="H2923">
        <v>78</v>
      </c>
      <c r="I2923">
        <v>0</v>
      </c>
      <c r="J2923">
        <v>1</v>
      </c>
      <c r="K2923">
        <v>39.200000000000003</v>
      </c>
      <c r="L2923" t="s">
        <v>117</v>
      </c>
      <c r="M2923" t="s">
        <v>118</v>
      </c>
    </row>
    <row r="2924" spans="2:13" x14ac:dyDescent="0.2">
      <c r="B2924">
        <v>3118</v>
      </c>
      <c r="C2924">
        <v>1</v>
      </c>
      <c r="D2924">
        <v>12.1</v>
      </c>
      <c r="E2924">
        <v>0.2</v>
      </c>
      <c r="F2924">
        <v>0.6</v>
      </c>
      <c r="G2924">
        <v>0.6</v>
      </c>
      <c r="H2924">
        <v>130</v>
      </c>
      <c r="I2924">
        <v>1</v>
      </c>
      <c r="J2924">
        <v>1</v>
      </c>
      <c r="K2924">
        <v>38.799999999999997</v>
      </c>
      <c r="L2924" t="s">
        <v>132</v>
      </c>
      <c r="M2924" t="s">
        <v>116</v>
      </c>
    </row>
    <row r="2925" spans="2:13" x14ac:dyDescent="0.2">
      <c r="B2925">
        <v>3118</v>
      </c>
      <c r="C2925">
        <v>1</v>
      </c>
      <c r="D2925">
        <v>14.2</v>
      </c>
      <c r="E2925">
        <v>0.24</v>
      </c>
      <c r="F2925">
        <v>0.6</v>
      </c>
      <c r="G2925">
        <v>0.6</v>
      </c>
      <c r="H2925">
        <v>153</v>
      </c>
      <c r="I2925">
        <v>3</v>
      </c>
      <c r="J2925">
        <v>2</v>
      </c>
      <c r="K2925">
        <v>38.299999999999997</v>
      </c>
      <c r="L2925" t="s">
        <v>119</v>
      </c>
      <c r="M2925" t="s">
        <v>118</v>
      </c>
    </row>
    <row r="2926" spans="2:13" x14ac:dyDescent="0.2">
      <c r="B2926">
        <v>3118</v>
      </c>
      <c r="C2926">
        <v>1</v>
      </c>
      <c r="D2926">
        <v>18.100000000000001</v>
      </c>
      <c r="E2926">
        <v>0.3</v>
      </c>
      <c r="F2926">
        <v>0.6</v>
      </c>
      <c r="G2926">
        <v>0.6</v>
      </c>
      <c r="H2926">
        <v>195</v>
      </c>
      <c r="I2926">
        <v>4</v>
      </c>
      <c r="J2926">
        <v>2</v>
      </c>
      <c r="K2926">
        <v>55.6</v>
      </c>
      <c r="L2926" t="s">
        <v>121</v>
      </c>
      <c r="M2926" t="s">
        <v>116</v>
      </c>
    </row>
    <row r="2927" spans="2:13" x14ac:dyDescent="0.2">
      <c r="B2927">
        <v>3118</v>
      </c>
      <c r="C2927">
        <v>1</v>
      </c>
      <c r="D2927">
        <v>18.399999999999999</v>
      </c>
      <c r="E2927">
        <v>0.31</v>
      </c>
      <c r="F2927">
        <v>0.6</v>
      </c>
      <c r="G2927">
        <v>0.6</v>
      </c>
      <c r="H2927">
        <v>199</v>
      </c>
      <c r="I2927">
        <v>4</v>
      </c>
      <c r="J2927">
        <v>3</v>
      </c>
      <c r="K2927">
        <v>51.5</v>
      </c>
      <c r="L2927" t="s">
        <v>125</v>
      </c>
      <c r="M2927" t="s">
        <v>118</v>
      </c>
    </row>
    <row r="2928" spans="2:13" x14ac:dyDescent="0.2">
      <c r="B2928">
        <v>3118</v>
      </c>
      <c r="C2928">
        <v>2</v>
      </c>
      <c r="D2928">
        <v>0</v>
      </c>
      <c r="E2928">
        <v>0</v>
      </c>
      <c r="F2928">
        <v>0.6</v>
      </c>
      <c r="G2928">
        <v>0.6</v>
      </c>
      <c r="H2928">
        <v>0</v>
      </c>
      <c r="I2928">
        <v>0</v>
      </c>
      <c r="J2928">
        <v>0</v>
      </c>
      <c r="K2928">
        <v>50</v>
      </c>
      <c r="L2928" t="s">
        <v>113</v>
      </c>
      <c r="M2928" t="s">
        <v>114</v>
      </c>
    </row>
    <row r="2929" spans="2:13" x14ac:dyDescent="0.2">
      <c r="B2929">
        <v>3118</v>
      </c>
      <c r="C2929">
        <v>2</v>
      </c>
      <c r="D2929">
        <v>6</v>
      </c>
      <c r="E2929">
        <v>0.1</v>
      </c>
      <c r="F2929">
        <v>0.6</v>
      </c>
      <c r="G2929">
        <v>0.6</v>
      </c>
      <c r="H2929">
        <v>65</v>
      </c>
      <c r="I2929">
        <v>0</v>
      </c>
      <c r="J2929">
        <v>0</v>
      </c>
      <c r="K2929">
        <v>38</v>
      </c>
      <c r="L2929" t="s">
        <v>115</v>
      </c>
      <c r="M2929" t="s">
        <v>116</v>
      </c>
    </row>
    <row r="2930" spans="2:13" x14ac:dyDescent="0.2">
      <c r="B2930">
        <v>3118</v>
      </c>
      <c r="C2930">
        <v>2</v>
      </c>
      <c r="D2930">
        <v>6.6</v>
      </c>
      <c r="E2930">
        <v>0.11</v>
      </c>
      <c r="F2930">
        <v>0.6</v>
      </c>
      <c r="G2930">
        <v>0.6</v>
      </c>
      <c r="H2930">
        <v>71</v>
      </c>
      <c r="I2930">
        <v>0</v>
      </c>
      <c r="J2930">
        <v>1</v>
      </c>
      <c r="K2930">
        <v>63.6</v>
      </c>
      <c r="L2930" t="s">
        <v>122</v>
      </c>
      <c r="M2930" t="s">
        <v>118</v>
      </c>
    </row>
    <row r="2931" spans="2:13" x14ac:dyDescent="0.2">
      <c r="B2931">
        <v>3118</v>
      </c>
      <c r="C2931">
        <v>2</v>
      </c>
      <c r="D2931">
        <v>12.1</v>
      </c>
      <c r="E2931">
        <v>0.2</v>
      </c>
      <c r="F2931">
        <v>0.6</v>
      </c>
      <c r="G2931">
        <v>0.6</v>
      </c>
      <c r="H2931">
        <v>130</v>
      </c>
      <c r="I2931">
        <v>3</v>
      </c>
      <c r="J2931">
        <v>1</v>
      </c>
      <c r="K2931">
        <v>76.5</v>
      </c>
      <c r="L2931" t="s">
        <v>136</v>
      </c>
      <c r="M2931" t="s">
        <v>116</v>
      </c>
    </row>
    <row r="2932" spans="2:13" x14ac:dyDescent="0.2">
      <c r="B2932">
        <v>3118</v>
      </c>
      <c r="C2932">
        <v>2</v>
      </c>
      <c r="D2932">
        <v>18.100000000000001</v>
      </c>
      <c r="E2932">
        <v>0.3</v>
      </c>
      <c r="F2932">
        <v>0.6</v>
      </c>
      <c r="G2932">
        <v>0.6</v>
      </c>
      <c r="H2932">
        <v>195</v>
      </c>
      <c r="I2932">
        <v>3</v>
      </c>
      <c r="J2932">
        <v>1</v>
      </c>
      <c r="K2932">
        <v>79.099999999999994</v>
      </c>
      <c r="L2932" t="s">
        <v>115</v>
      </c>
      <c r="M2932" t="s">
        <v>116</v>
      </c>
    </row>
    <row r="2933" spans="2:13" x14ac:dyDescent="0.2">
      <c r="B2933">
        <v>3118</v>
      </c>
      <c r="C2933">
        <v>3</v>
      </c>
      <c r="D2933">
        <v>0</v>
      </c>
      <c r="E2933">
        <v>0</v>
      </c>
      <c r="F2933">
        <v>0.6</v>
      </c>
      <c r="G2933">
        <v>0.6</v>
      </c>
      <c r="H2933">
        <v>0</v>
      </c>
      <c r="I2933">
        <v>0</v>
      </c>
      <c r="J2933">
        <v>0</v>
      </c>
      <c r="K2933">
        <v>50</v>
      </c>
      <c r="L2933" t="s">
        <v>113</v>
      </c>
      <c r="M2933" t="s">
        <v>114</v>
      </c>
    </row>
    <row r="2934" spans="2:13" x14ac:dyDescent="0.2">
      <c r="B2934">
        <v>3118</v>
      </c>
      <c r="C2934">
        <v>3</v>
      </c>
      <c r="D2934">
        <v>6</v>
      </c>
      <c r="E2934">
        <v>0.1</v>
      </c>
      <c r="F2934">
        <v>0.6</v>
      </c>
      <c r="G2934">
        <v>0.6</v>
      </c>
      <c r="H2934">
        <v>65</v>
      </c>
      <c r="I2934">
        <v>0</v>
      </c>
      <c r="J2934">
        <v>0</v>
      </c>
      <c r="K2934">
        <v>89.3</v>
      </c>
      <c r="L2934" t="s">
        <v>115</v>
      </c>
      <c r="M2934" t="s">
        <v>116</v>
      </c>
    </row>
    <row r="2935" spans="2:13" x14ac:dyDescent="0.2">
      <c r="B2935">
        <v>3118</v>
      </c>
      <c r="C2935">
        <v>3</v>
      </c>
      <c r="D2935">
        <v>6.6</v>
      </c>
      <c r="E2935">
        <v>0.11</v>
      </c>
      <c r="F2935">
        <v>0.6</v>
      </c>
      <c r="G2935">
        <v>0.6</v>
      </c>
      <c r="H2935">
        <v>71</v>
      </c>
      <c r="I2935">
        <v>1</v>
      </c>
      <c r="J2935">
        <v>1</v>
      </c>
      <c r="K2935">
        <v>64</v>
      </c>
      <c r="L2935" t="s">
        <v>122</v>
      </c>
      <c r="M2935" t="s">
        <v>118</v>
      </c>
    </row>
    <row r="2936" spans="2:13" x14ac:dyDescent="0.2">
      <c r="B2936">
        <v>3118</v>
      </c>
      <c r="C2936">
        <v>3</v>
      </c>
      <c r="D2936">
        <v>12.1</v>
      </c>
      <c r="E2936">
        <v>0.2</v>
      </c>
      <c r="F2936">
        <v>0.6</v>
      </c>
      <c r="G2936">
        <v>0.6</v>
      </c>
      <c r="H2936">
        <v>130</v>
      </c>
      <c r="I2936">
        <v>5</v>
      </c>
      <c r="J2936">
        <v>1</v>
      </c>
      <c r="K2936">
        <v>76.7</v>
      </c>
      <c r="L2936" t="s">
        <v>124</v>
      </c>
      <c r="M2936" t="s">
        <v>116</v>
      </c>
    </row>
    <row r="2937" spans="2:13" x14ac:dyDescent="0.2">
      <c r="B2937">
        <v>3118</v>
      </c>
      <c r="C2937">
        <v>3</v>
      </c>
      <c r="D2937">
        <v>18.100000000000001</v>
      </c>
      <c r="E2937">
        <v>0.3</v>
      </c>
      <c r="F2937">
        <v>0.6</v>
      </c>
      <c r="G2937">
        <v>0.6</v>
      </c>
      <c r="H2937">
        <v>195</v>
      </c>
      <c r="I2937">
        <v>8</v>
      </c>
      <c r="J2937">
        <v>1</v>
      </c>
      <c r="K2937">
        <v>75.900000000000006</v>
      </c>
      <c r="L2937" t="s">
        <v>115</v>
      </c>
      <c r="M2937" t="s">
        <v>116</v>
      </c>
    </row>
    <row r="2938" spans="2:13" x14ac:dyDescent="0.2">
      <c r="B2938">
        <v>3118</v>
      </c>
      <c r="C2938">
        <v>4</v>
      </c>
      <c r="D2938">
        <v>0</v>
      </c>
      <c r="E2938">
        <v>0</v>
      </c>
      <c r="F2938">
        <v>0.6</v>
      </c>
      <c r="G2938">
        <v>0.6</v>
      </c>
      <c r="H2938">
        <v>0</v>
      </c>
      <c r="I2938">
        <v>0</v>
      </c>
      <c r="J2938">
        <v>0</v>
      </c>
      <c r="K2938">
        <v>50</v>
      </c>
      <c r="L2938" t="s">
        <v>113</v>
      </c>
      <c r="M2938" t="s">
        <v>114</v>
      </c>
    </row>
    <row r="2939" spans="2:13" x14ac:dyDescent="0.2">
      <c r="B2939">
        <v>3118</v>
      </c>
      <c r="C2939">
        <v>4</v>
      </c>
      <c r="D2939">
        <v>6</v>
      </c>
      <c r="E2939">
        <v>0.1</v>
      </c>
      <c r="F2939">
        <v>0.6</v>
      </c>
      <c r="G2939">
        <v>0.6</v>
      </c>
      <c r="H2939">
        <v>65</v>
      </c>
      <c r="I2939">
        <v>0</v>
      </c>
      <c r="J2939">
        <v>0</v>
      </c>
      <c r="K2939">
        <v>92.1</v>
      </c>
      <c r="L2939" t="s">
        <v>115</v>
      </c>
      <c r="M2939" t="s">
        <v>116</v>
      </c>
    </row>
    <row r="2940" spans="2:13" x14ac:dyDescent="0.2">
      <c r="B2940">
        <v>3118</v>
      </c>
      <c r="C2940">
        <v>4</v>
      </c>
      <c r="D2940">
        <v>7.4</v>
      </c>
      <c r="E2940">
        <v>0.12</v>
      </c>
      <c r="F2940">
        <v>0.6</v>
      </c>
      <c r="G2940">
        <v>0.6</v>
      </c>
      <c r="H2940">
        <v>80</v>
      </c>
      <c r="I2940">
        <v>1</v>
      </c>
      <c r="J2940">
        <v>1</v>
      </c>
      <c r="K2940">
        <v>66.599999999999994</v>
      </c>
      <c r="L2940" t="s">
        <v>117</v>
      </c>
      <c r="M2940" t="s">
        <v>118</v>
      </c>
    </row>
    <row r="2941" spans="2:13" x14ac:dyDescent="0.2">
      <c r="B2941">
        <v>3118</v>
      </c>
      <c r="C2941">
        <v>4</v>
      </c>
      <c r="D2941">
        <v>12.1</v>
      </c>
      <c r="E2941">
        <v>0.2</v>
      </c>
      <c r="F2941">
        <v>0.6</v>
      </c>
      <c r="G2941">
        <v>0.6</v>
      </c>
      <c r="H2941">
        <v>130</v>
      </c>
      <c r="I2941">
        <v>4</v>
      </c>
      <c r="J2941">
        <v>1</v>
      </c>
      <c r="K2941">
        <v>78.2</v>
      </c>
      <c r="L2941" t="s">
        <v>124</v>
      </c>
      <c r="M2941" t="s">
        <v>116</v>
      </c>
    </row>
    <row r="2942" spans="2:13" x14ac:dyDescent="0.2">
      <c r="B2942">
        <v>3118</v>
      </c>
      <c r="C2942">
        <v>4</v>
      </c>
      <c r="D2942">
        <v>13.3</v>
      </c>
      <c r="E2942">
        <v>0.22</v>
      </c>
      <c r="F2942">
        <v>0.6</v>
      </c>
      <c r="G2942">
        <v>0.6</v>
      </c>
      <c r="H2942">
        <v>144</v>
      </c>
      <c r="I2942">
        <v>7</v>
      </c>
      <c r="J2942">
        <v>2</v>
      </c>
      <c r="K2942">
        <v>74.099999999999994</v>
      </c>
      <c r="L2942" t="s">
        <v>119</v>
      </c>
      <c r="M2942" t="s">
        <v>118</v>
      </c>
    </row>
    <row r="2943" spans="2:13" x14ac:dyDescent="0.2">
      <c r="B2943">
        <v>3118</v>
      </c>
      <c r="C2943">
        <v>4</v>
      </c>
      <c r="D2943">
        <v>18.100000000000001</v>
      </c>
      <c r="E2943">
        <v>0.3</v>
      </c>
      <c r="F2943">
        <v>0.6</v>
      </c>
      <c r="G2943">
        <v>0.6</v>
      </c>
      <c r="H2943">
        <v>195</v>
      </c>
      <c r="I2943">
        <v>10</v>
      </c>
      <c r="J2943">
        <v>2</v>
      </c>
      <c r="K2943">
        <v>73.599999999999994</v>
      </c>
      <c r="L2943" t="s">
        <v>121</v>
      </c>
      <c r="M2943" t="s">
        <v>116</v>
      </c>
    </row>
    <row r="2944" spans="2:13" x14ac:dyDescent="0.2">
      <c r="B2944">
        <v>3118</v>
      </c>
      <c r="C2944">
        <v>5</v>
      </c>
      <c r="D2944">
        <v>0</v>
      </c>
      <c r="E2944">
        <v>0</v>
      </c>
      <c r="F2944">
        <v>0.6</v>
      </c>
      <c r="G2944">
        <v>0.6</v>
      </c>
      <c r="H2944">
        <v>0</v>
      </c>
      <c r="I2944">
        <v>0</v>
      </c>
      <c r="J2944">
        <v>0</v>
      </c>
      <c r="K2944">
        <v>50</v>
      </c>
      <c r="L2944" t="s">
        <v>113</v>
      </c>
      <c r="M2944" t="s">
        <v>114</v>
      </c>
    </row>
    <row r="2945" spans="2:13" x14ac:dyDescent="0.2">
      <c r="B2945">
        <v>3118</v>
      </c>
      <c r="C2945">
        <v>5</v>
      </c>
      <c r="D2945">
        <v>6</v>
      </c>
      <c r="E2945">
        <v>0.1</v>
      </c>
      <c r="F2945">
        <v>0.6</v>
      </c>
      <c r="G2945">
        <v>0.6</v>
      </c>
      <c r="H2945">
        <v>65</v>
      </c>
      <c r="I2945">
        <v>0</v>
      </c>
      <c r="J2945">
        <v>0</v>
      </c>
      <c r="K2945">
        <v>40.1</v>
      </c>
      <c r="L2945" t="s">
        <v>115</v>
      </c>
      <c r="M2945" t="s">
        <v>116</v>
      </c>
    </row>
    <row r="2946" spans="2:13" x14ac:dyDescent="0.2">
      <c r="B2946">
        <v>3118</v>
      </c>
      <c r="C2946">
        <v>5</v>
      </c>
      <c r="D2946">
        <v>9.8000000000000007</v>
      </c>
      <c r="E2946">
        <v>0.16</v>
      </c>
      <c r="F2946">
        <v>0.6</v>
      </c>
      <c r="G2946">
        <v>0.6</v>
      </c>
      <c r="H2946">
        <v>105</v>
      </c>
      <c r="I2946">
        <v>7</v>
      </c>
      <c r="J2946">
        <v>1</v>
      </c>
      <c r="K2946">
        <v>77.2</v>
      </c>
      <c r="L2946" t="s">
        <v>117</v>
      </c>
      <c r="M2946" t="s">
        <v>118</v>
      </c>
    </row>
    <row r="2947" spans="2:13" x14ac:dyDescent="0.2">
      <c r="B2947">
        <v>3118</v>
      </c>
      <c r="C2947">
        <v>5</v>
      </c>
      <c r="D2947">
        <v>12.1</v>
      </c>
      <c r="E2947">
        <v>0.2</v>
      </c>
      <c r="F2947">
        <v>0.6</v>
      </c>
      <c r="G2947">
        <v>0.6</v>
      </c>
      <c r="H2947">
        <v>130</v>
      </c>
      <c r="I2947">
        <v>9</v>
      </c>
      <c r="J2947">
        <v>1</v>
      </c>
      <c r="K2947">
        <v>78.400000000000006</v>
      </c>
      <c r="L2947" t="s">
        <v>136</v>
      </c>
      <c r="M2947" t="s">
        <v>116</v>
      </c>
    </row>
    <row r="2948" spans="2:13" x14ac:dyDescent="0.2">
      <c r="B2948">
        <v>3118</v>
      </c>
      <c r="C2948">
        <v>5</v>
      </c>
      <c r="D2948">
        <v>13.9</v>
      </c>
      <c r="E2948">
        <v>0.23</v>
      </c>
      <c r="F2948">
        <v>0.6</v>
      </c>
      <c r="G2948">
        <v>0.6</v>
      </c>
      <c r="H2948">
        <v>150</v>
      </c>
      <c r="I2948">
        <v>10</v>
      </c>
      <c r="J2948">
        <v>2</v>
      </c>
      <c r="K2948">
        <v>70.599999999999994</v>
      </c>
      <c r="L2948" t="s">
        <v>119</v>
      </c>
      <c r="M2948" t="s">
        <v>118</v>
      </c>
    </row>
    <row r="2949" spans="2:13" x14ac:dyDescent="0.2">
      <c r="B2949">
        <v>3118</v>
      </c>
      <c r="C2949">
        <v>5</v>
      </c>
      <c r="D2949">
        <v>18.100000000000001</v>
      </c>
      <c r="E2949">
        <v>0.3</v>
      </c>
      <c r="F2949">
        <v>0.6</v>
      </c>
      <c r="G2949">
        <v>0.6</v>
      </c>
      <c r="H2949">
        <v>195</v>
      </c>
      <c r="I2949">
        <v>11</v>
      </c>
      <c r="J2949">
        <v>2</v>
      </c>
      <c r="K2949">
        <v>70.900000000000006</v>
      </c>
      <c r="L2949" t="s">
        <v>132</v>
      </c>
      <c r="M2949" t="s">
        <v>116</v>
      </c>
    </row>
    <row r="2950" spans="2:13" x14ac:dyDescent="0.2">
      <c r="B2950">
        <v>3119</v>
      </c>
      <c r="C2950">
        <v>1</v>
      </c>
      <c r="D2950">
        <v>0</v>
      </c>
      <c r="E2950">
        <v>0</v>
      </c>
      <c r="F2950">
        <v>0.6</v>
      </c>
      <c r="G2950">
        <v>0.6</v>
      </c>
      <c r="H2950">
        <v>0</v>
      </c>
      <c r="I2950">
        <v>0</v>
      </c>
      <c r="J2950">
        <v>0</v>
      </c>
      <c r="K2950">
        <v>50</v>
      </c>
      <c r="L2950" t="s">
        <v>113</v>
      </c>
      <c r="M2950" t="s">
        <v>114</v>
      </c>
    </row>
    <row r="2951" spans="2:13" x14ac:dyDescent="0.2">
      <c r="B2951">
        <v>3119</v>
      </c>
      <c r="C2951">
        <v>1</v>
      </c>
      <c r="D2951">
        <v>6</v>
      </c>
      <c r="E2951">
        <v>0.1</v>
      </c>
      <c r="F2951">
        <v>0.6</v>
      </c>
      <c r="G2951">
        <v>0.6</v>
      </c>
      <c r="H2951">
        <v>65</v>
      </c>
      <c r="I2951">
        <v>0</v>
      </c>
      <c r="J2951">
        <v>0</v>
      </c>
      <c r="K2951">
        <v>90.1</v>
      </c>
      <c r="L2951" t="s">
        <v>115</v>
      </c>
      <c r="M2951" t="s">
        <v>116</v>
      </c>
    </row>
    <row r="2952" spans="2:13" x14ac:dyDescent="0.2">
      <c r="B2952">
        <v>3119</v>
      </c>
      <c r="C2952">
        <v>1</v>
      </c>
      <c r="D2952">
        <v>12.1</v>
      </c>
      <c r="E2952">
        <v>0.2</v>
      </c>
      <c r="F2952">
        <v>0.6</v>
      </c>
      <c r="G2952">
        <v>0.7</v>
      </c>
      <c r="H2952">
        <v>130</v>
      </c>
      <c r="I2952">
        <v>2</v>
      </c>
      <c r="J2952">
        <v>0</v>
      </c>
      <c r="K2952">
        <v>89.8</v>
      </c>
      <c r="L2952" t="s">
        <v>128</v>
      </c>
      <c r="M2952" t="s">
        <v>116</v>
      </c>
    </row>
    <row r="2953" spans="2:13" x14ac:dyDescent="0.2">
      <c r="B2953">
        <v>3119</v>
      </c>
      <c r="C2953">
        <v>2</v>
      </c>
      <c r="D2953">
        <v>0</v>
      </c>
      <c r="E2953">
        <v>0</v>
      </c>
      <c r="F2953">
        <v>0.6</v>
      </c>
      <c r="G2953">
        <v>0.6</v>
      </c>
      <c r="H2953">
        <v>0</v>
      </c>
      <c r="I2953">
        <v>0</v>
      </c>
      <c r="J2953">
        <v>0</v>
      </c>
      <c r="K2953">
        <v>50</v>
      </c>
      <c r="L2953" t="s">
        <v>113</v>
      </c>
      <c r="M2953" t="s">
        <v>114</v>
      </c>
    </row>
    <row r="2954" spans="2:13" x14ac:dyDescent="0.2">
      <c r="B2954">
        <v>3119</v>
      </c>
      <c r="C2954">
        <v>2</v>
      </c>
      <c r="D2954">
        <v>6</v>
      </c>
      <c r="E2954">
        <v>0.1</v>
      </c>
      <c r="F2954">
        <v>0.6</v>
      </c>
      <c r="G2954">
        <v>0.6</v>
      </c>
      <c r="H2954">
        <v>65</v>
      </c>
      <c r="I2954">
        <v>0</v>
      </c>
      <c r="J2954">
        <v>0</v>
      </c>
      <c r="K2954">
        <v>43.4</v>
      </c>
      <c r="L2954" t="s">
        <v>115</v>
      </c>
      <c r="M2954" t="s">
        <v>116</v>
      </c>
    </row>
    <row r="2955" spans="2:13" x14ac:dyDescent="0.2">
      <c r="B2955">
        <v>3119</v>
      </c>
      <c r="C2955">
        <v>2</v>
      </c>
      <c r="D2955">
        <v>6.1</v>
      </c>
      <c r="E2955">
        <v>0.1</v>
      </c>
      <c r="F2955">
        <v>0.6</v>
      </c>
      <c r="G2955">
        <v>0.6</v>
      </c>
      <c r="H2955">
        <v>66</v>
      </c>
      <c r="I2955">
        <v>0</v>
      </c>
      <c r="J2955">
        <v>1</v>
      </c>
      <c r="K2955">
        <v>43.5</v>
      </c>
      <c r="L2955" t="s">
        <v>117</v>
      </c>
      <c r="M2955" t="s">
        <v>118</v>
      </c>
    </row>
    <row r="2956" spans="2:13" x14ac:dyDescent="0.2">
      <c r="B2956">
        <v>3119</v>
      </c>
      <c r="C2956">
        <v>2</v>
      </c>
      <c r="D2956">
        <v>12.1</v>
      </c>
      <c r="E2956">
        <v>0.2</v>
      </c>
      <c r="F2956">
        <v>0.6</v>
      </c>
      <c r="G2956">
        <v>0.6</v>
      </c>
      <c r="H2956">
        <v>130</v>
      </c>
      <c r="I2956">
        <v>2</v>
      </c>
      <c r="J2956">
        <v>1</v>
      </c>
      <c r="K2956">
        <v>77.5</v>
      </c>
      <c r="L2956" t="s">
        <v>124</v>
      </c>
      <c r="M2956" t="s">
        <v>116</v>
      </c>
    </row>
    <row r="2957" spans="2:13" x14ac:dyDescent="0.2">
      <c r="B2957">
        <v>3119</v>
      </c>
      <c r="C2957">
        <v>2</v>
      </c>
      <c r="D2957">
        <v>18.100000000000001</v>
      </c>
      <c r="E2957">
        <v>0.3</v>
      </c>
      <c r="F2957">
        <v>0.6</v>
      </c>
      <c r="G2957">
        <v>0.6</v>
      </c>
      <c r="H2957">
        <v>195</v>
      </c>
      <c r="I2957">
        <v>4</v>
      </c>
      <c r="J2957">
        <v>1</v>
      </c>
      <c r="K2957">
        <v>76.3</v>
      </c>
      <c r="L2957" t="s">
        <v>115</v>
      </c>
      <c r="M2957" t="s">
        <v>116</v>
      </c>
    </row>
    <row r="2958" spans="2:13" x14ac:dyDescent="0.2">
      <c r="B2958">
        <v>3119</v>
      </c>
      <c r="C2958">
        <v>3</v>
      </c>
      <c r="D2958">
        <v>0</v>
      </c>
      <c r="E2958">
        <v>0</v>
      </c>
      <c r="F2958">
        <v>0.6</v>
      </c>
      <c r="G2958">
        <v>0.6</v>
      </c>
      <c r="H2958">
        <v>0</v>
      </c>
      <c r="I2958">
        <v>0</v>
      </c>
      <c r="J2958">
        <v>0</v>
      </c>
      <c r="K2958">
        <v>50</v>
      </c>
      <c r="L2958" t="s">
        <v>113</v>
      </c>
      <c r="M2958" t="s">
        <v>114</v>
      </c>
    </row>
    <row r="2959" spans="2:13" x14ac:dyDescent="0.2">
      <c r="B2959">
        <v>3119</v>
      </c>
      <c r="C2959">
        <v>3</v>
      </c>
      <c r="D2959">
        <v>5.8</v>
      </c>
      <c r="E2959">
        <v>0.1</v>
      </c>
      <c r="F2959">
        <v>0.6</v>
      </c>
      <c r="G2959">
        <v>0.6</v>
      </c>
      <c r="H2959">
        <v>63</v>
      </c>
      <c r="I2959">
        <v>0</v>
      </c>
      <c r="J2959">
        <v>1</v>
      </c>
      <c r="K2959">
        <v>44.8</v>
      </c>
      <c r="L2959" t="s">
        <v>122</v>
      </c>
      <c r="M2959" t="s">
        <v>118</v>
      </c>
    </row>
    <row r="2960" spans="2:13" x14ac:dyDescent="0.2">
      <c r="B2960">
        <v>3119</v>
      </c>
      <c r="C2960">
        <v>3</v>
      </c>
      <c r="D2960">
        <v>6</v>
      </c>
      <c r="E2960">
        <v>0.1</v>
      </c>
      <c r="F2960">
        <v>0.6</v>
      </c>
      <c r="G2960">
        <v>0.6</v>
      </c>
      <c r="H2960">
        <v>65</v>
      </c>
      <c r="I2960">
        <v>1</v>
      </c>
      <c r="J2960">
        <v>1</v>
      </c>
      <c r="K2960">
        <v>45</v>
      </c>
      <c r="L2960" t="s">
        <v>132</v>
      </c>
      <c r="M2960" t="s">
        <v>116</v>
      </c>
    </row>
    <row r="2961" spans="2:13" x14ac:dyDescent="0.2">
      <c r="B2961">
        <v>3119</v>
      </c>
      <c r="C2961">
        <v>3</v>
      </c>
      <c r="D2961">
        <v>12.1</v>
      </c>
      <c r="E2961">
        <v>0.2</v>
      </c>
      <c r="F2961">
        <v>0.6</v>
      </c>
      <c r="G2961">
        <v>0.7</v>
      </c>
      <c r="H2961">
        <v>130</v>
      </c>
      <c r="I2961">
        <v>7</v>
      </c>
      <c r="J2961">
        <v>1</v>
      </c>
      <c r="K2961">
        <v>76.7</v>
      </c>
      <c r="L2961" t="s">
        <v>128</v>
      </c>
      <c r="M2961" t="s">
        <v>116</v>
      </c>
    </row>
    <row r="2962" spans="2:13" x14ac:dyDescent="0.2">
      <c r="B2962">
        <v>3119</v>
      </c>
      <c r="C2962">
        <v>3</v>
      </c>
      <c r="D2962">
        <v>14.4</v>
      </c>
      <c r="E2962">
        <v>0.24</v>
      </c>
      <c r="F2962">
        <v>0.7</v>
      </c>
      <c r="G2962">
        <v>0.7</v>
      </c>
      <c r="H2962">
        <v>160</v>
      </c>
      <c r="I2962">
        <v>7</v>
      </c>
      <c r="J2962">
        <v>2</v>
      </c>
      <c r="K2962">
        <v>72.5</v>
      </c>
      <c r="L2962" t="s">
        <v>133</v>
      </c>
      <c r="M2962" t="s">
        <v>118</v>
      </c>
    </row>
    <row r="2963" spans="2:13" x14ac:dyDescent="0.2">
      <c r="B2963">
        <v>3119</v>
      </c>
      <c r="C2963">
        <v>4</v>
      </c>
      <c r="D2963">
        <v>0</v>
      </c>
      <c r="E2963">
        <v>0</v>
      </c>
      <c r="F2963">
        <v>0.6</v>
      </c>
      <c r="G2963">
        <v>0.6</v>
      </c>
      <c r="H2963">
        <v>0</v>
      </c>
      <c r="I2963">
        <v>0</v>
      </c>
      <c r="J2963">
        <v>0</v>
      </c>
      <c r="K2963">
        <v>50</v>
      </c>
      <c r="L2963" t="s">
        <v>113</v>
      </c>
      <c r="M2963" t="s">
        <v>114</v>
      </c>
    </row>
    <row r="2964" spans="2:13" x14ac:dyDescent="0.2">
      <c r="B2964">
        <v>3119</v>
      </c>
      <c r="C2964">
        <v>4</v>
      </c>
      <c r="D2964">
        <v>6</v>
      </c>
      <c r="E2964">
        <v>0.1</v>
      </c>
      <c r="F2964">
        <v>0.6</v>
      </c>
      <c r="G2964">
        <v>0.6</v>
      </c>
      <c r="H2964">
        <v>65</v>
      </c>
      <c r="I2964">
        <v>1</v>
      </c>
      <c r="J2964">
        <v>0</v>
      </c>
      <c r="K2964">
        <v>43.4</v>
      </c>
      <c r="L2964" t="s">
        <v>115</v>
      </c>
      <c r="M2964" t="s">
        <v>116</v>
      </c>
    </row>
    <row r="2965" spans="2:13" x14ac:dyDescent="0.2">
      <c r="B2965">
        <v>3119</v>
      </c>
      <c r="C2965">
        <v>4</v>
      </c>
      <c r="D2965">
        <v>10.8</v>
      </c>
      <c r="E2965">
        <v>0.18</v>
      </c>
      <c r="F2965">
        <v>0.6</v>
      </c>
      <c r="G2965">
        <v>0.6</v>
      </c>
      <c r="H2965">
        <v>117</v>
      </c>
      <c r="I2965">
        <v>2</v>
      </c>
      <c r="J2965">
        <v>1</v>
      </c>
      <c r="K2965">
        <v>44</v>
      </c>
      <c r="L2965" t="s">
        <v>117</v>
      </c>
      <c r="M2965" t="s">
        <v>118</v>
      </c>
    </row>
    <row r="2966" spans="2:13" x14ac:dyDescent="0.2">
      <c r="B2966">
        <v>3119</v>
      </c>
      <c r="C2966">
        <v>4</v>
      </c>
      <c r="D2966">
        <v>12.1</v>
      </c>
      <c r="E2966">
        <v>0.2</v>
      </c>
      <c r="F2966">
        <v>0.6</v>
      </c>
      <c r="G2966">
        <v>0.6</v>
      </c>
      <c r="H2966">
        <v>130</v>
      </c>
      <c r="I2966">
        <v>3</v>
      </c>
      <c r="J2966">
        <v>1</v>
      </c>
      <c r="K2966">
        <v>43.8</v>
      </c>
      <c r="L2966" t="s">
        <v>132</v>
      </c>
      <c r="M2966" t="s">
        <v>116</v>
      </c>
    </row>
    <row r="2967" spans="2:13" x14ac:dyDescent="0.2">
      <c r="B2967">
        <v>3119</v>
      </c>
      <c r="C2967">
        <v>4</v>
      </c>
      <c r="D2967">
        <v>18.100000000000001</v>
      </c>
      <c r="E2967">
        <v>0.3</v>
      </c>
      <c r="F2967">
        <v>0.6</v>
      </c>
      <c r="G2967">
        <v>0.7</v>
      </c>
      <c r="H2967">
        <v>195</v>
      </c>
      <c r="I2967">
        <v>7</v>
      </c>
      <c r="J2967">
        <v>1</v>
      </c>
      <c r="K2967">
        <v>76.7</v>
      </c>
      <c r="L2967" t="s">
        <v>128</v>
      </c>
      <c r="M2967" t="s">
        <v>116</v>
      </c>
    </row>
    <row r="2968" spans="2:13" x14ac:dyDescent="0.2">
      <c r="B2968">
        <v>3119</v>
      </c>
      <c r="C2968">
        <v>5</v>
      </c>
      <c r="D2968">
        <v>0</v>
      </c>
      <c r="E2968">
        <v>0</v>
      </c>
      <c r="F2968">
        <v>0.6</v>
      </c>
      <c r="G2968">
        <v>0.6</v>
      </c>
      <c r="H2968">
        <v>0</v>
      </c>
      <c r="I2968">
        <v>0</v>
      </c>
      <c r="J2968">
        <v>0</v>
      </c>
      <c r="K2968">
        <v>50</v>
      </c>
      <c r="L2968" t="s">
        <v>113</v>
      </c>
      <c r="M2968" t="s">
        <v>114</v>
      </c>
    </row>
    <row r="2969" spans="2:13" x14ac:dyDescent="0.2">
      <c r="B2969">
        <v>3119</v>
      </c>
      <c r="C2969">
        <v>5</v>
      </c>
      <c r="D2969">
        <v>6</v>
      </c>
      <c r="E2969">
        <v>0.1</v>
      </c>
      <c r="F2969">
        <v>0.6</v>
      </c>
      <c r="G2969">
        <v>0.6</v>
      </c>
      <c r="H2969">
        <v>65</v>
      </c>
      <c r="I2969">
        <v>0</v>
      </c>
      <c r="J2969">
        <v>0</v>
      </c>
      <c r="K2969">
        <v>43</v>
      </c>
      <c r="L2969" t="s">
        <v>115</v>
      </c>
      <c r="M2969" t="s">
        <v>116</v>
      </c>
    </row>
    <row r="2970" spans="2:13" x14ac:dyDescent="0.2">
      <c r="B2970">
        <v>3119</v>
      </c>
      <c r="C2970">
        <v>5</v>
      </c>
      <c r="D2970">
        <v>12.1</v>
      </c>
      <c r="E2970">
        <v>0.2</v>
      </c>
      <c r="F2970">
        <v>0.6</v>
      </c>
      <c r="G2970">
        <v>0.7</v>
      </c>
      <c r="H2970">
        <v>130</v>
      </c>
      <c r="I2970">
        <v>4</v>
      </c>
      <c r="J2970">
        <v>0</v>
      </c>
      <c r="K2970">
        <v>94</v>
      </c>
      <c r="L2970" t="s">
        <v>128</v>
      </c>
      <c r="M2970" t="s">
        <v>116</v>
      </c>
    </row>
    <row r="2971" spans="2:13" x14ac:dyDescent="0.2">
      <c r="B2971">
        <v>3119</v>
      </c>
      <c r="C2971">
        <v>5</v>
      </c>
      <c r="D2971">
        <v>15.2</v>
      </c>
      <c r="E2971">
        <v>0.25</v>
      </c>
      <c r="F2971">
        <v>0.7</v>
      </c>
      <c r="G2971">
        <v>0.7</v>
      </c>
      <c r="H2971">
        <v>170</v>
      </c>
      <c r="I2971">
        <v>4</v>
      </c>
      <c r="J2971">
        <v>1</v>
      </c>
      <c r="K2971">
        <v>85.1</v>
      </c>
      <c r="L2971" t="s">
        <v>117</v>
      </c>
      <c r="M2971" t="s">
        <v>118</v>
      </c>
    </row>
    <row r="2972" spans="2:13" x14ac:dyDescent="0.2">
      <c r="B2972">
        <v>3119</v>
      </c>
      <c r="C2972">
        <v>5</v>
      </c>
      <c r="D2972">
        <v>16.100000000000001</v>
      </c>
      <c r="E2972">
        <v>0.27</v>
      </c>
      <c r="F2972">
        <v>0.7</v>
      </c>
      <c r="G2972">
        <v>0.7</v>
      </c>
      <c r="H2972">
        <v>181</v>
      </c>
      <c r="I2972">
        <v>4</v>
      </c>
      <c r="J2972">
        <v>2</v>
      </c>
      <c r="K2972">
        <v>79.3</v>
      </c>
      <c r="L2972" t="s">
        <v>119</v>
      </c>
      <c r="M2972" t="s">
        <v>118</v>
      </c>
    </row>
    <row r="2973" spans="2:13" x14ac:dyDescent="0.2">
      <c r="B2973">
        <v>3120</v>
      </c>
      <c r="C2973">
        <v>1</v>
      </c>
      <c r="D2973">
        <v>0</v>
      </c>
      <c r="E2973">
        <v>0</v>
      </c>
      <c r="F2973">
        <v>0.6</v>
      </c>
      <c r="G2973">
        <v>0.6</v>
      </c>
      <c r="H2973">
        <v>0</v>
      </c>
      <c r="I2973">
        <v>0</v>
      </c>
      <c r="J2973">
        <v>0</v>
      </c>
      <c r="K2973">
        <v>50</v>
      </c>
      <c r="L2973" t="s">
        <v>113</v>
      </c>
      <c r="M2973" t="s">
        <v>114</v>
      </c>
    </row>
    <row r="2974" spans="2:13" x14ac:dyDescent="0.2">
      <c r="B2974">
        <v>3120</v>
      </c>
      <c r="C2974">
        <v>1</v>
      </c>
      <c r="D2974">
        <v>6</v>
      </c>
      <c r="E2974">
        <v>0.1</v>
      </c>
      <c r="F2974">
        <v>0.6</v>
      </c>
      <c r="G2974">
        <v>0.6</v>
      </c>
      <c r="H2974">
        <v>65</v>
      </c>
      <c r="I2974">
        <v>1</v>
      </c>
      <c r="J2974">
        <v>0</v>
      </c>
      <c r="K2974">
        <v>34.299999999999997</v>
      </c>
      <c r="L2974" t="s">
        <v>115</v>
      </c>
      <c r="M2974" t="s">
        <v>116</v>
      </c>
    </row>
    <row r="2975" spans="2:13" x14ac:dyDescent="0.2">
      <c r="B2975">
        <v>3120</v>
      </c>
      <c r="C2975">
        <v>1</v>
      </c>
      <c r="D2975">
        <v>6.7</v>
      </c>
      <c r="E2975">
        <v>0.11</v>
      </c>
      <c r="F2975">
        <v>0.6</v>
      </c>
      <c r="G2975">
        <v>0.6</v>
      </c>
      <c r="H2975">
        <v>73</v>
      </c>
      <c r="I2975">
        <v>1</v>
      </c>
      <c r="J2975">
        <v>1</v>
      </c>
      <c r="K2975">
        <v>34.799999999999997</v>
      </c>
      <c r="L2975" t="s">
        <v>117</v>
      </c>
      <c r="M2975" t="s">
        <v>118</v>
      </c>
    </row>
    <row r="2976" spans="2:13" x14ac:dyDescent="0.2">
      <c r="B2976">
        <v>3120</v>
      </c>
      <c r="C2976">
        <v>1</v>
      </c>
      <c r="D2976">
        <v>9</v>
      </c>
      <c r="E2976">
        <v>0.15</v>
      </c>
      <c r="F2976">
        <v>0.6</v>
      </c>
      <c r="G2976">
        <v>0.6</v>
      </c>
      <c r="H2976">
        <v>98</v>
      </c>
      <c r="I2976">
        <v>2</v>
      </c>
      <c r="J2976">
        <v>2</v>
      </c>
      <c r="K2976">
        <v>33.4</v>
      </c>
      <c r="L2976" t="s">
        <v>119</v>
      </c>
      <c r="M2976" t="s">
        <v>118</v>
      </c>
    </row>
    <row r="2977" spans="2:13" x14ac:dyDescent="0.2">
      <c r="B2977">
        <v>3120</v>
      </c>
      <c r="C2977">
        <v>1</v>
      </c>
      <c r="D2977">
        <v>12.1</v>
      </c>
      <c r="E2977">
        <v>0.2</v>
      </c>
      <c r="F2977">
        <v>0.6</v>
      </c>
      <c r="G2977">
        <v>0.45</v>
      </c>
      <c r="H2977">
        <v>130</v>
      </c>
      <c r="I2977">
        <v>3</v>
      </c>
      <c r="J2977">
        <v>2</v>
      </c>
      <c r="K2977">
        <v>51.3</v>
      </c>
      <c r="L2977" t="s">
        <v>120</v>
      </c>
      <c r="M2977" t="s">
        <v>116</v>
      </c>
    </row>
    <row r="2978" spans="2:13" x14ac:dyDescent="0.2">
      <c r="B2978">
        <v>3120</v>
      </c>
      <c r="C2978">
        <v>1</v>
      </c>
      <c r="D2978">
        <v>17.899999999999999</v>
      </c>
      <c r="E2978">
        <v>0.3</v>
      </c>
      <c r="F2978">
        <v>0.45</v>
      </c>
      <c r="G2978">
        <v>0.45</v>
      </c>
      <c r="H2978">
        <v>177</v>
      </c>
      <c r="I2978">
        <v>3</v>
      </c>
      <c r="J2978">
        <v>3</v>
      </c>
      <c r="K2978">
        <v>60.9</v>
      </c>
      <c r="L2978" t="s">
        <v>125</v>
      </c>
      <c r="M2978" t="s">
        <v>118</v>
      </c>
    </row>
    <row r="2979" spans="2:13" x14ac:dyDescent="0.2">
      <c r="B2979">
        <v>3120</v>
      </c>
      <c r="C2979">
        <v>1</v>
      </c>
      <c r="D2979">
        <v>18.100000000000001</v>
      </c>
      <c r="E2979">
        <v>0.3</v>
      </c>
      <c r="F2979">
        <v>0.45</v>
      </c>
      <c r="G2979">
        <v>0.45</v>
      </c>
      <c r="H2979">
        <v>179</v>
      </c>
      <c r="I2979">
        <v>3</v>
      </c>
      <c r="J2979">
        <v>3</v>
      </c>
      <c r="K2979">
        <v>61</v>
      </c>
      <c r="L2979" t="s">
        <v>124</v>
      </c>
      <c r="M2979" t="s">
        <v>116</v>
      </c>
    </row>
    <row r="2980" spans="2:13" x14ac:dyDescent="0.2">
      <c r="B2980">
        <v>3120</v>
      </c>
      <c r="C2980">
        <v>6</v>
      </c>
      <c r="D2980">
        <v>0</v>
      </c>
      <c r="E2980">
        <v>0</v>
      </c>
      <c r="F2980">
        <v>0.6</v>
      </c>
      <c r="G2980">
        <v>0.6</v>
      </c>
      <c r="H2980">
        <v>0</v>
      </c>
      <c r="I2980">
        <v>0</v>
      </c>
      <c r="J2980">
        <v>0</v>
      </c>
      <c r="K2980">
        <v>50</v>
      </c>
      <c r="L2980" t="s">
        <v>113</v>
      </c>
      <c r="M2980" t="s">
        <v>114</v>
      </c>
    </row>
    <row r="2981" spans="2:13" x14ac:dyDescent="0.2">
      <c r="B2981">
        <v>3120</v>
      </c>
      <c r="C2981">
        <v>6</v>
      </c>
      <c r="D2981">
        <v>6</v>
      </c>
      <c r="E2981">
        <v>0.1</v>
      </c>
      <c r="F2981">
        <v>0.6</v>
      </c>
      <c r="G2981">
        <v>0.6</v>
      </c>
      <c r="H2981">
        <v>65</v>
      </c>
      <c r="I2981">
        <v>0</v>
      </c>
      <c r="J2981">
        <v>0</v>
      </c>
      <c r="K2981">
        <v>36.799999999999997</v>
      </c>
      <c r="L2981" t="s">
        <v>115</v>
      </c>
      <c r="M2981" t="s">
        <v>116</v>
      </c>
    </row>
    <row r="2982" spans="2:13" x14ac:dyDescent="0.2">
      <c r="B2982">
        <v>3120</v>
      </c>
      <c r="C2982">
        <v>6</v>
      </c>
      <c r="D2982">
        <v>7.1</v>
      </c>
      <c r="E2982">
        <v>0.12</v>
      </c>
      <c r="F2982">
        <v>0.6</v>
      </c>
      <c r="G2982">
        <v>0.6</v>
      </c>
      <c r="H2982">
        <v>77</v>
      </c>
      <c r="I2982">
        <v>1</v>
      </c>
      <c r="J2982">
        <v>1</v>
      </c>
      <c r="K2982">
        <v>36.299999999999997</v>
      </c>
      <c r="L2982" t="s">
        <v>122</v>
      </c>
      <c r="M2982" t="s">
        <v>118</v>
      </c>
    </row>
    <row r="2983" spans="2:13" x14ac:dyDescent="0.2">
      <c r="B2983">
        <v>3120</v>
      </c>
      <c r="C2983">
        <v>6</v>
      </c>
      <c r="D2983">
        <v>12.1</v>
      </c>
      <c r="E2983">
        <v>0.2</v>
      </c>
      <c r="F2983">
        <v>0.6</v>
      </c>
      <c r="G2983">
        <v>0.6</v>
      </c>
      <c r="H2983">
        <v>130</v>
      </c>
      <c r="I2983">
        <v>4</v>
      </c>
      <c r="J2983">
        <v>1</v>
      </c>
      <c r="K2983">
        <v>35.5</v>
      </c>
      <c r="L2983" t="s">
        <v>132</v>
      </c>
      <c r="M2983" t="s">
        <v>116</v>
      </c>
    </row>
    <row r="2984" spans="2:13" x14ac:dyDescent="0.2">
      <c r="B2984">
        <v>3120</v>
      </c>
      <c r="C2984">
        <v>6</v>
      </c>
      <c r="D2984">
        <v>15.1</v>
      </c>
      <c r="E2984">
        <v>0.25</v>
      </c>
      <c r="F2984">
        <v>0.6</v>
      </c>
      <c r="G2984">
        <v>0.6</v>
      </c>
      <c r="H2984">
        <v>163</v>
      </c>
      <c r="I2984">
        <v>6</v>
      </c>
      <c r="J2984">
        <v>2</v>
      </c>
      <c r="K2984">
        <v>52.9</v>
      </c>
      <c r="L2984" t="s">
        <v>119</v>
      </c>
      <c r="M2984" t="s">
        <v>118</v>
      </c>
    </row>
    <row r="2985" spans="2:13" x14ac:dyDescent="0.2">
      <c r="B2985">
        <v>3120</v>
      </c>
      <c r="C2985">
        <v>6</v>
      </c>
      <c r="D2985">
        <v>15.2</v>
      </c>
      <c r="E2985">
        <v>0.25</v>
      </c>
      <c r="F2985">
        <v>0.6</v>
      </c>
      <c r="G2985">
        <v>0.6</v>
      </c>
      <c r="H2985">
        <v>164</v>
      </c>
      <c r="I2985">
        <v>6</v>
      </c>
      <c r="J2985">
        <v>3</v>
      </c>
      <c r="K2985">
        <v>48.8</v>
      </c>
      <c r="L2985" t="s">
        <v>125</v>
      </c>
      <c r="M2985" t="s">
        <v>118</v>
      </c>
    </row>
    <row r="2986" spans="2:13" x14ac:dyDescent="0.2">
      <c r="B2986">
        <v>3120</v>
      </c>
      <c r="C2986">
        <v>6</v>
      </c>
      <c r="D2986">
        <v>18.100000000000001</v>
      </c>
      <c r="E2986">
        <v>0.3</v>
      </c>
      <c r="F2986">
        <v>0.6</v>
      </c>
      <c r="G2986">
        <v>0.45</v>
      </c>
      <c r="H2986">
        <v>195</v>
      </c>
      <c r="I2986">
        <v>6</v>
      </c>
      <c r="J2986">
        <v>3</v>
      </c>
      <c r="K2986">
        <v>48.4</v>
      </c>
      <c r="L2986" t="s">
        <v>120</v>
      </c>
      <c r="M2986" t="s">
        <v>116</v>
      </c>
    </row>
  </sheetData>
  <autoFilter ref="B5:M298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46"/>
  <sheetViews>
    <sheetView showGridLines="0" topLeftCell="A18" zoomScaleNormal="100" workbookViewId="0">
      <selection activeCell="B3" sqref="B3"/>
    </sheetView>
  </sheetViews>
  <sheetFormatPr defaultColWidth="8.7421875" defaultRowHeight="15" x14ac:dyDescent="0.2"/>
  <cols>
    <col min="2" max="2" width="52.05859375" customWidth="1"/>
    <col min="3" max="3" width="37.93359375" customWidth="1"/>
    <col min="4" max="4" width="34.03125" customWidth="1"/>
    <col min="5" max="5" width="7.93359375" customWidth="1"/>
    <col min="6" max="6" width="14.9296875" customWidth="1"/>
    <col min="7" max="7" width="16.0078125" customWidth="1"/>
    <col min="8" max="11" width="14.9296875" customWidth="1"/>
  </cols>
  <sheetData>
    <row r="2" spans="2:11" ht="30" customHeight="1" x14ac:dyDescent="0.25">
      <c r="B2" s="8" t="s">
        <v>159</v>
      </c>
    </row>
    <row r="3" spans="2:11" ht="15.75" customHeight="1" x14ac:dyDescent="0.2">
      <c r="B3" s="9" t="s">
        <v>160</v>
      </c>
    </row>
    <row r="5" spans="2:11" x14ac:dyDescent="0.2">
      <c r="B5" s="3" t="s">
        <v>161</v>
      </c>
    </row>
    <row r="6" spans="2:11" x14ac:dyDescent="0.2">
      <c r="B6" s="11" t="s">
        <v>162</v>
      </c>
      <c r="C6" s="11" t="s">
        <v>163</v>
      </c>
      <c r="D6" s="11" t="s">
        <v>164</v>
      </c>
      <c r="E6" s="11" t="s">
        <v>165</v>
      </c>
      <c r="F6" s="11" t="s">
        <v>166</v>
      </c>
      <c r="G6" s="11" t="s">
        <v>167</v>
      </c>
      <c r="H6" s="11" t="s">
        <v>168</v>
      </c>
      <c r="I6" s="11" t="s">
        <v>169</v>
      </c>
      <c r="J6" s="11" t="s">
        <v>170</v>
      </c>
      <c r="K6" s="11" t="s">
        <v>171</v>
      </c>
    </row>
    <row r="7" spans="2:11" x14ac:dyDescent="0.2">
      <c r="B7" t="s">
        <v>34</v>
      </c>
      <c r="C7">
        <f>COUNTIF('Player Register'!$D$6:$D$125,B7)</f>
        <v>38</v>
      </c>
      <c r="D7">
        <f>COUNTIFS('Player Register'!$D$6:$D$125,B7,'Player Register'!$H$6:$H$125,"Yes")</f>
        <v>0</v>
      </c>
      <c r="E7" s="12">
        <f>D7/C7</f>
        <v>0</v>
      </c>
      <c r="F7">
        <f>COUNTIFS('Player Register'!$D$6:$D$125,B7,'Player Register'!$I$6:$I$125,"Yes")</f>
        <v>0</v>
      </c>
      <c r="G7" s="12" t="str">
        <f>IF(D7=0,"—",F7/D7)</f>
        <v>—</v>
      </c>
      <c r="H7">
        <f>COUNTIFS('Player Register'!$D$6:$D$125,B7,'Player Register'!$J$6:$J$125,"Yes")</f>
        <v>0</v>
      </c>
      <c r="I7" s="12">
        <f>H7/C7</f>
        <v>0</v>
      </c>
      <c r="J7">
        <f>C7-H7</f>
        <v>38</v>
      </c>
      <c r="K7" s="12">
        <f>J7/C7</f>
        <v>1</v>
      </c>
    </row>
    <row r="8" spans="2:11" x14ac:dyDescent="0.2">
      <c r="B8" t="s">
        <v>38</v>
      </c>
      <c r="C8">
        <f>COUNTIF('Player Register'!$D$6:$D$125,B8)</f>
        <v>41</v>
      </c>
      <c r="D8">
        <f>COUNTIFS('Player Register'!$D$6:$D$125,B8,'Player Register'!$H$6:$H$125,"Yes")</f>
        <v>7</v>
      </c>
      <c r="E8" s="12">
        <f>D8/C8</f>
        <v>0.17073170731707318</v>
      </c>
      <c r="F8">
        <f>COUNTIFS('Player Register'!$D$6:$D$125,B8,'Player Register'!$I$6:$I$125,"Yes")</f>
        <v>5</v>
      </c>
      <c r="G8" s="12">
        <f>IF(D8=0,"—",F8/D8)</f>
        <v>0.7142857142857143</v>
      </c>
      <c r="H8">
        <f>COUNTIFS('Player Register'!$D$6:$D$125,B8,'Player Register'!$J$6:$J$125,"Yes")</f>
        <v>2</v>
      </c>
      <c r="I8" s="12">
        <f>H8/C8</f>
        <v>4.878048780487805E-2</v>
      </c>
      <c r="J8">
        <f>C8-H8</f>
        <v>39</v>
      </c>
      <c r="K8" s="12">
        <f>J8/C8</f>
        <v>0.95121951219512191</v>
      </c>
    </row>
    <row r="9" spans="2:11" x14ac:dyDescent="0.2">
      <c r="B9" t="s">
        <v>40</v>
      </c>
      <c r="C9">
        <f>COUNTIF('Player Register'!$D$6:$D$125,B9)</f>
        <v>41</v>
      </c>
      <c r="D9">
        <f>COUNTIFS('Player Register'!$D$6:$D$125,B9,'Player Register'!$H$6:$H$125,"Yes")</f>
        <v>16</v>
      </c>
      <c r="E9" s="12">
        <f>D9/C9</f>
        <v>0.3902439024390244</v>
      </c>
      <c r="F9">
        <f>COUNTIFS('Player Register'!$D$6:$D$125,B9,'Player Register'!$I$6:$I$125,"Yes")</f>
        <v>10</v>
      </c>
      <c r="G9" s="12">
        <f>IF(D9=0,"—",F9/D9)</f>
        <v>0.625</v>
      </c>
      <c r="H9">
        <f>COUNTIFS('Player Register'!$D$6:$D$125,B9,'Player Register'!$J$6:$J$125,"Yes")</f>
        <v>6</v>
      </c>
      <c r="I9" s="12">
        <f>H9/C9</f>
        <v>0.14634146341463414</v>
      </c>
      <c r="J9">
        <f>C9-H9</f>
        <v>35</v>
      </c>
      <c r="K9" s="12">
        <f>J9/C9</f>
        <v>0.85365853658536583</v>
      </c>
    </row>
    <row r="10" spans="2:11" x14ac:dyDescent="0.2">
      <c r="B10" s="3" t="s">
        <v>172</v>
      </c>
      <c r="C10" s="3">
        <f>SUM(C7:C9)</f>
        <v>120</v>
      </c>
      <c r="D10" s="3">
        <f>SUM(D7:D9)</f>
        <v>23</v>
      </c>
      <c r="E10" s="13">
        <f>D10/C10</f>
        <v>0.19166666666666668</v>
      </c>
      <c r="F10" s="3">
        <f>SUM(F7:F9)</f>
        <v>15</v>
      </c>
      <c r="G10" s="13">
        <f>IF(D10=0,"—",F10/D10)</f>
        <v>0.65217391304347827</v>
      </c>
      <c r="H10" s="3">
        <f>SUM(H7:H9)</f>
        <v>8</v>
      </c>
      <c r="I10" s="13">
        <f>H10/C10</f>
        <v>6.6666666666666666E-2</v>
      </c>
      <c r="J10" s="3">
        <f>SUM(J7:J9)</f>
        <v>112</v>
      </c>
      <c r="K10" s="13">
        <f>J10/C10</f>
        <v>0.93333333333333335</v>
      </c>
    </row>
    <row r="12" spans="2:11" x14ac:dyDescent="0.2">
      <c r="B12" s="3" t="s">
        <v>173</v>
      </c>
    </row>
    <row r="13" spans="2:11" x14ac:dyDescent="0.2">
      <c r="B13" s="11" t="s">
        <v>174</v>
      </c>
      <c r="C13" s="11" t="s">
        <v>175</v>
      </c>
      <c r="D13" s="11" t="s">
        <v>176</v>
      </c>
      <c r="E13" s="11" t="s">
        <v>172</v>
      </c>
      <c r="F13" s="11" t="s">
        <v>177</v>
      </c>
      <c r="G13" s="11" t="s">
        <v>175</v>
      </c>
      <c r="H13" s="11" t="s">
        <v>176</v>
      </c>
      <c r="I13" s="11"/>
    </row>
    <row r="14" spans="2:11" x14ac:dyDescent="0.2">
      <c r="B14" t="s">
        <v>34</v>
      </c>
      <c r="C14">
        <f>D7</f>
        <v>0</v>
      </c>
      <c r="D14">
        <f>C7-D7</f>
        <v>38</v>
      </c>
      <c r="E14">
        <f>C14+D14</f>
        <v>38</v>
      </c>
      <c r="G14">
        <f>$E14*C$17/$E$17</f>
        <v>7.2833333333333332</v>
      </c>
      <c r="H14">
        <f>$E14*D$17/$E$17</f>
        <v>30.716666666666665</v>
      </c>
    </row>
    <row r="15" spans="2:11" x14ac:dyDescent="0.2">
      <c r="B15" t="s">
        <v>38</v>
      </c>
      <c r="C15">
        <f>D8</f>
        <v>7</v>
      </c>
      <c r="D15">
        <f>C8-D8</f>
        <v>34</v>
      </c>
      <c r="E15">
        <f>C15+D15</f>
        <v>41</v>
      </c>
      <c r="G15">
        <f>$E15*C$17/$E$17</f>
        <v>7.8583333333333334</v>
      </c>
      <c r="H15">
        <f>$E15*D$17/$E$17</f>
        <v>33.141666666666666</v>
      </c>
    </row>
    <row r="16" spans="2:11" x14ac:dyDescent="0.2">
      <c r="B16" t="s">
        <v>40</v>
      </c>
      <c r="C16">
        <f>D9</f>
        <v>16</v>
      </c>
      <c r="D16">
        <f>C9-D9</f>
        <v>25</v>
      </c>
      <c r="E16">
        <f>C16+D16</f>
        <v>41</v>
      </c>
      <c r="G16">
        <f>$E16*C$17/$E$17</f>
        <v>7.8583333333333334</v>
      </c>
      <c r="H16">
        <f>$E16*D$17/$E$17</f>
        <v>33.141666666666666</v>
      </c>
    </row>
    <row r="17" spans="2:5" x14ac:dyDescent="0.2">
      <c r="B17" t="s">
        <v>172</v>
      </c>
      <c r="C17">
        <f>SUM(C14:C16)</f>
        <v>23</v>
      </c>
      <c r="D17">
        <f>SUM(D14:D16)</f>
        <v>97</v>
      </c>
      <c r="E17">
        <f>SUM(E14:E16)</f>
        <v>120</v>
      </c>
    </row>
    <row r="19" spans="2:5" x14ac:dyDescent="0.2">
      <c r="B19" t="s">
        <v>178</v>
      </c>
      <c r="C19" t="str">
        <f>"χ² = "&amp;TEXT(SUMPRODUCT((C14:D16-G14:H16)^2/(G14:H16)),"0.00")&amp;", p = "&amp;TEXT(CHITEST(C14:D16,G14:H16),"0.00E+00")</f>
        <v>χ² = 19.56, p = 5.65E-05</v>
      </c>
    </row>
    <row r="20" spans="2:5" x14ac:dyDescent="0.2">
      <c r="B20" t="s">
        <v>179</v>
      </c>
      <c r="C20" s="14" t="s">
        <v>180</v>
      </c>
    </row>
    <row r="21" spans="2:5" x14ac:dyDescent="0.2">
      <c r="B21" t="s">
        <v>181</v>
      </c>
      <c r="C21" t="s">
        <v>182</v>
      </c>
    </row>
    <row r="23" spans="2:5" x14ac:dyDescent="0.2">
      <c r="B23" s="3" t="s">
        <v>183</v>
      </c>
    </row>
    <row r="24" spans="2:5" x14ac:dyDescent="0.2">
      <c r="B24" t="s">
        <v>184</v>
      </c>
      <c r="C24" s="14">
        <v>1.959964</v>
      </c>
      <c r="D24" t="s">
        <v>185</v>
      </c>
      <c r="E24" t="s">
        <v>186</v>
      </c>
    </row>
    <row r="25" spans="2:5" x14ac:dyDescent="0.2">
      <c r="B25" t="s">
        <v>187</v>
      </c>
      <c r="C25" s="12">
        <f>F10/D10</f>
        <v>0.65217391304347827</v>
      </c>
      <c r="D25" s="12">
        <f>(C25+$C$24^2/(2*D10)-$C$24*SQRT(C25*(1-C25)/D10+$C$24^2/(4*D10^2)))/(1+$C$24^2/D10)</f>
        <v>0.4489033522338618</v>
      </c>
      <c r="E25" s="12">
        <f>(C25+$C$24^2/(2*D10)+$C$24*SQRT(C25*(1-C25)/D10+$C$24^2/(4*D10^2)))/(1+$C$24^2/D10)</f>
        <v>0.81188724156198544</v>
      </c>
    </row>
    <row r="26" spans="2:5" x14ac:dyDescent="0.2">
      <c r="B26" t="s">
        <v>188</v>
      </c>
      <c r="C26" s="12">
        <f>H9/C9</f>
        <v>0.14634146341463414</v>
      </c>
      <c r="D26" s="12">
        <f>(C26+$C$24^2/(2*C9)-$C$24*SQRT(C26*(1-C26)/C9+$C$24^2/(4*C9^2)))/(1+$C$24^2/C9)</f>
        <v>6.8842481011119311E-2</v>
      </c>
      <c r="E26" s="12">
        <f>(C26+$C$24^2/(2*C9)+$C$24*SQRT(C26*(1-C26)/C9+$C$24^2/(4*C9^2)))/(1+$C$24^2/C9)</f>
        <v>0.28443458170067604</v>
      </c>
    </row>
    <row r="28" spans="2:5" x14ac:dyDescent="0.2">
      <c r="B28" s="3" t="s">
        <v>189</v>
      </c>
    </row>
    <row r="29" spans="2:5" x14ac:dyDescent="0.2">
      <c r="B29" s="11" t="s">
        <v>190</v>
      </c>
      <c r="C29" s="11" t="s">
        <v>191</v>
      </c>
      <c r="D29" s="11" t="s">
        <v>192</v>
      </c>
      <c r="E29" s="11" t="s">
        <v>193</v>
      </c>
    </row>
    <row r="30" spans="2:5" x14ac:dyDescent="0.2">
      <c r="B30" s="4" t="s">
        <v>194</v>
      </c>
      <c r="C30" s="4" t="str">
        <f>D10&amp;" / "&amp;C10&amp;" = "&amp;TEXT(E10,"0.0%")</f>
        <v>23 / 120 = 19.2%</v>
      </c>
      <c r="D30" s="15" t="s">
        <v>195</v>
      </c>
      <c r="E30" s="6" t="s">
        <v>196</v>
      </c>
    </row>
    <row r="31" spans="2:5" x14ac:dyDescent="0.2">
      <c r="B31" s="4" t="s">
        <v>197</v>
      </c>
      <c r="C31" s="4" t="str">
        <f>D7&amp;"/"&amp;C7&amp;" ("&amp;TEXT(E7,"0.0%")&amp;")"</f>
        <v>0/38 (0.0%)</v>
      </c>
      <c r="D31" s="15" t="s">
        <v>198</v>
      </c>
      <c r="E31" s="6" t="s">
        <v>196</v>
      </c>
    </row>
    <row r="32" spans="2:5" x14ac:dyDescent="0.2">
      <c r="B32" s="4" t="s">
        <v>199</v>
      </c>
      <c r="C32" s="4" t="str">
        <f>D8&amp;"/"&amp;C8&amp;" ("&amp;TEXT(E8,"0.0%")&amp;")"</f>
        <v>7/41 (17.1%)</v>
      </c>
      <c r="D32" s="15" t="s">
        <v>200</v>
      </c>
      <c r="E32" s="6" t="s">
        <v>196</v>
      </c>
    </row>
    <row r="33" spans="2:5" x14ac:dyDescent="0.2">
      <c r="B33" s="4" t="s">
        <v>201</v>
      </c>
      <c r="C33" s="4" t="str">
        <f>D9&amp;"/"&amp;C9&amp;" ("&amp;TEXT(E9,"0.0%")&amp;")"</f>
        <v>16/41 (39.0%)</v>
      </c>
      <c r="D33" s="15" t="s">
        <v>202</v>
      </c>
      <c r="E33" s="6" t="s">
        <v>196</v>
      </c>
    </row>
    <row r="34" spans="2:5" x14ac:dyDescent="0.2">
      <c r="B34" s="4" t="s">
        <v>203</v>
      </c>
      <c r="C34" s="4" t="str">
        <f>"p = 5.81 × 10⁻⁶"</f>
        <v>p = 5.81 × 10⁻⁶</v>
      </c>
      <c r="D34" s="15" t="s">
        <v>204</v>
      </c>
      <c r="E34" s="6" t="s">
        <v>196</v>
      </c>
    </row>
    <row r="35" spans="2:5" x14ac:dyDescent="0.2">
      <c r="B35" s="4" t="s">
        <v>205</v>
      </c>
      <c r="C35" s="4" t="str">
        <f>"χ² = "&amp;TEXT(SUMPRODUCT((C14:D16-G14:H16)^2/(G14:H16)),"0.00")&amp;", p = "&amp;TEXT(CHITEST(C14:D16,G14:H16),"0.00E+00")</f>
        <v>χ² = 19.56, p = 5.65E-05</v>
      </c>
      <c r="D35" s="15" t="s">
        <v>206</v>
      </c>
      <c r="E35" s="6" t="s">
        <v>196</v>
      </c>
    </row>
    <row r="36" spans="2:5" x14ac:dyDescent="0.2">
      <c r="B36" s="4" t="s">
        <v>207</v>
      </c>
      <c r="C36" s="4" t="str">
        <f>F10&amp;" / "&amp;D10&amp;" = "&amp;TEXT(G10,"0.0%")&amp;" (95% CI "&amp;TEXT(D25,"0.0%")&amp;"–"&amp;TEXT(E25,"0.0%")&amp;")"</f>
        <v>15 / 23 = 65.2% (95% CI 44.9%–81.2%)</v>
      </c>
      <c r="D36" s="15" t="s">
        <v>208</v>
      </c>
      <c r="E36" s="6" t="s">
        <v>196</v>
      </c>
    </row>
    <row r="37" spans="2:5" x14ac:dyDescent="0.2">
      <c r="B37" s="4" t="s">
        <v>209</v>
      </c>
      <c r="C37" s="4" t="str">
        <f>F9&amp;" / "&amp;D9&amp;" = "&amp;TEXT(G9,"0.0%")</f>
        <v>10 / 16 = 62.5%</v>
      </c>
      <c r="D37" s="15" t="s">
        <v>210</v>
      </c>
      <c r="E37" s="6" t="s">
        <v>196</v>
      </c>
    </row>
    <row r="38" spans="2:5" x14ac:dyDescent="0.2">
      <c r="B38" s="4" t="s">
        <v>211</v>
      </c>
      <c r="C38" s="4" t="str">
        <f>H10&amp;" / "&amp;C10&amp;" = "&amp;TEXT(I10,"0.0%")</f>
        <v>8 / 120 = 6.7%</v>
      </c>
      <c r="D38" s="15" t="s">
        <v>212</v>
      </c>
      <c r="E38" s="6" t="s">
        <v>196</v>
      </c>
    </row>
    <row r="39" spans="2:5" x14ac:dyDescent="0.2">
      <c r="B39" s="4" t="s">
        <v>213</v>
      </c>
      <c r="C39" s="4" t="str">
        <f>TEXT(I7,"0.0%")&amp;" · "&amp;TEXT(I8,"0.0%")&amp;" · "&amp;TEXT(I9,"0.0%")&amp;"  ("&amp;H9&amp;"/"&amp;C9&amp;"; 95% CI "&amp;TEXT(D26,"0.0%")&amp;"–"&amp;TEXT(E26,"0.0%")&amp;")"</f>
        <v>0.0% · 4.9% · 14.6%  (6/41; 95% CI 6.9%–28.4%)</v>
      </c>
      <c r="D39" s="15" t="s">
        <v>214</v>
      </c>
      <c r="E39" s="6" t="s">
        <v>196</v>
      </c>
    </row>
    <row r="40" spans="2:5" x14ac:dyDescent="0.2">
      <c r="B40" s="4" t="s">
        <v>215</v>
      </c>
      <c r="C40" s="4" t="str">
        <f>J10&amp;" / "&amp;C10&amp;" = "&amp;TEXT(K10,"0.0%")&amp;"  ("&amp;TEXT(K7,"0.0%")&amp;" · "&amp;TEXT(K8,"0.0%")&amp;" · "&amp;TEXT(K9,"0.0%")&amp;")"</f>
        <v>112 / 120 = 93.3%  (100.0% · 95.1% · 85.4%)</v>
      </c>
      <c r="D40" s="15" t="s">
        <v>216</v>
      </c>
      <c r="E40" s="6" t="s">
        <v>196</v>
      </c>
    </row>
    <row r="42" spans="2:5" x14ac:dyDescent="0.2">
      <c r="B42" s="3" t="s">
        <v>217</v>
      </c>
    </row>
    <row r="43" spans="2:5" x14ac:dyDescent="0.2">
      <c r="B43" s="11" t="s">
        <v>218</v>
      </c>
      <c r="C43" s="11" t="s">
        <v>219</v>
      </c>
      <c r="D43" s="11" t="s">
        <v>169</v>
      </c>
      <c r="E43" s="11" t="s">
        <v>220</v>
      </c>
    </row>
    <row r="44" spans="2:5" x14ac:dyDescent="0.2">
      <c r="B44" t="str">
        <f>B7</f>
        <v>25–44</v>
      </c>
      <c r="C44" s="12">
        <f>E7</f>
        <v>0</v>
      </c>
      <c r="D44" s="12">
        <f>I7</f>
        <v>0</v>
      </c>
      <c r="E44" s="12">
        <f>K7</f>
        <v>1</v>
      </c>
    </row>
    <row r="45" spans="2:5" x14ac:dyDescent="0.2">
      <c r="B45" t="str">
        <f>B8</f>
        <v>45–64</v>
      </c>
      <c r="C45" s="12">
        <f>E8</f>
        <v>0.17073170731707318</v>
      </c>
      <c r="D45" s="12">
        <f>I8</f>
        <v>4.878048780487805E-2</v>
      </c>
      <c r="E45" s="12">
        <f>K8</f>
        <v>0.95121951219512191</v>
      </c>
    </row>
    <row r="46" spans="2:5" x14ac:dyDescent="0.2">
      <c r="B46" t="str">
        <f>B9</f>
        <v>65–80</v>
      </c>
      <c r="C46" s="12">
        <f>E9</f>
        <v>0.3902439024390244</v>
      </c>
      <c r="D46" s="12">
        <f>I9</f>
        <v>0.14634146341463414</v>
      </c>
      <c r="E46" s="12">
        <f>K9</f>
        <v>0.85365853658536583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5"/>
  <sheetViews>
    <sheetView showGridLines="0" tabSelected="1" zoomScaleNormal="100" workbookViewId="0">
      <selection activeCell="B5" sqref="B5"/>
    </sheetView>
  </sheetViews>
  <sheetFormatPr defaultColWidth="8.7421875" defaultRowHeight="15" x14ac:dyDescent="0.2"/>
  <cols>
    <col min="2" max="2" width="34.03125" customWidth="1"/>
    <col min="3" max="6" width="9.953125" customWidth="1"/>
  </cols>
  <sheetData>
    <row r="2" spans="2:6" ht="30" customHeight="1" x14ac:dyDescent="0.25">
      <c r="B2" s="8" t="s">
        <v>221</v>
      </c>
    </row>
    <row r="3" spans="2:6" ht="15.75" customHeight="1" x14ac:dyDescent="0.2">
      <c r="B3" s="9" t="s">
        <v>222</v>
      </c>
    </row>
    <row r="5" spans="2:6" x14ac:dyDescent="0.2">
      <c r="B5" s="3" t="s">
        <v>223</v>
      </c>
    </row>
    <row r="6" spans="2:6" x14ac:dyDescent="0.2">
      <c r="B6" s="11" t="s">
        <v>224</v>
      </c>
      <c r="C6" s="11" t="s">
        <v>34</v>
      </c>
      <c r="D6" s="11" t="s">
        <v>38</v>
      </c>
      <c r="E6" s="11" t="s">
        <v>40</v>
      </c>
      <c r="F6" s="11" t="s">
        <v>225</v>
      </c>
    </row>
    <row r="7" spans="2:6" x14ac:dyDescent="0.2">
      <c r="B7">
        <v>1</v>
      </c>
      <c r="C7" s="16">
        <f>AVERAGEIFS('Game Telemetry'!$N$6:$N$559,'Game Telemetry'!$C$6:$C$559,$B7,'Game Telemetry'!$Q$6:$Q$559,"25–44")</f>
        <v>336.18421052631578</v>
      </c>
      <c r="D7" s="16">
        <f>AVERAGEIFS('Game Telemetry'!$N$6:$N$559,'Game Telemetry'!$C$6:$C$559,$B7,'Game Telemetry'!$Q$6:$Q$559,"45–64")</f>
        <v>322.5609756097561</v>
      </c>
      <c r="E7" s="16">
        <f>AVERAGEIFS('Game Telemetry'!$N$6:$N$559,'Game Telemetry'!$C$6:$C$559,$B7,'Game Telemetry'!$Q$6:$Q$559,"65–80")</f>
        <v>311.04878048780489</v>
      </c>
      <c r="F7" s="16">
        <f>AVERAGEIFS('Game Telemetry'!$N$6:$N$559,'Game Telemetry'!$C$6:$C$559,$B7)</f>
        <v>322.94166666666666</v>
      </c>
    </row>
    <row r="8" spans="2:6" x14ac:dyDescent="0.2">
      <c r="B8">
        <v>2</v>
      </c>
      <c r="C8" s="16">
        <f>AVERAGEIFS('Game Telemetry'!$N$6:$N$559,'Game Telemetry'!$C$6:$C$559,$B8,'Game Telemetry'!$Q$6:$Q$559,"25–44")</f>
        <v>331.71052631578948</v>
      </c>
      <c r="D8" s="16">
        <f>AVERAGEIFS('Game Telemetry'!$N$6:$N$559,'Game Telemetry'!$C$6:$C$559,$B8,'Game Telemetry'!$Q$6:$Q$559,"45–64")</f>
        <v>324.71794871794873</v>
      </c>
      <c r="E8" s="16">
        <f>AVERAGEIFS('Game Telemetry'!$N$6:$N$559,'Game Telemetry'!$C$6:$C$559,$B8,'Game Telemetry'!$Q$6:$Q$559,"65–80")</f>
        <v>312.70588235294116</v>
      </c>
      <c r="F8" s="16">
        <f>AVERAGEIFS('Game Telemetry'!$N$6:$N$559,'Game Telemetry'!$C$6:$C$559,$B8)</f>
        <v>323.43243243243245</v>
      </c>
    </row>
    <row r="9" spans="2:6" x14ac:dyDescent="0.2">
      <c r="B9">
        <v>3</v>
      </c>
      <c r="C9" s="16">
        <f>AVERAGEIFS('Game Telemetry'!$N$6:$N$559,'Game Telemetry'!$C$6:$C$559,$B9,'Game Telemetry'!$Q$6:$Q$559,"25–44")</f>
        <v>343.78947368421052</v>
      </c>
      <c r="D9" s="16">
        <f>AVERAGEIFS('Game Telemetry'!$N$6:$N$559,'Game Telemetry'!$C$6:$C$559,$B9,'Game Telemetry'!$Q$6:$Q$559,"45–64")</f>
        <v>316.86486486486484</v>
      </c>
      <c r="E9" s="16">
        <f>AVERAGEIFS('Game Telemetry'!$N$6:$N$559,'Game Telemetry'!$C$6:$C$559,$B9,'Game Telemetry'!$Q$6:$Q$559,"65–80")</f>
        <v>326.24137931034483</v>
      </c>
      <c r="F9" s="16">
        <f>AVERAGEIFS('Game Telemetry'!$N$6:$N$559,'Game Telemetry'!$C$6:$C$559,$B9)</f>
        <v>329.31730769230768</v>
      </c>
    </row>
    <row r="10" spans="2:6" x14ac:dyDescent="0.2">
      <c r="B10">
        <v>4</v>
      </c>
      <c r="C10" s="16">
        <f>AVERAGEIFS('Game Telemetry'!$N$6:$N$559,'Game Telemetry'!$C$6:$C$559,$B10,'Game Telemetry'!$Q$6:$Q$559,"25–44")</f>
        <v>330.94736842105266</v>
      </c>
      <c r="D10" s="16">
        <f>AVERAGEIFS('Game Telemetry'!$N$6:$N$559,'Game Telemetry'!$C$6:$C$559,$B10,'Game Telemetry'!$Q$6:$Q$559,"45–64")</f>
        <v>325.36111111111109</v>
      </c>
      <c r="E10" s="16">
        <f>AVERAGEIFS('Game Telemetry'!$N$6:$N$559,'Game Telemetry'!$C$6:$C$559,$B10,'Game Telemetry'!$Q$6:$Q$559,"65–80")</f>
        <v>317.72000000000003</v>
      </c>
      <c r="F10" s="16">
        <f>AVERAGEIFS('Game Telemetry'!$N$6:$N$559,'Game Telemetry'!$C$6:$C$559,$B10)</f>
        <v>325.57575757575756</v>
      </c>
    </row>
    <row r="11" spans="2:6" x14ac:dyDescent="0.2">
      <c r="B11">
        <v>5</v>
      </c>
      <c r="C11" s="16">
        <f>AVERAGEIFS('Game Telemetry'!$N$6:$N$559,'Game Telemetry'!$C$6:$C$559,$B11,'Game Telemetry'!$Q$6:$Q$559,"25–44")</f>
        <v>335.21052631578948</v>
      </c>
      <c r="D11" s="16">
        <f>AVERAGEIFS('Game Telemetry'!$N$6:$N$559,'Game Telemetry'!$C$6:$C$559,$B11,'Game Telemetry'!$Q$6:$Q$559,"45–64")</f>
        <v>331.58823529411762</v>
      </c>
      <c r="E11" s="16">
        <f>AVERAGEIFS('Game Telemetry'!$N$6:$N$559,'Game Telemetry'!$C$6:$C$559,$B11,'Game Telemetry'!$Q$6:$Q$559,"65–80")</f>
        <v>324.88</v>
      </c>
      <c r="F11" s="16">
        <f>AVERAGEIFS('Game Telemetry'!$N$6:$N$559,'Game Telemetry'!$C$6:$C$559,$B11)</f>
        <v>331.2783505154639</v>
      </c>
    </row>
    <row r="12" spans="2:6" x14ac:dyDescent="0.2">
      <c r="B12" s="3" t="s">
        <v>226</v>
      </c>
    </row>
    <row r="13" spans="2:6" x14ac:dyDescent="0.2">
      <c r="B13" s="11" t="s">
        <v>224</v>
      </c>
      <c r="C13" s="11" t="s">
        <v>34</v>
      </c>
      <c r="D13" s="11" t="s">
        <v>38</v>
      </c>
      <c r="E13" s="11" t="s">
        <v>40</v>
      </c>
      <c r="F13" s="11" t="s">
        <v>225</v>
      </c>
    </row>
    <row r="14" spans="2:6" x14ac:dyDescent="0.2">
      <c r="B14">
        <v>1</v>
      </c>
      <c r="C14" s="16">
        <f>AVERAGEIFS('Game Telemetry'!$J$6:$J$559,'Game Telemetry'!$C$6:$C$559,$B14,'Game Telemetry'!$Q$6:$Q$559,"25–44")</f>
        <v>60.455263157894727</v>
      </c>
      <c r="D14" s="16">
        <f>AVERAGEIFS('Game Telemetry'!$J$6:$J$559,'Game Telemetry'!$C$6:$C$559,$B14,'Game Telemetry'!$Q$6:$Q$559,"45–64")</f>
        <v>56.678048780487799</v>
      </c>
      <c r="E14" s="16">
        <f>AVERAGEIFS('Game Telemetry'!$J$6:$J$559,'Game Telemetry'!$C$6:$C$559,$B14,'Game Telemetry'!$Q$6:$Q$559,"65–80")</f>
        <v>49.334146341463416</v>
      </c>
      <c r="F14" s="16">
        <f>AVERAGEIFS('Game Telemetry'!$J$6:$J$559,'Game Telemetry'!$C$6:$C$559,$B14)</f>
        <v>55.364999999999981</v>
      </c>
    </row>
    <row r="15" spans="2:6" x14ac:dyDescent="0.2">
      <c r="B15">
        <v>2</v>
      </c>
      <c r="C15" s="16">
        <f>AVERAGEIFS('Game Telemetry'!$J$6:$J$559,'Game Telemetry'!$C$6:$C$559,$B15,'Game Telemetry'!$Q$6:$Q$559,"25–44")</f>
        <v>62.263157894736857</v>
      </c>
      <c r="D15" s="16">
        <f>AVERAGEIFS('Game Telemetry'!$J$6:$J$559,'Game Telemetry'!$C$6:$C$559,$B15,'Game Telemetry'!$Q$6:$Q$559,"45–64")</f>
        <v>55.805128205128206</v>
      </c>
      <c r="E15" s="16">
        <f>AVERAGEIFS('Game Telemetry'!$J$6:$J$559,'Game Telemetry'!$C$6:$C$559,$B15,'Game Telemetry'!$Q$6:$Q$559,"65–80")</f>
        <v>54.611764705882344</v>
      </c>
      <c r="F15" s="16">
        <f>AVERAGEIFS('Game Telemetry'!$J$6:$J$559,'Game Telemetry'!$C$6:$C$559,$B15)</f>
        <v>57.65045045045045</v>
      </c>
    </row>
    <row r="16" spans="2:6" x14ac:dyDescent="0.2">
      <c r="B16">
        <v>3</v>
      </c>
      <c r="C16" s="16">
        <f>AVERAGEIFS('Game Telemetry'!$J$6:$J$559,'Game Telemetry'!$C$6:$C$559,$B16,'Game Telemetry'!$Q$6:$Q$559,"25–44")</f>
        <v>61.489473684210523</v>
      </c>
      <c r="D16" s="16">
        <f>AVERAGEIFS('Game Telemetry'!$J$6:$J$559,'Game Telemetry'!$C$6:$C$559,$B16,'Game Telemetry'!$Q$6:$Q$559,"45–64")</f>
        <v>60.421621621621618</v>
      </c>
      <c r="E16" s="16">
        <f>AVERAGEIFS('Game Telemetry'!$J$6:$J$559,'Game Telemetry'!$C$6:$C$559,$B16,'Game Telemetry'!$Q$6:$Q$559,"65–80")</f>
        <v>55.306896551724137</v>
      </c>
      <c r="F16" s="16">
        <f>AVERAGEIFS('Game Telemetry'!$J$6:$J$559,'Game Telemetry'!$C$6:$C$559,$B16)</f>
        <v>59.385576923076925</v>
      </c>
    </row>
    <row r="17" spans="2:6" x14ac:dyDescent="0.2">
      <c r="B17">
        <v>4</v>
      </c>
      <c r="C17" s="16">
        <f>AVERAGEIFS('Game Telemetry'!$J$6:$J$559,'Game Telemetry'!$C$6:$C$559,$B17,'Game Telemetry'!$Q$6:$Q$559,"25–44")</f>
        <v>60.407894736842103</v>
      </c>
      <c r="D17" s="16">
        <f>AVERAGEIFS('Game Telemetry'!$J$6:$J$559,'Game Telemetry'!$C$6:$C$559,$B17,'Game Telemetry'!$Q$6:$Q$559,"45–64")</f>
        <v>58.594444444444449</v>
      </c>
      <c r="E17" s="16">
        <f>AVERAGEIFS('Game Telemetry'!$J$6:$J$559,'Game Telemetry'!$C$6:$C$559,$B17,'Game Telemetry'!$Q$6:$Q$559,"65–80")</f>
        <v>52.196000000000012</v>
      </c>
      <c r="F17" s="16">
        <f>AVERAGEIFS('Game Telemetry'!$J$6:$J$559,'Game Telemetry'!$C$6:$C$559,$B17)</f>
        <v>57.67474747474747</v>
      </c>
    </row>
    <row r="18" spans="2:6" x14ac:dyDescent="0.2">
      <c r="B18">
        <v>5</v>
      </c>
      <c r="C18" s="16">
        <f>AVERAGEIFS('Game Telemetry'!$J$6:$J$559,'Game Telemetry'!$C$6:$C$559,$B18,'Game Telemetry'!$Q$6:$Q$559,"25–44")</f>
        <v>63.89473684210526</v>
      </c>
      <c r="D18" s="16">
        <f>AVERAGEIFS('Game Telemetry'!$J$6:$J$559,'Game Telemetry'!$C$6:$C$559,$B18,'Game Telemetry'!$Q$6:$Q$559,"45–64")</f>
        <v>62.226470588235287</v>
      </c>
      <c r="E18" s="16">
        <f>AVERAGEIFS('Game Telemetry'!$J$6:$J$559,'Game Telemetry'!$C$6:$C$559,$B18,'Game Telemetry'!$Q$6:$Q$559,"65–80")</f>
        <v>58.472000000000008</v>
      </c>
      <c r="F18" s="16">
        <f>AVERAGEIFS('Game Telemetry'!$J$6:$J$559,'Game Telemetry'!$C$6:$C$559,$B18)</f>
        <v>61.912371134020638</v>
      </c>
    </row>
    <row r="19" spans="2:6" x14ac:dyDescent="0.2">
      <c r="B19" s="3" t="s">
        <v>227</v>
      </c>
    </row>
    <row r="20" spans="2:6" x14ac:dyDescent="0.2">
      <c r="B20" s="11" t="s">
        <v>224</v>
      </c>
      <c r="C20" s="11" t="s">
        <v>34</v>
      </c>
      <c r="D20" s="11" t="s">
        <v>38</v>
      </c>
      <c r="E20" s="11" t="s">
        <v>40</v>
      </c>
      <c r="F20" s="11" t="s">
        <v>225</v>
      </c>
    </row>
    <row r="21" spans="2:6" x14ac:dyDescent="0.2">
      <c r="B21">
        <v>1</v>
      </c>
      <c r="C21" s="17">
        <f>AVERAGEIFS('Game Telemetry'!$H$6:$H$559,'Game Telemetry'!$C$6:$C$559,$B21,'Game Telemetry'!$Q$6:$Q$559,"25–44")</f>
        <v>1.3947368421052631</v>
      </c>
      <c r="D21" s="17">
        <f>AVERAGEIFS('Game Telemetry'!$H$6:$H$559,'Game Telemetry'!$C$6:$C$559,$B21,'Game Telemetry'!$Q$6:$Q$559,"45–64")</f>
        <v>1.5365853658536586</v>
      </c>
      <c r="E21" s="17">
        <f>AVERAGEIFS('Game Telemetry'!$H$6:$H$559,'Game Telemetry'!$C$6:$C$559,$B21,'Game Telemetry'!$Q$6:$Q$559,"65–80")</f>
        <v>2.3414634146341462</v>
      </c>
      <c r="F21" s="17">
        <f>AVERAGEIFS('Game Telemetry'!$H$6:$H$559,'Game Telemetry'!$C$6:$C$559,$B21)</f>
        <v>1.7666666666666666</v>
      </c>
    </row>
    <row r="22" spans="2:6" x14ac:dyDescent="0.2">
      <c r="B22">
        <v>2</v>
      </c>
      <c r="C22" s="17">
        <f>AVERAGEIFS('Game Telemetry'!$H$6:$H$559,'Game Telemetry'!$C$6:$C$559,$B22,'Game Telemetry'!$Q$6:$Q$559,"25–44")</f>
        <v>1.368421052631579</v>
      </c>
      <c r="D22" s="17">
        <f>AVERAGEIFS('Game Telemetry'!$H$6:$H$559,'Game Telemetry'!$C$6:$C$559,$B22,'Game Telemetry'!$Q$6:$Q$559,"45–64")</f>
        <v>1.7692307692307692</v>
      </c>
      <c r="E22" s="17">
        <f>AVERAGEIFS('Game Telemetry'!$H$6:$H$559,'Game Telemetry'!$C$6:$C$559,$B22,'Game Telemetry'!$Q$6:$Q$559,"65–80")</f>
        <v>1.9705882352941178</v>
      </c>
      <c r="F22" s="17">
        <f>AVERAGEIFS('Game Telemetry'!$H$6:$H$559,'Game Telemetry'!$C$6:$C$559,$B22)</f>
        <v>1.6936936936936937</v>
      </c>
    </row>
    <row r="23" spans="2:6" x14ac:dyDescent="0.2">
      <c r="B23">
        <v>3</v>
      </c>
      <c r="C23" s="17">
        <f>AVERAGEIFS('Game Telemetry'!$H$6:$H$559,'Game Telemetry'!$C$6:$C$559,$B23,'Game Telemetry'!$Q$6:$Q$559,"25–44")</f>
        <v>1.0789473684210527</v>
      </c>
      <c r="D23" s="17">
        <f>AVERAGEIFS('Game Telemetry'!$H$6:$H$559,'Game Telemetry'!$C$6:$C$559,$B23,'Game Telemetry'!$Q$6:$Q$559,"45–64")</f>
        <v>1.5135135135135136</v>
      </c>
      <c r="E23" s="17">
        <f>AVERAGEIFS('Game Telemetry'!$H$6:$H$559,'Game Telemetry'!$C$6:$C$559,$B23,'Game Telemetry'!$Q$6:$Q$559,"65–80")</f>
        <v>2.103448275862069</v>
      </c>
      <c r="F23" s="17">
        <f>AVERAGEIFS('Game Telemetry'!$H$6:$H$559,'Game Telemetry'!$C$6:$C$559,$B23)</f>
        <v>1.5192307692307692</v>
      </c>
    </row>
    <row r="24" spans="2:6" x14ac:dyDescent="0.2">
      <c r="B24">
        <v>4</v>
      </c>
      <c r="C24" s="17">
        <f>AVERAGEIFS('Game Telemetry'!$H$6:$H$559,'Game Telemetry'!$C$6:$C$559,$B24,'Game Telemetry'!$Q$6:$Q$559,"25–44")</f>
        <v>1.5526315789473684</v>
      </c>
      <c r="D24" s="17">
        <f>AVERAGEIFS('Game Telemetry'!$H$6:$H$559,'Game Telemetry'!$C$6:$C$559,$B24,'Game Telemetry'!$Q$6:$Q$559,"45–64")</f>
        <v>1.4444444444444444</v>
      </c>
      <c r="E24" s="17">
        <f>AVERAGEIFS('Game Telemetry'!$H$6:$H$559,'Game Telemetry'!$C$6:$C$559,$B24,'Game Telemetry'!$Q$6:$Q$559,"65–80")</f>
        <v>1.92</v>
      </c>
      <c r="F24" s="17">
        <f>AVERAGEIFS('Game Telemetry'!$H$6:$H$559,'Game Telemetry'!$C$6:$C$559,$B24)</f>
        <v>1.606060606060606</v>
      </c>
    </row>
    <row r="25" spans="2:6" x14ac:dyDescent="0.2">
      <c r="B25">
        <v>5</v>
      </c>
      <c r="C25" s="17">
        <f>AVERAGEIFS('Game Telemetry'!$H$6:$H$559,'Game Telemetry'!$C$6:$C$559,$B25,'Game Telemetry'!$Q$6:$Q$559,"25–44")</f>
        <v>1.2105263157894737</v>
      </c>
      <c r="D25" s="17">
        <f>AVERAGEIFS('Game Telemetry'!$H$6:$H$559,'Game Telemetry'!$C$6:$C$559,$B25,'Game Telemetry'!$Q$6:$Q$559,"45–64")</f>
        <v>1.7058823529411764</v>
      </c>
      <c r="E25" s="17">
        <f>AVERAGEIFS('Game Telemetry'!$H$6:$H$559,'Game Telemetry'!$C$6:$C$559,$B25,'Game Telemetry'!$Q$6:$Q$559,"65–80")</f>
        <v>1.56</v>
      </c>
      <c r="F25" s="17">
        <f>AVERAGEIFS('Game Telemetry'!$H$6:$H$559,'Game Telemetry'!$C$6:$C$559,$B25)</f>
        <v>1.4742268041237114</v>
      </c>
    </row>
    <row r="26" spans="2:6" x14ac:dyDescent="0.2">
      <c r="B26" s="3" t="s">
        <v>228</v>
      </c>
    </row>
    <row r="27" spans="2:6" x14ac:dyDescent="0.2">
      <c r="B27" s="11" t="s">
        <v>224</v>
      </c>
      <c r="C27" s="11" t="s">
        <v>34</v>
      </c>
      <c r="D27" s="11" t="s">
        <v>38</v>
      </c>
      <c r="E27" s="11" t="s">
        <v>40</v>
      </c>
      <c r="F27" s="11" t="s">
        <v>225</v>
      </c>
    </row>
    <row r="28" spans="2:6" x14ac:dyDescent="0.2">
      <c r="B28">
        <v>1</v>
      </c>
      <c r="C28" s="17">
        <f>AVERAGEIFS('Game Telemetry'!$L$6:$L$559,'Game Telemetry'!$C$6:$C$559,$B28,'Game Telemetry'!$Q$6:$Q$559,"25–44")</f>
        <v>0.62105263157894708</v>
      </c>
      <c r="D28" s="17">
        <f>AVERAGEIFS('Game Telemetry'!$L$6:$L$559,'Game Telemetry'!$C$6:$C$559,$B28,'Game Telemetry'!$Q$6:$Q$559,"45–64")</f>
        <v>0.60365853658536572</v>
      </c>
      <c r="E28" s="17">
        <f>AVERAGEIFS('Game Telemetry'!$L$6:$L$559,'Game Telemetry'!$C$6:$C$559,$B28,'Game Telemetry'!$Q$6:$Q$559,"65–80")</f>
        <v>0.55243902439024373</v>
      </c>
      <c r="F28" s="17">
        <f>AVERAGEIFS('Game Telemetry'!$L$6:$L$559,'Game Telemetry'!$C$6:$C$559,$B28)</f>
        <v>0.59166666666666745</v>
      </c>
    </row>
    <row r="29" spans="2:6" x14ac:dyDescent="0.2">
      <c r="B29">
        <v>2</v>
      </c>
      <c r="C29" s="17">
        <f>AVERAGEIFS('Game Telemetry'!$L$6:$L$559,'Game Telemetry'!$C$6:$C$559,$B29,'Game Telemetry'!$Q$6:$Q$559,"25–44")</f>
        <v>0.625</v>
      </c>
      <c r="D29" s="17">
        <f>AVERAGEIFS('Game Telemetry'!$L$6:$L$559,'Game Telemetry'!$C$6:$C$559,$B29,'Game Telemetry'!$Q$6:$Q$559,"45–64")</f>
        <v>0.60128205128205114</v>
      </c>
      <c r="E29" s="17">
        <f>AVERAGEIFS('Game Telemetry'!$L$6:$L$559,'Game Telemetry'!$C$6:$C$559,$B29,'Game Telemetry'!$Q$6:$Q$559,"65–80")</f>
        <v>0.57499999999999996</v>
      </c>
      <c r="F29" s="17">
        <f>AVERAGEIFS('Game Telemetry'!$L$6:$L$559,'Game Telemetry'!$C$6:$C$559,$B29)</f>
        <v>0.6013513513513522</v>
      </c>
    </row>
    <row r="30" spans="2:6" x14ac:dyDescent="0.2">
      <c r="B30">
        <v>3</v>
      </c>
      <c r="C30" s="17">
        <f>AVERAGEIFS('Game Telemetry'!$L$6:$L$559,'Game Telemetry'!$C$6:$C$559,$B30,'Game Telemetry'!$Q$6:$Q$559,"25–44")</f>
        <v>0.65</v>
      </c>
      <c r="D30" s="17">
        <f>AVERAGEIFS('Game Telemetry'!$L$6:$L$559,'Game Telemetry'!$C$6:$C$559,$B30,'Game Telemetry'!$Q$6:$Q$559,"45–64")</f>
        <v>0.6189189189189187</v>
      </c>
      <c r="E30" s="17">
        <f>AVERAGEIFS('Game Telemetry'!$L$6:$L$559,'Game Telemetry'!$C$6:$C$559,$B30,'Game Telemetry'!$Q$6:$Q$559,"65–80")</f>
        <v>0.59999999999999987</v>
      </c>
      <c r="F30" s="17">
        <f>AVERAGEIFS('Game Telemetry'!$L$6:$L$559,'Game Telemetry'!$C$6:$C$559,$B30)</f>
        <v>0.62500000000000111</v>
      </c>
    </row>
    <row r="31" spans="2:6" x14ac:dyDescent="0.2">
      <c r="B31">
        <v>4</v>
      </c>
      <c r="C31" s="17">
        <f>AVERAGEIFS('Game Telemetry'!$L$6:$L$559,'Game Telemetry'!$C$6:$C$559,$B31,'Game Telemetry'!$Q$6:$Q$559,"25–44")</f>
        <v>0.60921052631578954</v>
      </c>
      <c r="D31" s="17">
        <f>AVERAGEIFS('Game Telemetry'!$L$6:$L$559,'Game Telemetry'!$C$6:$C$559,$B31,'Game Telemetry'!$Q$6:$Q$559,"45–64")</f>
        <v>0.61249999999999993</v>
      </c>
      <c r="E31" s="17">
        <f>AVERAGEIFS('Game Telemetry'!$L$6:$L$559,'Game Telemetry'!$C$6:$C$559,$B31,'Game Telemetry'!$Q$6:$Q$559,"65–80")</f>
        <v>0.58599999999999985</v>
      </c>
      <c r="F31" s="17">
        <f>AVERAGEIFS('Game Telemetry'!$L$6:$L$559,'Game Telemetry'!$C$6:$C$559,$B31)</f>
        <v>0.60454545454545539</v>
      </c>
    </row>
    <row r="32" spans="2:6" x14ac:dyDescent="0.2">
      <c r="B32">
        <v>5</v>
      </c>
      <c r="C32" s="17">
        <f>AVERAGEIFS('Game Telemetry'!$L$6:$L$559,'Game Telemetry'!$C$6:$C$559,$B32,'Game Telemetry'!$Q$6:$Q$559,"25–44")</f>
        <v>0.62368421052631573</v>
      </c>
      <c r="D32" s="17">
        <f>AVERAGEIFS('Game Telemetry'!$L$6:$L$559,'Game Telemetry'!$C$6:$C$559,$B32,'Game Telemetry'!$Q$6:$Q$559,"45–64")</f>
        <v>0.61029411764705876</v>
      </c>
      <c r="E32" s="17">
        <f>AVERAGEIFS('Game Telemetry'!$L$6:$L$559,'Game Telemetry'!$C$6:$C$559,$B32,'Game Telemetry'!$Q$6:$Q$559,"65–80")</f>
        <v>0.61399999999999977</v>
      </c>
      <c r="F32" s="17">
        <f>AVERAGEIFS('Game Telemetry'!$L$6:$L$559,'Game Telemetry'!$C$6:$C$559,$B32)</f>
        <v>0.61649484536082566</v>
      </c>
    </row>
    <row r="33" spans="2:5" x14ac:dyDescent="0.2">
      <c r="B33" s="3" t="s">
        <v>229</v>
      </c>
    </row>
    <row r="34" spans="2:5" x14ac:dyDescent="0.2">
      <c r="B34" s="11" t="s">
        <v>224</v>
      </c>
      <c r="C34" s="11" t="s">
        <v>230</v>
      </c>
      <c r="D34" s="11" t="s">
        <v>223</v>
      </c>
      <c r="E34" s="11" t="s">
        <v>226</v>
      </c>
    </row>
    <row r="35" spans="2:5" x14ac:dyDescent="0.2">
      <c r="B35">
        <v>5</v>
      </c>
      <c r="C35">
        <f>COUNTIF('Game Telemetry'!$C$6:$C$559,5)</f>
        <v>97</v>
      </c>
      <c r="D35" s="16">
        <f>AVERAGEIFS('Game Telemetry'!$N$6:$N$559,'Game Telemetry'!$C$6:$C$559,5)</f>
        <v>331.2783505154639</v>
      </c>
      <c r="E35" s="16">
        <f>AVERAGEIFS('Game Telemetry'!$J$6:$J$559,'Game Telemetry'!$C$6:$C$559,5)</f>
        <v>61.912371134020638</v>
      </c>
    </row>
    <row r="36" spans="2:5" x14ac:dyDescent="0.2">
      <c r="B36">
        <v>6</v>
      </c>
      <c r="C36">
        <f>COUNTIF('Game Telemetry'!$C$6:$C$559,6)</f>
        <v>15</v>
      </c>
      <c r="D36" s="16">
        <f>AVERAGEIFS('Game Telemetry'!$N$6:$N$559,'Game Telemetry'!$C$6:$C$559,6)</f>
        <v>328.13333333333333</v>
      </c>
      <c r="E36" s="16">
        <f>AVERAGEIFS('Game Telemetry'!$J$6:$J$559,'Game Telemetry'!$C$6:$C$559,6)</f>
        <v>55.74666666666667</v>
      </c>
    </row>
    <row r="37" spans="2:5" x14ac:dyDescent="0.2">
      <c r="B37">
        <v>7</v>
      </c>
      <c r="C37">
        <f>COUNTIF('Game Telemetry'!$C$6:$C$559,7)</f>
        <v>8</v>
      </c>
      <c r="D37" s="16">
        <f>AVERAGEIFS('Game Telemetry'!$N$6:$N$559,'Game Telemetry'!$C$6:$C$559,7)</f>
        <v>336.5</v>
      </c>
      <c r="E37" s="16">
        <f>AVERAGEIFS('Game Telemetry'!$J$6:$J$559,'Game Telemetry'!$C$6:$C$559,7)</f>
        <v>51.762500000000003</v>
      </c>
    </row>
    <row r="38" spans="2:5" x14ac:dyDescent="0.2">
      <c r="B38" s="9" t="s">
        <v>231</v>
      </c>
    </row>
    <row r="40" spans="2:5" x14ac:dyDescent="0.2">
      <c r="B40" s="3" t="s">
        <v>232</v>
      </c>
    </row>
    <row r="41" spans="2:5" x14ac:dyDescent="0.2">
      <c r="B41" t="s">
        <v>233</v>
      </c>
      <c r="C41" s="18">
        <f>COUNTA('Game Telemetry'!$B$6:$B$559)</f>
        <v>554</v>
      </c>
    </row>
    <row r="42" spans="2:5" x14ac:dyDescent="0.2">
      <c r="B42" t="s">
        <v>234</v>
      </c>
      <c r="C42" s="16">
        <f>AVERAGE('Game Telemetry'!$N$6:$N$559)</f>
        <v>326.50361010830323</v>
      </c>
    </row>
    <row r="43" spans="2:5" x14ac:dyDescent="0.2">
      <c r="B43" t="s">
        <v>235</v>
      </c>
      <c r="C43" s="16">
        <f>AVERAGE('Game Telemetry'!$J$6:$J$559)</f>
        <v>58.09512635379064</v>
      </c>
    </row>
    <row r="44" spans="2:5" x14ac:dyDescent="0.2">
      <c r="B44" t="s">
        <v>236</v>
      </c>
      <c r="C44" t="str">
        <f>COUNTIF('Game Telemetry'!$P$6:$P$559,"*distance goal*")&amp;" / "&amp;COUNTA('Game Telemetry'!$B$6:$B$559)</f>
        <v>554 / 554</v>
      </c>
    </row>
    <row r="45" spans="2:5" x14ac:dyDescent="0.2">
      <c r="B45" t="s">
        <v>237</v>
      </c>
      <c r="C45" s="18">
        <f>COUNTIF('Game Telemetry'!$M$6:$M$559,"Yes")</f>
        <v>0</v>
      </c>
    </row>
  </sheetData>
  <conditionalFormatting sqref="C7:E11">
    <cfRule type="dataBar" priority="2">
      <dataBar>
        <cfvo type="min"/>
        <cfvo type="max"/>
        <color rgb="FF4A90D9"/>
      </dataBar>
      <extLst>
        <ext xmlns:x14="http://schemas.microsoft.com/office/spreadsheetml/2009/9/main" uri="{B025F937-C7B1-47D3-B67F-A62EFF666E3E}">
          <x14:id>{8A108122-CDEC-4BAC-A410-B629763A8028}</x14:id>
        </ext>
      </extLst>
    </cfRule>
  </conditionalFormatting>
  <conditionalFormatting sqref="C14:E18">
    <cfRule type="colorScale" priority="3">
      <colorScale>
        <cfvo type="min"/>
        <cfvo type="max"/>
        <color rgb="FFFFFFFF"/>
        <color rgb="FF4A90D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08122-CDEC-4BAC-A410-B629763A8028}">
            <x14:dataBar axisPosition="none">
              <x14:cfvo type="min"/>
              <x14:cfvo type="max"/>
              <x14:negativeFillColor rgb="FF4A90D9"/>
            </x14:dataBar>
          </x14:cfRule>
          <xm:sqref>C7:E11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Player Register</vt:lpstr>
      <vt:lpstr>Game Telemetry</vt:lpstr>
      <vt:lpstr>State-Change Log</vt:lpstr>
      <vt:lpstr>Retention Statistics</vt:lpstr>
      <vt:lpstr>Gameplay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2026-08-02T17:31:52Z</dcterms:created>
  <dcterms:modified xsi:type="dcterms:W3CDTF">2026-08-03T01:37:13Z</dcterms:modified>
  <dc:language>en-US</dc:language>
</cp:coreProperties>
</file>