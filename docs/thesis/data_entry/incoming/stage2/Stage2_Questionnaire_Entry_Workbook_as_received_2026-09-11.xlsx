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idneyMBA/Library/Mobile Documents/com~apple~CloudDocs/EngD Program/2025 final thesis /2026 submission materials and publication/Final Verison Folder/updates version by claude/Final Thesis Container/stage 2 data/"/>
    </mc:Choice>
  </mc:AlternateContent>
  <xr:revisionPtr revIDLastSave="0" documentId="13_ncr:1_{E52B3550-30B6-B04C-AD7B-AD6DF6DCACB4}" xr6:coauthVersionLast="47" xr6:coauthVersionMax="47" xr10:uidLastSave="{00000000-0000-0000-0000-000000000000}"/>
  <bookViews>
    <workbookView xWindow="0" yWindow="680" windowWidth="25960" windowHeight="17080" activeTab="3" xr2:uid="{00000000-000D-0000-FFFF-FFFF00000000}"/>
  </bookViews>
  <sheets>
    <sheet name="Enter Answers" sheetId="1" r:id="rId1"/>
    <sheet name="Results" sheetId="2" r:id="rId2"/>
    <sheet name="Question Guide" sheetId="3" r:id="rId3"/>
    <sheet name="Analysis Data" sheetId="4" r:id="rId4"/>
    <sheet name="Stage 2 ID Ke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7" i="4" s="1"/>
  <c r="Z15" i="4"/>
  <c r="L15" i="4" s="1"/>
  <c r="Y15" i="4"/>
  <c r="K15" i="4" s="1"/>
  <c r="X15" i="4"/>
  <c r="J15" i="4" s="1"/>
  <c r="W15" i="4"/>
  <c r="I15" i="4" s="1"/>
  <c r="V15" i="4"/>
  <c r="H15" i="4" s="1"/>
  <c r="U15" i="4"/>
  <c r="G15" i="4" s="1"/>
  <c r="T15" i="4"/>
  <c r="F15" i="4" s="1"/>
  <c r="S15" i="4"/>
  <c r="E15" i="4" s="1"/>
  <c r="R15" i="4"/>
  <c r="D15" i="4" s="1"/>
  <c r="P15" i="4"/>
  <c r="M15" i="4"/>
  <c r="B15" i="4"/>
  <c r="A15" i="4"/>
  <c r="Z14" i="4"/>
  <c r="L14" i="4" s="1"/>
  <c r="Y14" i="4"/>
  <c r="K14" i="4" s="1"/>
  <c r="X14" i="4"/>
  <c r="J14" i="4" s="1"/>
  <c r="W14" i="4"/>
  <c r="I14" i="4" s="1"/>
  <c r="V14" i="4"/>
  <c r="H14" i="4" s="1"/>
  <c r="U14" i="4"/>
  <c r="G14" i="4" s="1"/>
  <c r="T14" i="4"/>
  <c r="F14" i="4" s="1"/>
  <c r="S14" i="4"/>
  <c r="E14" i="4" s="1"/>
  <c r="R14" i="4"/>
  <c r="D14" i="4" s="1"/>
  <c r="P14" i="4"/>
  <c r="M14" i="4"/>
  <c r="O14" i="4" s="1"/>
  <c r="B14" i="4"/>
  <c r="A14" i="4"/>
  <c r="Z13" i="4"/>
  <c r="L13" i="4" s="1"/>
  <c r="Y13" i="4"/>
  <c r="K13" i="4" s="1"/>
  <c r="X13" i="4"/>
  <c r="J13" i="4" s="1"/>
  <c r="W13" i="4"/>
  <c r="I13" i="4" s="1"/>
  <c r="V13" i="4"/>
  <c r="H13" i="4" s="1"/>
  <c r="U13" i="4"/>
  <c r="G13" i="4" s="1"/>
  <c r="T13" i="4"/>
  <c r="F13" i="4" s="1"/>
  <c r="S13" i="4"/>
  <c r="E13" i="4" s="1"/>
  <c r="R13" i="4"/>
  <c r="D13" i="4" s="1"/>
  <c r="P13" i="4"/>
  <c r="M13" i="4"/>
  <c r="B13" i="4"/>
  <c r="A13" i="4"/>
  <c r="Z12" i="4"/>
  <c r="L12" i="4" s="1"/>
  <c r="Y12" i="4"/>
  <c r="K12" i="4" s="1"/>
  <c r="X12" i="4"/>
  <c r="J12" i="4" s="1"/>
  <c r="W12" i="4"/>
  <c r="I12" i="4" s="1"/>
  <c r="V12" i="4"/>
  <c r="H12" i="4" s="1"/>
  <c r="U12" i="4"/>
  <c r="G12" i="4" s="1"/>
  <c r="T12" i="4"/>
  <c r="F12" i="4" s="1"/>
  <c r="S12" i="4"/>
  <c r="E12" i="4" s="1"/>
  <c r="R12" i="4"/>
  <c r="D12" i="4" s="1"/>
  <c r="P12" i="4"/>
  <c r="M12" i="4"/>
  <c r="B12" i="4"/>
  <c r="A12" i="4"/>
  <c r="Z11" i="4"/>
  <c r="L11" i="4" s="1"/>
  <c r="Y11" i="4"/>
  <c r="K11" i="4" s="1"/>
  <c r="X11" i="4"/>
  <c r="J11" i="4" s="1"/>
  <c r="W11" i="4"/>
  <c r="V11" i="4"/>
  <c r="H11" i="4" s="1"/>
  <c r="U11" i="4"/>
  <c r="G11" i="4" s="1"/>
  <c r="T11" i="4"/>
  <c r="F11" i="4" s="1"/>
  <c r="S11" i="4"/>
  <c r="E11" i="4" s="1"/>
  <c r="R11" i="4"/>
  <c r="D11" i="4" s="1"/>
  <c r="P11" i="4"/>
  <c r="M11" i="4"/>
  <c r="O11" i="4" s="1"/>
  <c r="B11" i="4"/>
  <c r="A11" i="4"/>
  <c r="Z10" i="4"/>
  <c r="L10" i="4" s="1"/>
  <c r="Y10" i="4"/>
  <c r="K10" i="4" s="1"/>
  <c r="X10" i="4"/>
  <c r="J10" i="4" s="1"/>
  <c r="W10" i="4"/>
  <c r="I10" i="4" s="1"/>
  <c r="V10" i="4"/>
  <c r="H10" i="4" s="1"/>
  <c r="U10" i="4"/>
  <c r="G10" i="4" s="1"/>
  <c r="T10" i="4"/>
  <c r="F10" i="4" s="1"/>
  <c r="S10" i="4"/>
  <c r="E10" i="4" s="1"/>
  <c r="R10" i="4"/>
  <c r="D10" i="4" s="1"/>
  <c r="P10" i="4"/>
  <c r="M10" i="4"/>
  <c r="O10" i="4" s="1"/>
  <c r="B10" i="4"/>
  <c r="A10" i="4"/>
  <c r="Z9" i="4"/>
  <c r="L9" i="4" s="1"/>
  <c r="Y9" i="4"/>
  <c r="K9" i="4" s="1"/>
  <c r="X9" i="4"/>
  <c r="J9" i="4" s="1"/>
  <c r="W9" i="4"/>
  <c r="I9" i="4" s="1"/>
  <c r="V9" i="4"/>
  <c r="H9" i="4" s="1"/>
  <c r="U9" i="4"/>
  <c r="G9" i="4" s="1"/>
  <c r="T9" i="4"/>
  <c r="F9" i="4" s="1"/>
  <c r="S9" i="4"/>
  <c r="E9" i="4" s="1"/>
  <c r="R9" i="4"/>
  <c r="P9" i="4"/>
  <c r="M9" i="4"/>
  <c r="B9" i="4"/>
  <c r="A9" i="4"/>
  <c r="Z8" i="4"/>
  <c r="L8" i="4" s="1"/>
  <c r="Y8" i="4"/>
  <c r="K8" i="4" s="1"/>
  <c r="X8" i="4"/>
  <c r="J8" i="4" s="1"/>
  <c r="W8" i="4"/>
  <c r="I8" i="4" s="1"/>
  <c r="V8" i="4"/>
  <c r="H8" i="4" s="1"/>
  <c r="U8" i="4"/>
  <c r="G8" i="4" s="1"/>
  <c r="T8" i="4"/>
  <c r="S8" i="4"/>
  <c r="E8" i="4" s="1"/>
  <c r="R8" i="4"/>
  <c r="P8" i="4"/>
  <c r="M8" i="4"/>
  <c r="O8" i="4" s="1"/>
  <c r="B8" i="4"/>
  <c r="A8" i="4"/>
  <c r="Z7" i="4"/>
  <c r="Y7" i="4"/>
  <c r="X7" i="4"/>
  <c r="J7" i="4" s="1"/>
  <c r="W7" i="4"/>
  <c r="V7" i="4"/>
  <c r="U7" i="4"/>
  <c r="G7" i="4" s="1"/>
  <c r="T7" i="4"/>
  <c r="S7" i="4"/>
  <c r="E7" i="4" s="1"/>
  <c r="R7" i="4"/>
  <c r="D7" i="4" s="1"/>
  <c r="P7" i="4"/>
  <c r="M7" i="4"/>
  <c r="O7" i="4" s="1"/>
  <c r="B7" i="4"/>
  <c r="A7" i="4"/>
  <c r="B31" i="1"/>
  <c r="B30" i="1"/>
  <c r="B29" i="1"/>
  <c r="B28" i="1"/>
  <c r="B27" i="1"/>
  <c r="B26" i="1"/>
  <c r="B25" i="1"/>
  <c r="B24" i="1"/>
  <c r="B23" i="1"/>
  <c r="C15" i="1"/>
  <c r="C15" i="4" s="1"/>
  <c r="C14" i="1"/>
  <c r="C14" i="4" s="1"/>
  <c r="C13" i="1"/>
  <c r="C13" i="4" s="1"/>
  <c r="C12" i="1"/>
  <c r="C12" i="4" s="1"/>
  <c r="C11" i="1"/>
  <c r="C11" i="4" s="1"/>
  <c r="C10" i="1"/>
  <c r="C10" i="4" s="1"/>
  <c r="C9" i="1"/>
  <c r="C9" i="4" s="1"/>
  <c r="C8" i="1"/>
  <c r="C8" i="4" s="1"/>
  <c r="O9" i="4" l="1"/>
  <c r="O12" i="4"/>
  <c r="O13" i="4"/>
  <c r="G60" i="2"/>
  <c r="O15" i="4"/>
  <c r="N11" i="4"/>
  <c r="P11" i="1" s="1"/>
  <c r="B55" i="2"/>
  <c r="B54" i="2"/>
  <c r="B63" i="2"/>
  <c r="B61" i="2"/>
  <c r="C69" i="2"/>
  <c r="B64" i="2"/>
  <c r="D9" i="4"/>
  <c r="B62" i="2"/>
  <c r="D8" i="4"/>
  <c r="B58" i="2"/>
  <c r="B59" i="2"/>
  <c r="B57" i="2"/>
  <c r="B60" i="2"/>
  <c r="B56" i="2"/>
  <c r="F64" i="2"/>
  <c r="F63" i="2"/>
  <c r="I11" i="4"/>
  <c r="D63" i="2"/>
  <c r="I57" i="2"/>
  <c r="N13" i="4"/>
  <c r="P13" i="1" s="1"/>
  <c r="H60" i="2"/>
  <c r="N9" i="4"/>
  <c r="P9" i="1" s="1"/>
  <c r="D19" i="2"/>
  <c r="D23" i="2"/>
  <c r="I58" i="2"/>
  <c r="N15" i="4"/>
  <c r="P15" i="1" s="1"/>
  <c r="J57" i="2"/>
  <c r="J60" i="2"/>
  <c r="L7" i="4"/>
  <c r="J54" i="2"/>
  <c r="C70" i="2"/>
  <c r="J61" i="2"/>
  <c r="J62" i="2"/>
  <c r="J58" i="2"/>
  <c r="J63" i="2"/>
  <c r="J59" i="2"/>
  <c r="J55" i="2"/>
  <c r="J64" i="2"/>
  <c r="J56" i="2"/>
  <c r="H62" i="2"/>
  <c r="H59" i="2"/>
  <c r="H54" i="2"/>
  <c r="D17" i="2"/>
  <c r="H63" i="2"/>
  <c r="H57" i="2"/>
  <c r="D18" i="2"/>
  <c r="H61" i="2"/>
  <c r="H64" i="2"/>
  <c r="H56" i="2"/>
  <c r="H55" i="2"/>
  <c r="H58" i="2"/>
  <c r="G54" i="2"/>
  <c r="G58" i="2"/>
  <c r="G63" i="2"/>
  <c r="G62" i="2"/>
  <c r="G56" i="2"/>
  <c r="G61" i="2"/>
  <c r="I7" i="4"/>
  <c r="G59" i="2"/>
  <c r="G57" i="2"/>
  <c r="G64" i="2"/>
  <c r="G55" i="2"/>
  <c r="D11" i="2"/>
  <c r="F54" i="2"/>
  <c r="F56" i="2"/>
  <c r="H7" i="4"/>
  <c r="B48" i="2" s="1"/>
  <c r="D10" i="2"/>
  <c r="F62" i="2"/>
  <c r="F60" i="2"/>
  <c r="F55" i="2"/>
  <c r="F57" i="2"/>
  <c r="F58" i="2"/>
  <c r="F59" i="2"/>
  <c r="F61" i="2"/>
  <c r="E54" i="2"/>
  <c r="E56" i="2"/>
  <c r="E59" i="2"/>
  <c r="E61" i="2"/>
  <c r="E64" i="2"/>
  <c r="E58" i="2"/>
  <c r="E63" i="2"/>
  <c r="E62" i="2"/>
  <c r="E55" i="2"/>
  <c r="E57" i="2"/>
  <c r="D9" i="2"/>
  <c r="G9" i="2" s="1"/>
  <c r="E60" i="2"/>
  <c r="D55" i="2"/>
  <c r="D62" i="2"/>
  <c r="D8" i="2"/>
  <c r="A4" i="2"/>
  <c r="D7" i="2"/>
  <c r="G7" i="2" s="1"/>
  <c r="C57" i="2"/>
  <c r="C54" i="2"/>
  <c r="C64" i="2"/>
  <c r="C60" i="2"/>
  <c r="C56" i="2"/>
  <c r="C61" i="2"/>
  <c r="C63" i="2"/>
  <c r="C59" i="2"/>
  <c r="C55" i="2"/>
  <c r="N7" i="4"/>
  <c r="P7" i="1" s="1"/>
  <c r="C62" i="2"/>
  <c r="C58" i="2"/>
  <c r="F34" i="2"/>
  <c r="F32" i="2"/>
  <c r="F33" i="2"/>
  <c r="F30" i="2"/>
  <c r="F31" i="2"/>
  <c r="B33" i="2"/>
  <c r="B31" i="2"/>
  <c r="B32" i="2"/>
  <c r="B34" i="2"/>
  <c r="B30" i="2"/>
  <c r="C17" i="2"/>
  <c r="C18" i="2"/>
  <c r="C19" i="2"/>
  <c r="B42" i="2"/>
  <c r="B47" i="2"/>
  <c r="B49" i="2"/>
  <c r="B39" i="2"/>
  <c r="K9" i="2"/>
  <c r="I56" i="2"/>
  <c r="D61" i="2"/>
  <c r="I55" i="2"/>
  <c r="D60" i="2"/>
  <c r="F7" i="4"/>
  <c r="I54" i="2"/>
  <c r="D59" i="2"/>
  <c r="I64" i="2"/>
  <c r="D58" i="2"/>
  <c r="I63" i="2"/>
  <c r="N10" i="4"/>
  <c r="P10" i="1" s="1"/>
  <c r="N12" i="4"/>
  <c r="P12" i="1" s="1"/>
  <c r="N14" i="4"/>
  <c r="P14" i="1" s="1"/>
  <c r="K8" i="2"/>
  <c r="D57" i="2"/>
  <c r="I62" i="2"/>
  <c r="N8" i="4"/>
  <c r="P8" i="1" s="1"/>
  <c r="D56" i="2"/>
  <c r="I61" i="2"/>
  <c r="K7" i="4"/>
  <c r="F8" i="4"/>
  <c r="K11" i="2"/>
  <c r="D21" i="2"/>
  <c r="K10" i="2"/>
  <c r="D22" i="2"/>
  <c r="I60" i="2"/>
  <c r="I59" i="2"/>
  <c r="D64" i="2"/>
  <c r="D54" i="2"/>
  <c r="K7" i="2"/>
  <c r="D40" i="2" l="1"/>
  <c r="E19" i="2"/>
  <c r="B44" i="2"/>
  <c r="B40" i="2"/>
  <c r="B41" i="2"/>
  <c r="H8" i="2"/>
  <c r="B43" i="2"/>
  <c r="C43" i="2" s="1"/>
  <c r="B45" i="2"/>
  <c r="C45" i="2" s="1"/>
  <c r="B46" i="2"/>
  <c r="C46" i="2" s="1"/>
  <c r="H10" i="2"/>
  <c r="F8" i="2"/>
  <c r="G8" i="2"/>
  <c r="E7" i="2"/>
  <c r="C32" i="2"/>
  <c r="E17" i="2"/>
  <c r="E40" i="2"/>
  <c r="C33" i="2"/>
  <c r="E18" i="2"/>
  <c r="D46" i="2"/>
  <c r="E46" i="2" s="1"/>
  <c r="D45" i="2"/>
  <c r="E45" i="2" s="1"/>
  <c r="D48" i="2"/>
  <c r="E48" i="2" s="1"/>
  <c r="D43" i="2"/>
  <c r="E43" i="2" s="1"/>
  <c r="D47" i="2"/>
  <c r="E47" i="2" s="1"/>
  <c r="D41" i="2"/>
  <c r="E41" i="2" s="1"/>
  <c r="G11" i="2"/>
  <c r="F11" i="2"/>
  <c r="E11" i="2"/>
  <c r="D42" i="2"/>
  <c r="E42" i="2" s="1"/>
  <c r="H11" i="2"/>
  <c r="D49" i="2"/>
  <c r="E49" i="2" s="1"/>
  <c r="D39" i="2"/>
  <c r="E39" i="2" s="1"/>
  <c r="D44" i="2"/>
  <c r="E44" i="2" s="1"/>
  <c r="C48" i="2"/>
  <c r="G10" i="2"/>
  <c r="C44" i="2"/>
  <c r="C40" i="2"/>
  <c r="E10" i="2"/>
  <c r="C49" i="2"/>
  <c r="C42" i="2"/>
  <c r="C41" i="2"/>
  <c r="C39" i="2"/>
  <c r="C47" i="2"/>
  <c r="F10" i="2"/>
  <c r="G32" i="2"/>
  <c r="G33" i="2"/>
  <c r="G30" i="2"/>
  <c r="E9" i="2"/>
  <c r="G31" i="2"/>
  <c r="G34" i="2"/>
  <c r="H9" i="2"/>
  <c r="F9" i="2"/>
  <c r="E8" i="2"/>
  <c r="H7" i="2"/>
  <c r="F7" i="2"/>
  <c r="C34" i="2"/>
  <c r="C31" i="2"/>
  <c r="C30" i="2"/>
  <c r="D34" i="2"/>
  <c r="E34" i="2" s="1"/>
  <c r="D32" i="2"/>
  <c r="E32" i="2" s="1"/>
  <c r="D30" i="2"/>
  <c r="E30" i="2" s="1"/>
  <c r="D33" i="2"/>
  <c r="E33" i="2" s="1"/>
  <c r="D31" i="2"/>
  <c r="E31" i="2" s="1"/>
  <c r="C23" i="2"/>
  <c r="E23" i="2" s="1"/>
  <c r="C21" i="2"/>
  <c r="E21" i="2" s="1"/>
  <c r="C22" i="2"/>
  <c r="E22" i="2" s="1"/>
</calcChain>
</file>

<file path=xl/sharedStrings.xml><?xml version="1.0" encoding="utf-8"?>
<sst xmlns="http://schemas.openxmlformats.org/spreadsheetml/2006/main" count="450" uniqueCount="282">
  <si>
    <t>Enter the nine answers across each row</t>
  </si>
  <si>
    <t>One row per respondent. Each question has its own column. Results calculate automatically.</t>
  </si>
  <si>
    <t>Enter scores as numbers. Q1 and Q9 accept the original written answers. Contact permission is separate in column M.</t>
  </si>
  <si>
    <t>Questionnaire record</t>
  </si>
  <si>
    <t>Stage 2 player ID</t>
  </si>
  <si>
    <t>Record type</t>
  </si>
  <si>
    <t>Q1
Memorable experience</t>
  </si>
  <si>
    <t>Q2
Enjoyment 1–5</t>
  </si>
  <si>
    <t>Q3
FRA usefulness 1–5</t>
  </si>
  <si>
    <t>Q4
Discouragement 1–5</t>
  </si>
  <si>
    <t>Q5
Steering confidence 0–10</t>
  </si>
  <si>
    <t>Q6
Recovery confidence 0–10</t>
  </si>
  <si>
    <t>Q7
Play again</t>
  </si>
  <si>
    <t>Q8
FRA again</t>
  </si>
  <si>
    <t>Q9
Reasons</t>
  </si>
  <si>
    <t>Contact permission</t>
  </si>
  <si>
    <t>Collection date</t>
  </si>
  <si>
    <t>Form wording checked</t>
  </si>
  <si>
    <t>Entry check</t>
  </si>
  <si>
    <t>S2-Q001</t>
  </si>
  <si>
    <t>Not checked</t>
  </si>
  <si>
    <t>S2-Q002</t>
  </si>
  <si>
    <t>S2-Q003</t>
  </si>
  <si>
    <t>S2-Q004</t>
  </si>
  <si>
    <t>S2-Q005</t>
  </si>
  <si>
    <t>S2-Q006</t>
  </si>
  <si>
    <t>S2-Q007</t>
  </si>
  <si>
    <t>S2-Q008</t>
  </si>
  <si>
    <t>S2-Q009</t>
  </si>
  <si>
    <t>Only when an answer is absent: record the reason below</t>
  </si>
  <si>
    <t>Leave the answer cell above empty, then choose the reason under the same question. Leave this grid empty for answered questions.</t>
  </si>
  <si>
    <t>Three steps</t>
  </si>
  <si>
    <t>1. Match each questionnaire to its established Stage 2 ID. S2-Q numbers identify records, not the player.</t>
  </si>
  <si>
    <t>2. Enter Q1–Q9 across the row, record the original form/page in O, and check that its wording matches the guide in P.</t>
  </si>
  <si>
    <t>3. Open Results. The workbook calculates each question separately and shows its own valid response count.</t>
  </si>
  <si>
    <t>A blank is not zero. A confidence score of 0 is a valid answer for Q5 and Q6.</t>
  </si>
  <si>
    <t>Q4 measures discouragement: a higher score means more discouragement. Q5 and Q6 assume the same staff support.</t>
  </si>
  <si>
    <t>If the original form differs, retain it and mark Differs. Its answers stay visible but are excluded from these reference-item results.</t>
  </si>
  <si>
    <t>Questionnaire results</t>
  </si>
  <si>
    <t>Each question is calculated separately. Maximum sample: nine questionnaire records.</t>
  </si>
  <si>
    <t>Question</t>
  </si>
  <si>
    <t>Meaning</t>
  </si>
  <si>
    <t>Scale</t>
  </si>
  <si>
    <t>Valid n</t>
  </si>
  <si>
    <t>Mean</t>
  </si>
  <si>
    <t>Median</t>
  </si>
  <si>
    <t>Minimum</t>
  </si>
  <si>
    <t>Maximum</t>
  </si>
  <si>
    <t>Record linkage</t>
  </si>
  <si>
    <t>Q2</t>
  </si>
  <si>
    <t>Enjoyment</t>
  </si>
  <si>
    <t>1–5</t>
  </si>
  <si>
    <t>Resident</t>
  </si>
  <si>
    <t>Q3</t>
  </si>
  <si>
    <t>Perceived FRA usefulness</t>
  </si>
  <si>
    <t>Control</t>
  </si>
  <si>
    <t>Q4</t>
  </si>
  <si>
    <t>Discouragement</t>
  </si>
  <si>
    <t>Unlinked</t>
  </si>
  <si>
    <t>Q5</t>
  </si>
  <si>
    <t>Steering confidence</t>
  </si>
  <si>
    <t>0–10</t>
  </si>
  <si>
    <t>Invalid ID</t>
  </si>
  <si>
    <t>Q6</t>
  </si>
  <si>
    <t>Recovery confidence</t>
  </si>
  <si>
    <t>Duplicate ID</t>
  </si>
  <si>
    <t>Mean = sum of valid scores ÷ valid n. Median = the middle score after ordering the valid scores.</t>
  </si>
  <si>
    <t>Scope</t>
  </si>
  <si>
    <t>All questionnaire records</t>
  </si>
  <si>
    <t>Controls remain identifiable.</t>
  </si>
  <si>
    <t>Choice</t>
  </si>
  <si>
    <t>Count</t>
  </si>
  <si>
    <t>Percentage</t>
  </si>
  <si>
    <t>This is not a resident-only result.</t>
  </si>
  <si>
    <t>Q7</t>
  </si>
  <si>
    <t>Yes</t>
  </si>
  <si>
    <t>Undecided</t>
  </si>
  <si>
    <t>No</t>
  </si>
  <si>
    <t>Q8</t>
  </si>
  <si>
    <t>Willing</t>
  </si>
  <si>
    <t>Unwilling</t>
  </si>
  <si>
    <t>Percentage = count selecting an option ÷ valid responses to that question. The denominator can be less than nine.</t>
  </si>
  <si>
    <t>Agreement score distributions</t>
  </si>
  <si>
    <t>Score</t>
  </si>
  <si>
    <t>Q2 count</t>
  </si>
  <si>
    <t>Q2 %</t>
  </si>
  <si>
    <t>Q3 count</t>
  </si>
  <si>
    <t>Q3 %</t>
  </si>
  <si>
    <t>Q4 count</t>
  </si>
  <si>
    <t>Q4 %</t>
  </si>
  <si>
    <t>Confidence score distributions</t>
  </si>
  <si>
    <t>Q5 count</t>
  </si>
  <si>
    <t>Q5 %</t>
  </si>
  <si>
    <t>Q6 count</t>
  </si>
  <si>
    <t>Q6 %</t>
  </si>
  <si>
    <t>Items without an analysable answer</t>
  </si>
  <si>
    <t>Status</t>
  </si>
  <si>
    <t>Q1</t>
  </si>
  <si>
    <t>Q9</t>
  </si>
  <si>
    <t>Not entered</t>
  </si>
  <si>
    <t>Not applicable</t>
  </si>
  <si>
    <t>Unable to judge</t>
  </si>
  <si>
    <t>Not recorded</t>
  </si>
  <si>
    <t>Not asked</t>
  </si>
  <si>
    <t>Skipped explicitly</t>
  </si>
  <si>
    <t>Illegible</t>
  </si>
  <si>
    <t>Ambiguous</t>
  </si>
  <si>
    <t>Invalid value</t>
  </si>
  <si>
    <t>Answer/status conflict</t>
  </si>
  <si>
    <t>Different form</t>
  </si>
  <si>
    <t>Written answers and interpretation</t>
  </si>
  <si>
    <t>Q1 written responses</t>
  </si>
  <si>
    <t>Q9 written responses</t>
  </si>
  <si>
    <t>Review Q1 and Q9 in Enter Answers. Develop themes from the actual wording and retain supporting excerpts and player IDs.</t>
  </si>
  <si>
    <t>Count respondents mentioning a theme, not the number of quotations. Themes are not automatically inferred by this workbook.</t>
  </si>
  <si>
    <t>Q4: higher scores indicate greater discouragement. Q5 and Q6 assume the same staff support.</t>
  </si>
  <si>
    <t>There is no combined score across Q1–Q9. The questions have different meanings and response scales.</t>
  </si>
  <si>
    <t>Sources and the calculation definitions are listed in Question Guide.</t>
  </si>
  <si>
    <t>Question guide and calculation rules</t>
  </si>
  <si>
    <t>Nine numbered questions. Contact permission is a separate administrative prompt.</t>
  </si>
  <si>
    <t>Topic</t>
  </si>
  <si>
    <t>Original Chinese wording</t>
  </si>
  <si>
    <t>English wording</t>
  </si>
  <si>
    <t>How to enter</t>
  </si>
  <si>
    <t>Source</t>
  </si>
  <si>
    <t>Q01</t>
  </si>
  <si>
    <t>Memorable experience</t>
  </si>
  <si>
    <t>今天玩遊戲，甚麼令您印象最深？</t>
  </si>
  <si>
    <t>What stood out most to you when playing the game today?</t>
  </si>
  <si>
    <t>Write the original answer in Enter Answers D.</t>
  </si>
  <si>
    <t>Reference 1</t>
  </si>
  <si>
    <t>Q02</t>
  </si>
  <si>
    <t>Game enjoyment</t>
  </si>
  <si>
    <t>我覺得玩這個遊戲有樂趣。</t>
  </si>
  <si>
    <t>I find playing this game enjoyable.</t>
  </si>
  <si>
    <t>Enter the selected integer 1–5 in E.</t>
  </si>
  <si>
    <t>Q03</t>
  </si>
  <si>
    <t>Perceived usefulness of FRA</t>
  </si>
  <si>
    <t>我認為跌倒風險評估有助我了解自己的平衡能力。</t>
  </si>
  <si>
    <t>I think fall risk assessment helps me understand my balance ability.</t>
  </si>
  <si>
    <t>Enter the selected integer 1–5 in F.</t>
  </si>
  <si>
    <t>Q04</t>
  </si>
  <si>
    <t>Discouragement after disappointing performance</t>
  </si>
  <si>
    <t>遊戲表現不如我所願時，我感到氣餒。</t>
  </si>
  <si>
    <t>When my game performance is not as I would like, I feel discouraged.</t>
  </si>
  <si>
    <t>Enter the selected integer 1–5 in G. Higher means more discouraged.</t>
  </si>
  <si>
    <t>Q05</t>
  </si>
  <si>
    <t>Steering confidence with staff support</t>
  </si>
  <si>
    <t>把滑雪角色轉向我想去的方向。</t>
  </si>
  <si>
    <t>Steer the skiing character in the direction I want to go.</t>
  </si>
  <si>
    <t>Enter the selected integer 0–10 in H, assuming the same staff support.</t>
  </si>
  <si>
    <t>Q06</t>
  </si>
  <si>
    <t>Recovery confidence with staff support</t>
  </si>
  <si>
    <t>轉向失誤後，重新控制滑雪角色。</t>
  </si>
  <si>
    <t>Regain control of the skiing character after a steering error.</t>
  </si>
  <si>
    <t>Enter the selected integer 0–10 in I, assuming the same staff support.</t>
  </si>
  <si>
    <t>Q07</t>
  </si>
  <si>
    <t>Intention to play again</t>
  </si>
  <si>
    <t>下次有機會參加時，您想再玩這個滑雪遊戲嗎？</t>
  </si>
  <si>
    <t>When you next have an opportunity to participate, would you like to play this skiing game again?</t>
  </si>
  <si>
    <t>Choose Yes / Undecided / No in J. Chinese: 想 / 未確定 / 不想.</t>
  </si>
  <si>
    <t>Q08</t>
  </si>
  <si>
    <t>Willingness to receive FRA again</t>
  </si>
  <si>
    <t>您願意再次接受跌倒風險評估，了解自己的平衡能力嗎？</t>
  </si>
  <si>
    <t>Would you be willing to receive fall risk assessment again to understand your balance ability?</t>
  </si>
  <si>
    <t>Choose Willing / Undecided / Unwilling in K. Chinese: 願意 / 未確定 / 不願意.</t>
  </si>
  <si>
    <t>Q09</t>
  </si>
  <si>
    <t>Reasons for replay and assessment choices</t>
  </si>
  <si>
    <t>您對再次玩遊戲及再次接受評估的選擇，主要原因是甚麼？</t>
  </si>
  <si>
    <t>What are the main reasons for your choices about playing the game again and receiving assessment again?</t>
  </si>
  <si>
    <t>Write the original answer in L. Preserve reasons for both replay and FRA choices.</t>
  </si>
  <si>
    <t>Scales</t>
  </si>
  <si>
    <t>Agreement: 1 Strongly disagree; 2 Disagree; 3 Neither agree nor disagree; 4 Agree; 5 Strongly agree.</t>
  </si>
  <si>
    <t>Confidence: 0 No confidence at all; 5 Moderate confidence; 10 Completely confident.</t>
  </si>
  <si>
    <t>The confidence questions assume the same staff support as at the questionnaire session.</t>
  </si>
  <si>
    <t>Data entry and missing answers</t>
  </si>
  <si>
    <t>Each row is one respondent record. Each question has its own answer column. Enter all nine answers across the row.</t>
  </si>
  <si>
    <t>Copy long answers into Q1 or Q9 as written. Expand the row height if needed to view the full text.</t>
  </si>
  <si>
    <t>If an answer is absent, leave its answer cell empty and select the documented reason in the grid below.</t>
  </si>
  <si>
    <t>An untouched blank means Not entered. Not recorded means the original record does not contain the answer.</t>
  </si>
  <si>
    <t>Not applicable is offered for Q2–Q4; for Q4 it applies if the respondent had no such disappointing experience.</t>
  </si>
  <si>
    <t>Do not enter a score and a missing-answer reason for the same item. Such conflicts are flagged and excluded.</t>
  </si>
  <si>
    <t>Permission to contact is entered in M, separately from Q1–Q9. It does not establish interview consent or completion.</t>
  </si>
  <si>
    <t>How results are calculated</t>
  </si>
  <si>
    <t>Valid n counts valid answers to each question. The mean divides the sum of valid scores by that item’s valid n (Reference 4).</t>
  </si>
  <si>
    <t>The median is the middle valid score; for an even count it averages the middle two values (Reference 5).</t>
  </si>
  <si>
    <t>Counts show how many respondents chose each score or option. Percentages divide each count by its item’s valid n (Reference 6).</t>
  </si>
  <si>
    <t>Empty answers and explicit missing categories are excluded. A recorded confidence score of zero is included.</t>
  </si>
  <si>
    <t>Results show each item separately. There is no validated overall questionnaire scale established by these source documents.</t>
  </si>
  <si>
    <t>For 1–5 agreement items, read the score distribution and median alongside the descriptive mean.</t>
  </si>
  <si>
    <t>Written answers require evidence-based coding and interpretation. Count people mentioning each theme rather than quotations (Reference 2).</t>
  </si>
  <si>
    <t>Source and sample checks</t>
  </si>
  <si>
    <t>The supplied pack identifies itself as a revised draft. Confirm that the original return uses these questions and response options.</t>
  </si>
  <si>
    <t>Mark Matches in column P after checking. Not checked leaves calculations provisional; Differs excludes the record from these item results.</t>
  </si>
  <si>
    <t>Results describe all nine questionnaire records as entered. Resident and control links are shown separately and must not be mislabelled.</t>
  </si>
  <si>
    <t>Use the established S2-P001–S2-P030 or S2-C001/S2-C002 IDs. Questionnaire record order does not determine player identity.</t>
  </si>
  <si>
    <t>A response rate requires a documented invited or eligible denominator. Nine returned records do not establish that denominator.</t>
  </si>
  <si>
    <t>References</t>
  </si>
  <si>
    <t>1. Stage2_Interview_and_Survey_Pack Ch.docx (n.d.). Researcher-supplied revised draft; nine numbered questions and separate contact prompt.</t>
  </si>
  <si>
    <t>2. Stage2_Evidence_Worksheet.docx (n.d.). Researcher-supplied worksheet; evidence labels, coding guide and participant denominators.</t>
  </si>
  <si>
    <t>3. Stage_2_FRA_Logbook_with_Player_IDs.xlsx (10 September 2026). Stage 2 ID Register.</t>
  </si>
  <si>
    <t>4. Microsoft. AVERAGE function. Arithmetic mean; blank cells are ignored and recorded zero values are included.</t>
  </si>
  <si>
    <t>https://support.microsoft.com/en-us/excel/functions/average-function</t>
  </si>
  <si>
    <t>5. Microsoft. MEDIAN function.</t>
  </si>
  <si>
    <t>https://support.microsoft.com/en-us/excel/functions/median-function</t>
  </si>
  <si>
    <t>6. Microsoft. COUNTIFS function. Counts records meeting the specified conditions.</t>
  </si>
  <si>
    <t>https://support.microsoft.com/en-us/excel/functions/countifs-function</t>
  </si>
  <si>
    <t>7. Researcher clarification in this task: nine questionnaire respondents; nine questions; numerical rating scales; contact permission separate.</t>
  </si>
  <si>
    <t>Other study material</t>
  </si>
  <si>
    <t>The earlier questionnaire workbook retains the full interview evidence framework. This simpler file is for entry and descriptive questionnaire results.</t>
  </si>
  <si>
    <t>Analysis data and item checks</t>
  </si>
  <si>
    <t>Calculated from Enter Answers. These cells preserve zero and exclude invalid values, conflicts and explicitly different forms.</t>
  </si>
  <si>
    <t>Answers entered</t>
  </si>
  <si>
    <t>Corrections needed</t>
  </si>
  <si>
    <t>Form check pending</t>
  </si>
  <si>
    <t>Q01 status</t>
  </si>
  <si>
    <t>Q02 status</t>
  </si>
  <si>
    <t>Q03 status</t>
  </si>
  <si>
    <t>Q04 status</t>
  </si>
  <si>
    <t>Q05 status</t>
  </si>
  <si>
    <t>Q06 status</t>
  </si>
  <si>
    <t>Q07 status</t>
  </si>
  <si>
    <t>Q08 status</t>
  </si>
  <si>
    <t>Q09 status</t>
  </si>
  <si>
    <t>Established Stage 2 player IDs</t>
  </si>
  <si>
    <t>30 residents and two controls. These are the established player codes, separate from the nine questionnaire-record codes.</t>
  </si>
  <si>
    <t>Original FRA row</t>
  </si>
  <si>
    <t>Gender</t>
  </si>
  <si>
    <t>Age in years</t>
  </si>
  <si>
    <t>S2-P001</t>
  </si>
  <si>
    <t>M</t>
  </si>
  <si>
    <t>S2-C001</t>
  </si>
  <si>
    <t>S2-P002</t>
  </si>
  <si>
    <t>S2-P003</t>
  </si>
  <si>
    <t>S2-P004</t>
  </si>
  <si>
    <t>S2-P005</t>
  </si>
  <si>
    <t>S2-P006</t>
  </si>
  <si>
    <t>S2-P007</t>
  </si>
  <si>
    <t>S2-P008</t>
  </si>
  <si>
    <t>S2-P009</t>
  </si>
  <si>
    <t>S2-P010</t>
  </si>
  <si>
    <t>S2-P011</t>
  </si>
  <si>
    <t>S2-P012</t>
  </si>
  <si>
    <t>S2-P013</t>
  </si>
  <si>
    <t>S2-C002</t>
  </si>
  <si>
    <t>F</t>
  </si>
  <si>
    <t>S2-P014</t>
  </si>
  <si>
    <t>S2-P015</t>
  </si>
  <si>
    <t>S2-P016</t>
  </si>
  <si>
    <t>S2-P017</t>
  </si>
  <si>
    <t>S2-P018</t>
  </si>
  <si>
    <t>S2-P019</t>
  </si>
  <si>
    <t>S2-P020</t>
  </si>
  <si>
    <t>S2-P021</t>
  </si>
  <si>
    <t>S2-P022</t>
  </si>
  <si>
    <t>S2-P023</t>
  </si>
  <si>
    <t>S2-P024</t>
  </si>
  <si>
    <t>S2-P025</t>
  </si>
  <si>
    <t>S2-P026</t>
  </si>
  <si>
    <t>S2-P027</t>
  </si>
  <si>
    <t>S2-P028</t>
  </si>
  <si>
    <t>S2-P029</t>
  </si>
  <si>
    <t>S2-P030</t>
  </si>
  <si>
    <t>Source: Reference 3 in Question Guide. Keep these IDs fixed when records are sorted.</t>
  </si>
  <si>
    <t>好玩，有用。知道如何同步。滑雪如何真實畫面就更好。</t>
  </si>
  <si>
    <t>好想繼續玩，因為，可以繼續鍛鍊，提高自己的防跌倒能力</t>
  </si>
  <si>
    <t>好玩，有用。滑雪畫面一般，唔夠吸引。</t>
  </si>
  <si>
    <t>好玩，有用。知道如何平衡。</t>
  </si>
  <si>
    <t>好玩，有用。知道如何平衡更有效。畫面比較弱。</t>
  </si>
  <si>
    <t>好玩，有用。玩左幾次。</t>
  </si>
  <si>
    <t>好玩，有用。好似好容易，其實有挑戰。畫面要改進。</t>
  </si>
  <si>
    <t>好玩，有用。比以前好玩好多。</t>
  </si>
  <si>
    <t>好玩，好似無特別用處。滑來滑去，玩左幾次。有時間可以再玩，不過畫面就幼稚一些。</t>
  </si>
  <si>
    <t>好玩，有用。玩左好多次。有D挑戰。</t>
  </si>
  <si>
    <t>玩完知道分數比較開心，成績不錯</t>
  </si>
  <si>
    <t>唔錯的遊戲。 用了培訓不錯。</t>
  </si>
  <si>
    <t>有用。幾有用？就好難講。感覺不錯。</t>
  </si>
  <si>
    <t>有D人唔試，真系唔知點解。幾有用。可以鍛鍊，集中精神</t>
  </si>
  <si>
    <t>有用。幾有用？就好難講。比以前進步。</t>
  </si>
  <si>
    <t>想分享一下體驗。可以提高集中注意力。唔知其他人點解唔試</t>
  </si>
  <si>
    <t>好有用。活動力提高。有遊戲好玩好多，</t>
  </si>
  <si>
    <t>感覺有D用，無以前咁痛。可以鍛鍊多D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</si>
</sst>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>
    <font>
      <sz val="11"/>
      <name val="Carlito"/>
    </font>
    <font>
      <sz val="10"/>
      <color rgb="FF202A35"/>
      <name val="Arial"/>
      <family val="2"/>
    </font>
    <font>
      <b/>
      <sz val="15"/>
      <color rgb="FF26466D"/>
      <name val="Arial"/>
      <family val="2"/>
    </font>
    <font>
      <b/>
      <sz val="10"/>
      <color rgb="FFFFFFFF"/>
      <name val="Arial"/>
      <family val="2"/>
    </font>
    <font>
      <sz val="10"/>
      <color rgb="FF202A35"/>
      <name val="Arial Unicode MS"/>
      <family val="2"/>
    </font>
    <font>
      <b/>
      <sz val="10"/>
      <color rgb="FF202A35"/>
      <name val="Arial"/>
      <family val="2"/>
    </font>
    <font>
      <sz val="10"/>
      <color theme="1"/>
      <name val="Calibri"/>
      <family val="2"/>
    </font>
    <font>
      <sz val="12"/>
      <color rgb="FF202A35"/>
      <name val="Arial"/>
      <family val="2"/>
    </font>
    <font>
      <sz val="12"/>
      <name val="Carlito"/>
    </font>
    <font>
      <b/>
      <sz val="12"/>
      <color rgb="FF26466D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6466D"/>
      </patternFill>
    </fill>
    <fill>
      <patternFill patternType="solid">
        <fgColor rgb="FFFFF9E9"/>
      </patternFill>
    </fill>
    <fill>
      <patternFill patternType="solid">
        <fgColor rgb="FFEEF2F6"/>
      </patternFill>
    </fill>
    <fill>
      <patternFill patternType="solid">
        <fgColor rgb="FFFFF9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1" fontId="1" fillId="3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1" fillId="5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1" fontId="7" fillId="4" borderId="0" xfId="0" applyNumberFormat="1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7">
    <dxf>
      <font>
        <b/>
      </font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466D"/>
  </sheetPr>
  <dimension ref="A1:P4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C9" sqref="C9"/>
    </sheetView>
  </sheetViews>
  <sheetFormatPr baseColWidth="10" defaultColWidth="8.83203125" defaultRowHeight="14"/>
  <cols>
    <col min="1" max="1" width="19" customWidth="1"/>
    <col min="2" max="2" width="18" customWidth="1"/>
    <col min="3" max="3" width="16" customWidth="1"/>
    <col min="4" max="4" width="38" customWidth="1"/>
    <col min="5" max="5" width="19" customWidth="1"/>
    <col min="6" max="6" width="21" customWidth="1"/>
    <col min="7" max="7" width="23" customWidth="1"/>
    <col min="8" max="9" width="24" customWidth="1"/>
    <col min="10" max="10" width="21" customWidth="1"/>
    <col min="11" max="11" width="23" customWidth="1"/>
    <col min="12" max="12" width="46" customWidth="1"/>
    <col min="13" max="13" width="24" customWidth="1"/>
    <col min="14" max="14" width="20" customWidth="1"/>
    <col min="15" max="15" width="24" customWidth="1"/>
    <col min="16" max="16" width="32" customWidth="1"/>
  </cols>
  <sheetData>
    <row r="1" spans="1:16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4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4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62" customHeight="1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</row>
    <row r="7" spans="1:16" ht="68" customHeight="1">
      <c r="A7" s="5" t="s">
        <v>19</v>
      </c>
      <c r="B7" s="17" t="s">
        <v>256</v>
      </c>
      <c r="C7" s="5" t="str">
        <f>IF(LEN(B7)=0,"Unlinked",IF(COUNTIFS('Stage 2 ID Key'!$A$7:$A$38,B7)&lt;&gt;1,"Invalid ID",IF(COUNTIFS($B$7:$B$15,B7)&gt;1,"Duplicate ID",INDEX('Stage 2 ID Key'!$B$7:$B$38,MATCH(B7,'Stage 2 ID Key'!$A$7:$A$38,0)))))</f>
        <v>Resident</v>
      </c>
      <c r="D7" s="7" t="s">
        <v>264</v>
      </c>
      <c r="E7" s="8">
        <v>4</v>
      </c>
      <c r="F7" s="8">
        <v>4</v>
      </c>
      <c r="G7" s="8">
        <v>2</v>
      </c>
      <c r="H7" s="8">
        <v>8</v>
      </c>
      <c r="I7" s="8">
        <v>8</v>
      </c>
      <c r="J7" s="6" t="s">
        <v>75</v>
      </c>
      <c r="K7" s="6" t="s">
        <v>79</v>
      </c>
      <c r="L7" s="7" t="s">
        <v>265</v>
      </c>
      <c r="M7" s="6" t="s">
        <v>75</v>
      </c>
      <c r="N7" s="9">
        <v>45894</v>
      </c>
      <c r="O7" s="6" t="s">
        <v>20</v>
      </c>
      <c r="P7" s="5" t="str">
        <f>IF('Analysis Data'!N7&gt;0,"Correct flagged items",IF('Analysis Data'!M7=0,"Awaiting answers",IF(O7&lt;&gt;"Matches","Check original form wording",IF(OR(C7="Unlinked",C7="Invalid ID",C7="Duplicate ID"),"Check player ID","Ready to review"))))</f>
        <v>Check original form wording</v>
      </c>
    </row>
    <row r="8" spans="1:16" ht="68" customHeight="1">
      <c r="A8" s="5" t="s">
        <v>21</v>
      </c>
      <c r="B8" s="6" t="s">
        <v>257</v>
      </c>
      <c r="C8" s="5" t="str">
        <f>IF(LEN(B8)=0,"Unlinked",IF(COUNTIFS('Stage 2 ID Key'!$A$7:$A$38,B8)&lt;&gt;1,"Invalid ID",IF(COUNTIFS($B$7:$B$15,B8)&gt;1,"Duplicate ID",INDEX('Stage 2 ID Key'!$B$7:$B$38,MATCH(B8,'Stage 2 ID Key'!$A$7:$A$38,0)))))</f>
        <v>Resident</v>
      </c>
      <c r="D8" s="7" t="s">
        <v>266</v>
      </c>
      <c r="E8" s="18">
        <v>4</v>
      </c>
      <c r="F8" s="18">
        <v>5</v>
      </c>
      <c r="G8" s="18">
        <v>3</v>
      </c>
      <c r="H8" s="18">
        <v>7</v>
      </c>
      <c r="I8" s="18">
        <v>8</v>
      </c>
      <c r="J8" s="6" t="s">
        <v>75</v>
      </c>
      <c r="K8" s="6" t="s">
        <v>79</v>
      </c>
      <c r="L8" s="7" t="s">
        <v>274</v>
      </c>
      <c r="M8" s="6" t="s">
        <v>75</v>
      </c>
      <c r="N8" s="9">
        <v>45896</v>
      </c>
      <c r="O8" s="6" t="s">
        <v>20</v>
      </c>
      <c r="P8" s="5" t="str">
        <f>IF('Analysis Data'!N8&gt;0,"Correct flagged items",IF('Analysis Data'!M8=0,"Awaiting answers",IF(O8&lt;&gt;"Matches","Check original form wording",IF(OR(C8="Unlinked",C8="Invalid ID",C8="Duplicate ID"),"Check player ID","Ready to review"))))</f>
        <v>Check original form wording</v>
      </c>
    </row>
    <row r="9" spans="1:16" ht="68" customHeight="1">
      <c r="A9" s="5" t="s">
        <v>22</v>
      </c>
      <c r="B9" s="17" t="s">
        <v>243</v>
      </c>
      <c r="C9" s="5" t="str">
        <f>IF(LEN(B9)=0,"Unlinked",IF(COUNTIFS('Stage 2 ID Key'!$A$7:$A$38,B9)&lt;&gt;1,"Invalid ID",IF(COUNTIFS($B$7:$B$15,B9)&gt;1,"Duplicate ID",INDEX('Stage 2 ID Key'!$B$7:$B$38,MATCH(B9,'Stage 2 ID Key'!$A$7:$A$38,0)))))</f>
        <v>Resident</v>
      </c>
      <c r="D9" s="7" t="s">
        <v>267</v>
      </c>
      <c r="E9" s="18">
        <v>4</v>
      </c>
      <c r="F9" s="18">
        <v>5</v>
      </c>
      <c r="G9" s="18">
        <v>2</v>
      </c>
      <c r="H9" s="18">
        <v>7</v>
      </c>
      <c r="I9" s="18">
        <v>7</v>
      </c>
      <c r="J9" s="6" t="s">
        <v>75</v>
      </c>
      <c r="K9" s="6" t="s">
        <v>79</v>
      </c>
      <c r="L9" s="7" t="s">
        <v>275</v>
      </c>
      <c r="M9" s="6" t="s">
        <v>75</v>
      </c>
      <c r="N9" s="9">
        <v>45904</v>
      </c>
      <c r="O9" s="6" t="s">
        <v>20</v>
      </c>
      <c r="P9" s="5" t="str">
        <f>IF('Analysis Data'!N9&gt;0,"Correct flagged items",IF('Analysis Data'!M9=0,"Awaiting answers",IF(O9&lt;&gt;"Matches","Check original form wording",IF(OR(C9="Unlinked",C9="Invalid ID",C9="Duplicate ID"),"Check player ID","Ready to review"))))</f>
        <v>Check original form wording</v>
      </c>
    </row>
    <row r="10" spans="1:16" ht="68" customHeight="1">
      <c r="A10" s="5" t="s">
        <v>23</v>
      </c>
      <c r="B10" s="17" t="s">
        <v>235</v>
      </c>
      <c r="C10" s="5" t="str">
        <f>IF(LEN(B10)=0,"Unlinked",IF(COUNTIFS('Stage 2 ID Key'!$A$7:$A$38,B10)&lt;&gt;1,"Invalid ID",IF(COUNTIFS($B$7:$B$15,B10)&gt;1,"Duplicate ID",INDEX('Stage 2 ID Key'!$B$7:$B$38,MATCH(B10,'Stage 2 ID Key'!$A$7:$A$38,0)))))</f>
        <v>Resident</v>
      </c>
      <c r="D10" s="7" t="s">
        <v>268</v>
      </c>
      <c r="E10" s="8">
        <v>4</v>
      </c>
      <c r="F10" s="8">
        <v>4</v>
      </c>
      <c r="G10" s="8">
        <v>2</v>
      </c>
      <c r="H10" s="8">
        <v>8</v>
      </c>
      <c r="I10" s="8">
        <v>8</v>
      </c>
      <c r="J10" s="6" t="s">
        <v>75</v>
      </c>
      <c r="K10" s="6" t="s">
        <v>79</v>
      </c>
      <c r="L10" s="7" t="s">
        <v>276</v>
      </c>
      <c r="M10" s="6" t="s">
        <v>75</v>
      </c>
      <c r="N10" s="9">
        <v>45904</v>
      </c>
      <c r="O10" s="6" t="s">
        <v>20</v>
      </c>
      <c r="P10" s="5" t="str">
        <f>IF('Analysis Data'!N10&gt;0,"Correct flagged items",IF('Analysis Data'!M10=0,"Awaiting answers",IF(O10&lt;&gt;"Matches","Check original form wording",IF(OR(C10="Unlinked",C10="Invalid ID",C10="Duplicate ID"),"Check player ID","Ready to review"))))</f>
        <v>Check original form wording</v>
      </c>
    </row>
    <row r="11" spans="1:16" ht="68" customHeight="1">
      <c r="A11" s="5" t="s">
        <v>24</v>
      </c>
      <c r="B11" s="17" t="s">
        <v>246</v>
      </c>
      <c r="C11" s="5" t="str">
        <f>IF(LEN(B11)=0,"Unlinked",IF(COUNTIFS('Stage 2 ID Key'!$A$7:$A$38,B11)&lt;&gt;1,"Invalid ID",IF(COUNTIFS($B$7:$B$15,B11)&gt;1,"Duplicate ID",INDEX('Stage 2 ID Key'!$B$7:$B$38,MATCH(B11,'Stage 2 ID Key'!$A$7:$A$38,0)))))</f>
        <v>Resident</v>
      </c>
      <c r="D11" s="7" t="s">
        <v>269</v>
      </c>
      <c r="E11" s="8">
        <v>5</v>
      </c>
      <c r="F11" s="8">
        <v>5</v>
      </c>
      <c r="G11" s="8">
        <v>2</v>
      </c>
      <c r="H11" s="8">
        <v>8</v>
      </c>
      <c r="I11" s="8">
        <v>8</v>
      </c>
      <c r="J11" s="6" t="s">
        <v>75</v>
      </c>
      <c r="K11" s="6" t="s">
        <v>79</v>
      </c>
      <c r="L11" s="7" t="s">
        <v>277</v>
      </c>
      <c r="M11" s="6" t="s">
        <v>75</v>
      </c>
      <c r="N11" s="9">
        <v>45910</v>
      </c>
      <c r="O11" s="6" t="s">
        <v>20</v>
      </c>
      <c r="P11" s="5" t="str">
        <f>IF('Analysis Data'!N11&gt;0,"Correct flagged items",IF('Analysis Data'!M11=0,"Awaiting answers",IF(O11&lt;&gt;"Matches","Check original form wording",IF(OR(C11="Unlinked",C11="Invalid ID",C11="Duplicate ID"),"Check player ID","Ready to review"))))</f>
        <v>Check original form wording</v>
      </c>
    </row>
    <row r="12" spans="1:16" ht="68" customHeight="1">
      <c r="A12" s="5" t="s">
        <v>25</v>
      </c>
      <c r="B12" s="6" t="s">
        <v>234</v>
      </c>
      <c r="C12" s="5" t="str">
        <f>IF(LEN(B12)=0,"Unlinked",IF(COUNTIFS('Stage 2 ID Key'!$A$7:$A$38,B12)&lt;&gt;1,"Invalid ID",IF(COUNTIFS($B$7:$B$15,B12)&gt;1,"Duplicate ID",INDEX('Stage 2 ID Key'!$B$7:$B$38,MATCH(B12,'Stage 2 ID Key'!$A$7:$A$38,0)))))</f>
        <v>Resident</v>
      </c>
      <c r="D12" s="7" t="s">
        <v>270</v>
      </c>
      <c r="E12" s="18">
        <v>5</v>
      </c>
      <c r="F12" s="18">
        <v>5</v>
      </c>
      <c r="G12" s="18">
        <v>1</v>
      </c>
      <c r="H12" s="18">
        <v>8</v>
      </c>
      <c r="I12" s="18">
        <v>9</v>
      </c>
      <c r="J12" s="6" t="s">
        <v>75</v>
      </c>
      <c r="K12" s="6" t="s">
        <v>79</v>
      </c>
      <c r="L12" s="7" t="s">
        <v>278</v>
      </c>
      <c r="M12" s="6" t="s">
        <v>75</v>
      </c>
      <c r="N12" s="9">
        <v>45914</v>
      </c>
      <c r="O12" s="6" t="s">
        <v>20</v>
      </c>
      <c r="P12" s="5" t="str">
        <f>IF('Analysis Data'!N12&gt;0,"Correct flagged items",IF('Analysis Data'!M12=0,"Awaiting answers",IF(O12&lt;&gt;"Matches","Check original form wording",IF(OR(C12="Unlinked",C12="Invalid ID",C12="Duplicate ID"),"Check player ID","Ready to review"))))</f>
        <v>Check original form wording</v>
      </c>
    </row>
    <row r="13" spans="1:16" ht="68" customHeight="1">
      <c r="A13" s="5" t="s">
        <v>26</v>
      </c>
      <c r="B13" s="6" t="s">
        <v>249</v>
      </c>
      <c r="C13" s="5" t="str">
        <f>IF(LEN(B13)=0,"Unlinked",IF(COUNTIFS('Stage 2 ID Key'!$A$7:$A$38,B13)&lt;&gt;1,"Invalid ID",IF(COUNTIFS($B$7:$B$15,B13)&gt;1,"Duplicate ID",INDEX('Stage 2 ID Key'!$B$7:$B$38,MATCH(B13,'Stage 2 ID Key'!$A$7:$A$38,0)))))</f>
        <v>Resident</v>
      </c>
      <c r="D13" s="7" t="s">
        <v>271</v>
      </c>
      <c r="E13" s="8">
        <v>4</v>
      </c>
      <c r="F13" s="8">
        <v>4</v>
      </c>
      <c r="G13" s="8">
        <v>2</v>
      </c>
      <c r="H13" s="8">
        <v>8</v>
      </c>
      <c r="I13" s="8">
        <v>8</v>
      </c>
      <c r="J13" s="6" t="s">
        <v>75</v>
      </c>
      <c r="K13" s="6" t="s">
        <v>79</v>
      </c>
      <c r="L13" s="7" t="s">
        <v>279</v>
      </c>
      <c r="M13" s="6" t="s">
        <v>75</v>
      </c>
      <c r="N13" s="9">
        <v>45915</v>
      </c>
      <c r="O13" s="6" t="s">
        <v>20</v>
      </c>
      <c r="P13" s="5" t="str">
        <f>IF('Analysis Data'!N13&gt;0,"Correct flagged items",IF('Analysis Data'!M13=0,"Awaiting answers",IF(O13&lt;&gt;"Matches","Check original form wording",IF(OR(C13="Unlinked",C13="Invalid ID",C13="Duplicate ID"),"Check player ID","Ready to review"))))</f>
        <v>Check original form wording</v>
      </c>
    </row>
    <row r="14" spans="1:16" ht="68" customHeight="1">
      <c r="A14" s="5" t="s">
        <v>27</v>
      </c>
      <c r="B14" s="17" t="s">
        <v>262</v>
      </c>
      <c r="C14" s="5" t="str">
        <f>IF(LEN(B14)=0,"Unlinked",IF(COUNTIFS('Stage 2 ID Key'!$A$7:$A$38,B14)&lt;&gt;1,"Invalid ID",IF(COUNTIFS($B$7:$B$15,B14)&gt;1,"Duplicate ID",INDEX('Stage 2 ID Key'!$B$7:$B$38,MATCH(B14,'Stage 2 ID Key'!$A$7:$A$38,0)))))</f>
        <v>Resident</v>
      </c>
      <c r="D14" s="7" t="s">
        <v>272</v>
      </c>
      <c r="E14" s="18">
        <v>4</v>
      </c>
      <c r="F14" s="18">
        <v>5</v>
      </c>
      <c r="G14" s="18">
        <v>2</v>
      </c>
      <c r="H14" s="18">
        <v>6</v>
      </c>
      <c r="I14" s="18">
        <v>6</v>
      </c>
      <c r="J14" s="6" t="s">
        <v>75</v>
      </c>
      <c r="K14" s="6" t="s">
        <v>79</v>
      </c>
      <c r="L14" s="7" t="s">
        <v>280</v>
      </c>
      <c r="M14" s="6" t="s">
        <v>75</v>
      </c>
      <c r="N14" s="9">
        <v>45915</v>
      </c>
      <c r="O14" s="6" t="s">
        <v>20</v>
      </c>
      <c r="P14" s="5" t="str">
        <f>IF('Analysis Data'!N14&gt;0,"Correct flagged items",IF('Analysis Data'!M14=0,"Awaiting answers",IF(O14&lt;&gt;"Matches","Check original form wording",IF(OR(C14="Unlinked",C14="Invalid ID",C14="Duplicate ID"),"Check player ID","Ready to review"))))</f>
        <v>Check original form wording</v>
      </c>
    </row>
    <row r="15" spans="1:16" ht="68" customHeight="1">
      <c r="A15" s="5" t="s">
        <v>28</v>
      </c>
      <c r="B15" s="17" t="s">
        <v>255</v>
      </c>
      <c r="C15" s="5" t="str">
        <f>IF(LEN(B15)=0,"Unlinked",IF(COUNTIFS('Stage 2 ID Key'!$A$7:$A$38,B15)&lt;&gt;1,"Invalid ID",IF(COUNTIFS($B$7:$B$15,B15)&gt;1,"Duplicate ID",INDEX('Stage 2 ID Key'!$B$7:$B$38,MATCH(B15,'Stage 2 ID Key'!$A$7:$A$38,0)))))</f>
        <v>Resident</v>
      </c>
      <c r="D15" s="7" t="s">
        <v>273</v>
      </c>
      <c r="E15" s="8">
        <v>5</v>
      </c>
      <c r="F15" s="8">
        <v>5</v>
      </c>
      <c r="G15" s="8">
        <v>1</v>
      </c>
      <c r="H15" s="8">
        <v>7</v>
      </c>
      <c r="I15" s="8">
        <v>7</v>
      </c>
      <c r="J15" s="6" t="s">
        <v>75</v>
      </c>
      <c r="K15" s="6" t="s">
        <v>79</v>
      </c>
      <c r="L15" s="7" t="s">
        <v>281</v>
      </c>
      <c r="M15" s="6" t="s">
        <v>75</v>
      </c>
      <c r="N15" s="9">
        <v>45917</v>
      </c>
      <c r="O15" s="6" t="s">
        <v>20</v>
      </c>
      <c r="P15" s="5" t="str">
        <f>IF('Analysis Data'!N15&gt;0,"Correct flagged items",IF('Analysis Data'!M15=0,"Awaiting answers",IF(O15&lt;&gt;"Matches","Check original form wording",IF(OR(C15="Unlinked",C15="Invalid ID",C15="Duplicate ID"),"Check player ID","Ready to review"))))</f>
        <v>Check original form wording</v>
      </c>
    </row>
    <row r="16" spans="1:16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customHeight="1">
      <c r="A19" s="10" t="s">
        <v>29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"/>
      <c r="N19" s="1"/>
      <c r="O19" s="1"/>
      <c r="P19" s="1"/>
    </row>
    <row r="20" spans="1:16" ht="24" customHeight="1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62" customHeight="1">
      <c r="A22" s="3" t="s">
        <v>3</v>
      </c>
      <c r="B22" s="3" t="s">
        <v>4</v>
      </c>
      <c r="C22" s="3"/>
      <c r="D22" s="3" t="s">
        <v>6</v>
      </c>
      <c r="E22" s="3" t="s">
        <v>7</v>
      </c>
      <c r="F22" s="3" t="s">
        <v>8</v>
      </c>
      <c r="G22" s="3" t="s">
        <v>9</v>
      </c>
      <c r="H22" s="3" t="s">
        <v>10</v>
      </c>
      <c r="I22" s="3" t="s">
        <v>11</v>
      </c>
      <c r="J22" s="3" t="s">
        <v>12</v>
      </c>
      <c r="K22" s="3" t="s">
        <v>13</v>
      </c>
      <c r="L22" s="3" t="s">
        <v>14</v>
      </c>
      <c r="M22" s="1"/>
      <c r="N22" s="1"/>
      <c r="O22" s="1"/>
      <c r="P22" s="1"/>
    </row>
    <row r="23" spans="1:16" ht="37" customHeight="1">
      <c r="A23" s="5" t="s">
        <v>19</v>
      </c>
      <c r="B23" s="5" t="str">
        <f t="shared" ref="B23:B31" si="0">IF(LEN(B7)=0,"",B7)</f>
        <v>S2-P024</v>
      </c>
      <c r="C23" s="11"/>
      <c r="D23" s="6"/>
      <c r="E23" s="6"/>
      <c r="F23" s="6"/>
      <c r="G23" s="6"/>
      <c r="H23" s="6"/>
      <c r="I23" s="6"/>
      <c r="J23" s="6"/>
      <c r="K23" s="6"/>
      <c r="L23" s="6"/>
      <c r="M23" s="1"/>
      <c r="N23" s="1"/>
      <c r="O23" s="1"/>
      <c r="P23" s="1"/>
    </row>
    <row r="24" spans="1:16" ht="37" customHeight="1">
      <c r="A24" s="5" t="s">
        <v>21</v>
      </c>
      <c r="B24" s="5" t="str">
        <f t="shared" si="0"/>
        <v>S2-P025</v>
      </c>
      <c r="C24" s="11"/>
      <c r="D24" s="6"/>
      <c r="E24" s="6"/>
      <c r="F24" s="6"/>
      <c r="G24" s="6"/>
      <c r="H24" s="6"/>
      <c r="I24" s="6"/>
      <c r="J24" s="6"/>
      <c r="K24" s="6"/>
      <c r="L24" s="6"/>
      <c r="M24" s="1"/>
      <c r="N24" s="1"/>
      <c r="O24" s="1"/>
      <c r="P24" s="1"/>
    </row>
    <row r="25" spans="1:16" ht="37" customHeight="1">
      <c r="A25" s="5" t="s">
        <v>22</v>
      </c>
      <c r="B25" s="5" t="str">
        <f t="shared" si="0"/>
        <v>S2-P013</v>
      </c>
      <c r="C25" s="11"/>
      <c r="D25" s="6"/>
      <c r="E25" s="6"/>
      <c r="F25" s="6"/>
      <c r="G25" s="6"/>
      <c r="H25" s="6"/>
      <c r="I25" s="6"/>
      <c r="J25" s="6"/>
      <c r="K25" s="6"/>
      <c r="L25" s="6"/>
      <c r="M25" s="1"/>
      <c r="N25" s="1"/>
      <c r="O25" s="1"/>
      <c r="P25" s="1"/>
    </row>
    <row r="26" spans="1:16" ht="37" customHeight="1">
      <c r="A26" s="5" t="s">
        <v>23</v>
      </c>
      <c r="B26" s="5" t="str">
        <f t="shared" si="0"/>
        <v>S2-P005</v>
      </c>
      <c r="C26" s="11"/>
      <c r="D26" s="6"/>
      <c r="E26" s="6"/>
      <c r="F26" s="6"/>
      <c r="G26" s="6"/>
      <c r="H26" s="6"/>
      <c r="I26" s="6"/>
      <c r="J26" s="6"/>
      <c r="K26" s="6"/>
      <c r="L26" s="6"/>
      <c r="M26" s="1"/>
      <c r="N26" s="1"/>
      <c r="O26" s="1"/>
      <c r="P26" s="1"/>
    </row>
    <row r="27" spans="1:16" ht="37" customHeight="1">
      <c r="A27" s="5" t="s">
        <v>24</v>
      </c>
      <c r="B27" s="5" t="str">
        <f t="shared" si="0"/>
        <v>S2-P014</v>
      </c>
      <c r="C27" s="11"/>
      <c r="D27" s="6"/>
      <c r="E27" s="6"/>
      <c r="F27" s="6"/>
      <c r="G27" s="6"/>
      <c r="H27" s="6"/>
      <c r="I27" s="6"/>
      <c r="J27" s="6"/>
      <c r="K27" s="6"/>
      <c r="L27" s="6"/>
      <c r="M27" s="1"/>
      <c r="N27" s="1"/>
      <c r="O27" s="1"/>
      <c r="P27" s="1"/>
    </row>
    <row r="28" spans="1:16" ht="37" customHeight="1">
      <c r="A28" s="5" t="s">
        <v>25</v>
      </c>
      <c r="B28" s="5" t="str">
        <f t="shared" si="0"/>
        <v>S2-P004</v>
      </c>
      <c r="C28" s="11"/>
      <c r="D28" s="6"/>
      <c r="E28" s="6"/>
      <c r="F28" s="6"/>
      <c r="G28" s="6"/>
      <c r="H28" s="6"/>
      <c r="I28" s="6"/>
      <c r="J28" s="6"/>
      <c r="K28" s="6"/>
      <c r="L28" s="6"/>
      <c r="M28" s="1"/>
      <c r="N28" s="1"/>
      <c r="O28" s="1"/>
      <c r="P28" s="1"/>
    </row>
    <row r="29" spans="1:16" ht="37" customHeight="1">
      <c r="A29" s="5" t="s">
        <v>26</v>
      </c>
      <c r="B29" s="5" t="str">
        <f t="shared" si="0"/>
        <v>S2-P017</v>
      </c>
      <c r="C29" s="11"/>
      <c r="D29" s="6"/>
      <c r="E29" s="6"/>
      <c r="F29" s="6"/>
      <c r="G29" s="6"/>
      <c r="H29" s="6"/>
      <c r="I29" s="6"/>
      <c r="J29" s="6"/>
      <c r="K29" s="6"/>
      <c r="L29" s="6"/>
      <c r="M29" s="1"/>
      <c r="N29" s="1"/>
      <c r="O29" s="1"/>
      <c r="P29" s="1"/>
    </row>
    <row r="30" spans="1:16" ht="37" customHeight="1">
      <c r="A30" s="5" t="s">
        <v>27</v>
      </c>
      <c r="B30" s="5" t="str">
        <f t="shared" si="0"/>
        <v>S2-P030</v>
      </c>
      <c r="C30" s="11"/>
      <c r="D30" s="6"/>
      <c r="E30" s="6"/>
      <c r="F30" s="6"/>
      <c r="G30" s="6"/>
      <c r="H30" s="6"/>
      <c r="I30" s="6"/>
      <c r="J30" s="6"/>
      <c r="K30" s="6"/>
      <c r="L30" s="6"/>
      <c r="M30" s="1"/>
      <c r="N30" s="1"/>
      <c r="O30" s="1"/>
      <c r="P30" s="1"/>
    </row>
    <row r="31" spans="1:16" ht="37" customHeight="1">
      <c r="A31" s="5" t="s">
        <v>28</v>
      </c>
      <c r="B31" s="5" t="str">
        <f t="shared" si="0"/>
        <v>S2-P023</v>
      </c>
      <c r="C31" s="11"/>
      <c r="D31" s="6"/>
      <c r="E31" s="6"/>
      <c r="F31" s="6"/>
      <c r="G31" s="6"/>
      <c r="H31" s="6"/>
      <c r="I31" s="6"/>
      <c r="J31" s="6"/>
      <c r="K31" s="6"/>
      <c r="L31" s="6"/>
      <c r="M31" s="1"/>
      <c r="N31" s="1"/>
      <c r="O31" s="1"/>
      <c r="P31" s="1"/>
    </row>
    <row r="32" spans="1:16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customHeight="1">
      <c r="A34" s="10" t="s">
        <v>31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"/>
      <c r="N34" s="1"/>
      <c r="O34" s="1"/>
      <c r="P34" s="1"/>
    </row>
    <row r="35" spans="1:16" ht="24" customHeight="1">
      <c r="A35" s="1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customHeight="1">
      <c r="A36" s="1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customHeight="1">
      <c r="A37" s="1" t="s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customHeight="1">
      <c r="A38" s="1" t="s">
        <v>35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customHeight="1">
      <c r="A39" s="1" t="s">
        <v>36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customHeight="1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</sheetData>
  <conditionalFormatting sqref="A7 C7 A8:C8 A9:A11 C9:C11 A12:C13 A14:A15 C14:C15">
    <cfRule type="expression" dxfId="6" priority="7">
      <formula>$C7="Control"</formula>
    </cfRule>
  </conditionalFormatting>
  <conditionalFormatting sqref="B7">
    <cfRule type="expression" dxfId="5" priority="6">
      <formula>LEFT($A7,4)="S2-C"</formula>
    </cfRule>
  </conditionalFormatting>
  <conditionalFormatting sqref="B9:B11">
    <cfRule type="expression" dxfId="4" priority="3">
      <formula>LEFT($A9,4)="S2-C"</formula>
    </cfRule>
  </conditionalFormatting>
  <conditionalFormatting sqref="B14:B15">
    <cfRule type="expression" dxfId="3" priority="1">
      <formula>LEFT($A14,4)="S2-C"</formula>
    </cfRule>
  </conditionalFormatting>
  <conditionalFormatting sqref="C7 B8:C8 C9:C11 B12:C13 C14:C15">
    <cfRule type="expression" dxfId="2" priority="8">
      <formula>OR($C7="Invalid ID",$C7="Duplicate ID")</formula>
    </cfRule>
  </conditionalFormatting>
  <dataValidations count="9">
    <dataValidation type="list" sqref="B7:B15" xr:uid="{00000000-0002-0000-0000-000000000000}">
      <formula1>INDIRECT("'Stage 2 ID Key'!$A$7:$A$38")</formula1>
    </dataValidation>
    <dataValidation type="whole" sqref="E15:G15 E13:G13 E7:G7 E10:G11" xr:uid="{00000000-0002-0000-0000-000001000000}">
      <formula1>1</formula1>
      <formula2>5</formula2>
    </dataValidation>
    <dataValidation type="whole" sqref="H15:I15 H13:I13 H7:I7 H10:I11" xr:uid="{00000000-0002-0000-0000-000004000000}">
      <formula1>0</formula1>
      <formula2>10</formula2>
    </dataValidation>
    <dataValidation type="list" sqref="J7:J15" xr:uid="{00000000-0002-0000-0000-000006000000}">
      <formula1>"Yes,Undecided,No"</formula1>
    </dataValidation>
    <dataValidation type="list" sqref="K7:K15" xr:uid="{00000000-0002-0000-0000-000007000000}">
      <formula1>"Willing,Undecided,Unwilling"</formula1>
    </dataValidation>
    <dataValidation type="list" sqref="M7:M15" xr:uid="{00000000-0002-0000-0000-000008000000}">
      <formula1>"Yes,No,Decide later,Not recorded"</formula1>
    </dataValidation>
    <dataValidation type="list" sqref="O7:O15" xr:uid="{00000000-0002-0000-0000-000009000000}">
      <formula1>"Not checked,Matches,Differs"</formula1>
    </dataValidation>
    <dataValidation type="list" sqref="D23:D31 H23:L31" xr:uid="{00000000-0002-0000-0000-00000A000000}">
      <formula1>"Not recorded,Not asked,Skipped explicitly,Unable to judge,Illegible,Ambiguous"</formula1>
    </dataValidation>
    <dataValidation type="list" sqref="E23:G31" xr:uid="{00000000-0002-0000-0000-00000B000000}">
      <formula1>"Not applicable,Not recorded,Not asked,Skipped explicitly,Unable to judge,Illegible,Ambiguous"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6B92"/>
  </sheetPr>
  <dimension ref="A1:M78"/>
  <sheetViews>
    <sheetView showGridLines="0" workbookViewId="0"/>
  </sheetViews>
  <sheetFormatPr baseColWidth="10" defaultColWidth="8.83203125" defaultRowHeight="14"/>
  <cols>
    <col min="1" max="1" width="19" customWidth="1"/>
    <col min="2" max="2" width="35" customWidth="1"/>
    <col min="3" max="4" width="15" customWidth="1"/>
    <col min="5" max="6" width="16" customWidth="1"/>
    <col min="7" max="9" width="15" customWidth="1"/>
    <col min="10" max="10" width="25" customWidth="1"/>
    <col min="11" max="11" width="17" customWidth="1"/>
    <col min="12" max="12" width="18" customWidth="1"/>
    <col min="13" max="13" width="38" customWidth="1"/>
  </cols>
  <sheetData>
    <row r="1" spans="1:1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4" customHeight="1">
      <c r="A3" s="1" t="s">
        <v>39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" customHeight="1">
      <c r="A4" s="1" t="str">
        <f>IF(SUM('Analysis Data'!M7:M15)=0,"Awaiting answers. Counts are zero; scores and percentages remain blank.",IF(SUM('Analysis Data'!O7:O15)&gt;0,"Provisional: original form wording remains unchecked for some entered records.","Descriptive results for the entered questionnaire records."))</f>
        <v>Provisional: original form wording remains unchecked for some entered records.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8" customHeight="1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1"/>
      <c r="J6" s="4" t="s">
        <v>48</v>
      </c>
      <c r="K6" s="4"/>
      <c r="L6" s="1"/>
      <c r="M6" s="1"/>
    </row>
    <row r="7" spans="1:13" ht="30" customHeight="1">
      <c r="A7" s="1" t="s">
        <v>49</v>
      </c>
      <c r="B7" s="1" t="s">
        <v>50</v>
      </c>
      <c r="C7" s="1" t="s">
        <v>51</v>
      </c>
      <c r="D7" s="13">
        <f>COUNTIFS('Analysis Data'!S$7:S$15,"Valid")</f>
        <v>9</v>
      </c>
      <c r="E7" s="12">
        <f>IF(D7=0,"",AVERAGE('Analysis Data'!E$7:E$15))</f>
        <v>4.333333333333333</v>
      </c>
      <c r="F7" s="12">
        <f>IF(D7=0,"",MEDIAN('Analysis Data'!E$7:E$15))</f>
        <v>4</v>
      </c>
      <c r="G7" s="13">
        <f>IF(D7=0,"",MIN('Analysis Data'!E$7:E$15))</f>
        <v>4</v>
      </c>
      <c r="H7" s="13">
        <f>IF(D7=0,"",MAX('Analysis Data'!E$7:E$15))</f>
        <v>5</v>
      </c>
      <c r="I7" s="1"/>
      <c r="J7" s="1" t="s">
        <v>52</v>
      </c>
      <c r="K7" s="1">
        <f>COUNTIFS('Enter Answers'!$C$7:$C$15,J7)</f>
        <v>9</v>
      </c>
      <c r="L7" s="1"/>
      <c r="M7" s="1"/>
    </row>
    <row r="8" spans="1:13" ht="30" customHeight="1">
      <c r="A8" s="1" t="s">
        <v>53</v>
      </c>
      <c r="B8" s="1" t="s">
        <v>54</v>
      </c>
      <c r="C8" s="1" t="s">
        <v>51</v>
      </c>
      <c r="D8" s="13">
        <f>COUNTIFS('Analysis Data'!T$7:T$15,"Valid")</f>
        <v>9</v>
      </c>
      <c r="E8" s="12">
        <f>IF(D8=0,"",AVERAGE('Analysis Data'!F$7:F$15))</f>
        <v>4.666666666666667</v>
      </c>
      <c r="F8" s="12">
        <f>IF(D8=0,"",MEDIAN('Analysis Data'!F$7:F$15))</f>
        <v>5</v>
      </c>
      <c r="G8" s="13">
        <f>IF(D8=0,"",MIN('Analysis Data'!F$7:F$15))</f>
        <v>4</v>
      </c>
      <c r="H8" s="13">
        <f>IF(D8=0,"",MAX('Analysis Data'!F$7:F$15))</f>
        <v>5</v>
      </c>
      <c r="I8" s="1"/>
      <c r="J8" s="1" t="s">
        <v>55</v>
      </c>
      <c r="K8" s="1">
        <f>COUNTIFS('Enter Answers'!$C$7:$C$15,J8)</f>
        <v>0</v>
      </c>
      <c r="L8" s="1"/>
      <c r="M8" s="1"/>
    </row>
    <row r="9" spans="1:13" ht="30" customHeight="1">
      <c r="A9" s="1" t="s">
        <v>56</v>
      </c>
      <c r="B9" s="1" t="s">
        <v>57</v>
      </c>
      <c r="C9" s="1" t="s">
        <v>51</v>
      </c>
      <c r="D9" s="13">
        <f>COUNTIFS('Analysis Data'!U$7:U$15,"Valid")</f>
        <v>9</v>
      </c>
      <c r="E9" s="12">
        <f>IF(D9=0,"",AVERAGE('Analysis Data'!G$7:G$15))</f>
        <v>1.8888888888888888</v>
      </c>
      <c r="F9" s="12">
        <f>IF(D9=0,"",MEDIAN('Analysis Data'!G$7:G$15))</f>
        <v>2</v>
      </c>
      <c r="G9" s="13">
        <f>IF(D9=0,"",MIN('Analysis Data'!G$7:G$15))</f>
        <v>1</v>
      </c>
      <c r="H9" s="13">
        <f>IF(D9=0,"",MAX('Analysis Data'!G$7:G$15))</f>
        <v>3</v>
      </c>
      <c r="I9" s="1"/>
      <c r="J9" s="1" t="s">
        <v>58</v>
      </c>
      <c r="K9" s="1">
        <f>COUNTIFS('Enter Answers'!$C$7:$C$15,J9)</f>
        <v>0</v>
      </c>
      <c r="L9" s="1"/>
      <c r="M9" s="1"/>
    </row>
    <row r="10" spans="1:13" ht="30" customHeight="1">
      <c r="A10" s="1" t="s">
        <v>59</v>
      </c>
      <c r="B10" s="1" t="s">
        <v>60</v>
      </c>
      <c r="C10" s="1" t="s">
        <v>61</v>
      </c>
      <c r="D10" s="13">
        <f>COUNTIFS('Analysis Data'!V$7:V$15,"Valid")</f>
        <v>9</v>
      </c>
      <c r="E10" s="12">
        <f>IF(D10=0,"",AVERAGE('Analysis Data'!H$7:H$15))</f>
        <v>7.4444444444444446</v>
      </c>
      <c r="F10" s="12">
        <f>IF(D10=0,"",MEDIAN('Analysis Data'!H$7:H$15))</f>
        <v>8</v>
      </c>
      <c r="G10" s="13">
        <f>IF(D10=0,"",MIN('Analysis Data'!H$7:H$15))</f>
        <v>6</v>
      </c>
      <c r="H10" s="13">
        <f>IF(D10=0,"",MAX('Analysis Data'!H$7:H$15))</f>
        <v>8</v>
      </c>
      <c r="I10" s="1"/>
      <c r="J10" s="1" t="s">
        <v>62</v>
      </c>
      <c r="K10" s="1">
        <f>COUNTIFS('Enter Answers'!$C$7:$C$15,J10)</f>
        <v>0</v>
      </c>
      <c r="L10" s="1"/>
      <c r="M10" s="1"/>
    </row>
    <row r="11" spans="1:13" ht="30" customHeight="1">
      <c r="A11" s="1" t="s">
        <v>63</v>
      </c>
      <c r="B11" s="1" t="s">
        <v>64</v>
      </c>
      <c r="C11" s="1" t="s">
        <v>61</v>
      </c>
      <c r="D11" s="13">
        <f>COUNTIFS('Analysis Data'!W$7:W$15,"Valid")</f>
        <v>9</v>
      </c>
      <c r="E11" s="12">
        <f>IF(D11=0,"",AVERAGE('Analysis Data'!I$7:I$15))</f>
        <v>7.666666666666667</v>
      </c>
      <c r="F11" s="12">
        <f>IF(D11=0,"",MEDIAN('Analysis Data'!I$7:I$15))</f>
        <v>8</v>
      </c>
      <c r="G11" s="13">
        <f>IF(D11=0,"",MIN('Analysis Data'!I$7:I$15))</f>
        <v>6</v>
      </c>
      <c r="H11" s="13">
        <f>IF(D11=0,"",MAX('Analysis Data'!I$7:I$15))</f>
        <v>9</v>
      </c>
      <c r="I11" s="1"/>
      <c r="J11" s="1" t="s">
        <v>65</v>
      </c>
      <c r="K11" s="1">
        <f>COUNTIFS('Enter Answers'!$C$7:$C$15,J11)</f>
        <v>0</v>
      </c>
      <c r="L11" s="1"/>
      <c r="M11" s="1"/>
    </row>
    <row r="12" spans="1:13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" customHeight="1">
      <c r="A13" s="1" t="s">
        <v>66</v>
      </c>
      <c r="B13" s="1"/>
      <c r="C13" s="1"/>
      <c r="D13" s="1"/>
      <c r="E13" s="1"/>
      <c r="F13" s="1"/>
      <c r="G13" s="1"/>
      <c r="H13" s="1"/>
      <c r="I13" s="1"/>
      <c r="J13" s="1" t="s">
        <v>67</v>
      </c>
      <c r="K13" s="1"/>
      <c r="L13" s="1"/>
      <c r="M13" s="1"/>
    </row>
    <row r="14" spans="1:13" ht="24" customHeight="1">
      <c r="A14" s="1"/>
      <c r="B14" s="1"/>
      <c r="C14" s="1"/>
      <c r="D14" s="1"/>
      <c r="E14" s="1"/>
      <c r="F14" s="1"/>
      <c r="G14" s="1"/>
      <c r="H14" s="1"/>
      <c r="I14" s="1"/>
      <c r="J14" s="1" t="s">
        <v>68</v>
      </c>
      <c r="K14" s="1"/>
      <c r="L14" s="1"/>
      <c r="M14" s="1"/>
    </row>
    <row r="15" spans="1:13" ht="24" customHeight="1">
      <c r="A15" s="1"/>
      <c r="B15" s="1"/>
      <c r="C15" s="1"/>
      <c r="D15" s="1"/>
      <c r="E15" s="1"/>
      <c r="F15" s="1"/>
      <c r="G15" s="1"/>
      <c r="H15" s="1"/>
      <c r="I15" s="1"/>
      <c r="J15" s="1" t="s">
        <v>69</v>
      </c>
      <c r="K15" s="1"/>
      <c r="L15" s="1"/>
      <c r="M15" s="1"/>
    </row>
    <row r="16" spans="1:13" ht="42" customHeight="1">
      <c r="A16" s="3" t="s">
        <v>40</v>
      </c>
      <c r="B16" s="3" t="s">
        <v>70</v>
      </c>
      <c r="C16" s="3" t="s">
        <v>71</v>
      </c>
      <c r="D16" s="3" t="s">
        <v>43</v>
      </c>
      <c r="E16" s="3" t="s">
        <v>72</v>
      </c>
      <c r="F16" s="3"/>
      <c r="G16" s="1"/>
      <c r="H16" s="1"/>
      <c r="I16" s="1"/>
      <c r="J16" s="1" t="s">
        <v>73</v>
      </c>
      <c r="K16" s="1"/>
      <c r="L16" s="1"/>
      <c r="M16" s="1"/>
    </row>
    <row r="17" spans="1:13" ht="24" customHeight="1">
      <c r="A17" s="1" t="s">
        <v>74</v>
      </c>
      <c r="B17" s="1" t="s">
        <v>75</v>
      </c>
      <c r="C17" s="1">
        <f>COUNTIFS('Analysis Data'!$J$7:$J$15,B17,'Analysis Data'!$X$7:$X$15,"Valid")</f>
        <v>9</v>
      </c>
      <c r="D17" s="1">
        <f>COUNTIFS('Analysis Data'!$X$7:$X$15,"Valid")</f>
        <v>9</v>
      </c>
      <c r="E17" s="14">
        <f>IF(D17=0,"",C17/D17)</f>
        <v>1</v>
      </c>
      <c r="F17" s="1"/>
      <c r="G17" s="1"/>
      <c r="H17" s="1"/>
      <c r="I17" s="1"/>
      <c r="J17" s="1"/>
      <c r="K17" s="1"/>
      <c r="L17" s="1"/>
      <c r="M17" s="1"/>
    </row>
    <row r="18" spans="1:13" ht="24" customHeight="1">
      <c r="A18" s="1" t="s">
        <v>74</v>
      </c>
      <c r="B18" s="1" t="s">
        <v>76</v>
      </c>
      <c r="C18" s="1">
        <f>COUNTIFS('Analysis Data'!$J$7:$J$15,B18,'Analysis Data'!$X$7:$X$15,"Valid")</f>
        <v>0</v>
      </c>
      <c r="D18" s="1">
        <f>COUNTIFS('Analysis Data'!$X$7:$X$15,"Valid")</f>
        <v>9</v>
      </c>
      <c r="E18" s="14">
        <f>IF(D18=0,"",C18/D18)</f>
        <v>0</v>
      </c>
      <c r="F18" s="1"/>
      <c r="G18" s="1"/>
      <c r="H18" s="1"/>
      <c r="I18" s="1"/>
      <c r="J18" s="1"/>
      <c r="K18" s="1"/>
      <c r="L18" s="1"/>
      <c r="M18" s="1"/>
    </row>
    <row r="19" spans="1:13" ht="24" customHeight="1">
      <c r="A19" s="1" t="s">
        <v>74</v>
      </c>
      <c r="B19" s="1" t="s">
        <v>77</v>
      </c>
      <c r="C19" s="1">
        <f>COUNTIFS('Analysis Data'!$J$7:$J$15,B19,'Analysis Data'!$X$7:$X$15,"Valid")</f>
        <v>0</v>
      </c>
      <c r="D19" s="1">
        <f>COUNTIFS('Analysis Data'!$X$7:$X$15,"Valid")</f>
        <v>9</v>
      </c>
      <c r="E19" s="14">
        <f>IF(D19=0,"",C19/D19)</f>
        <v>0</v>
      </c>
      <c r="F19" s="1"/>
      <c r="G19" s="1"/>
      <c r="H19" s="1"/>
      <c r="I19" s="1"/>
      <c r="J19" s="1"/>
      <c r="K19" s="1"/>
      <c r="L19" s="1"/>
      <c r="M19" s="1"/>
    </row>
    <row r="20" spans="1:13" ht="24" customHeight="1">
      <c r="A20" s="1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"/>
    </row>
    <row r="21" spans="1:13" ht="24" customHeight="1">
      <c r="A21" s="1" t="s">
        <v>78</v>
      </c>
      <c r="B21" s="1" t="s">
        <v>79</v>
      </c>
      <c r="C21" s="1">
        <f>COUNTIFS('Analysis Data'!$K$7:$K$15,B21,'Analysis Data'!$Y$7:$Y$15,"Valid")</f>
        <v>9</v>
      </c>
      <c r="D21" s="1">
        <f>COUNTIFS('Analysis Data'!$Y$7:$Y$15,"Valid")</f>
        <v>9</v>
      </c>
      <c r="E21" s="14">
        <f>IF(D21=0,"",C21/D21)</f>
        <v>1</v>
      </c>
      <c r="F21" s="1"/>
      <c r="G21" s="1"/>
      <c r="H21" s="1"/>
      <c r="I21" s="1"/>
      <c r="J21" s="1"/>
      <c r="K21" s="1"/>
      <c r="L21" s="1"/>
      <c r="M21" s="1"/>
    </row>
    <row r="22" spans="1:13" ht="24" customHeight="1">
      <c r="A22" s="1" t="s">
        <v>78</v>
      </c>
      <c r="B22" s="1" t="s">
        <v>76</v>
      </c>
      <c r="C22" s="1">
        <f>COUNTIFS('Analysis Data'!$K$7:$K$15,B22,'Analysis Data'!$Y$7:$Y$15,"Valid")</f>
        <v>0</v>
      </c>
      <c r="D22" s="1">
        <f>COUNTIFS('Analysis Data'!$Y$7:$Y$15,"Valid")</f>
        <v>9</v>
      </c>
      <c r="E22" s="14">
        <f>IF(D22=0,"",C22/D22)</f>
        <v>0</v>
      </c>
      <c r="F22" s="1"/>
      <c r="G22" s="1"/>
      <c r="H22" s="1"/>
      <c r="I22" s="1"/>
      <c r="J22" s="1"/>
      <c r="K22" s="1"/>
      <c r="L22" s="1"/>
      <c r="M22" s="1"/>
    </row>
    <row r="23" spans="1:13" ht="24" customHeight="1">
      <c r="A23" s="1" t="s">
        <v>78</v>
      </c>
      <c r="B23" s="1" t="s">
        <v>80</v>
      </c>
      <c r="C23" s="1">
        <f>COUNTIFS('Analysis Data'!$K$7:$K$15,B23,'Analysis Data'!$Y$7:$Y$15,"Valid")</f>
        <v>0</v>
      </c>
      <c r="D23" s="1">
        <f>COUNTIFS('Analysis Data'!$Y$7:$Y$15,"Valid")</f>
        <v>9</v>
      </c>
      <c r="E23" s="14">
        <f>IF(D23=0,"",C23/D23)</f>
        <v>0</v>
      </c>
      <c r="F23" s="1"/>
      <c r="G23" s="1"/>
      <c r="H23" s="1"/>
      <c r="I23" s="1"/>
      <c r="J23" s="1"/>
      <c r="K23" s="1"/>
      <c r="L23" s="1"/>
      <c r="M23" s="1"/>
    </row>
    <row r="24" spans="1:13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4" customHeight="1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4" customHeight="1">
      <c r="A28" s="10" t="s">
        <v>82</v>
      </c>
      <c r="B28" s="4"/>
      <c r="C28" s="4"/>
      <c r="D28" s="4"/>
      <c r="E28" s="4"/>
      <c r="F28" s="4"/>
      <c r="G28" s="4"/>
      <c r="H28" s="1"/>
      <c r="I28" s="1"/>
      <c r="J28" s="1"/>
      <c r="K28" s="1"/>
      <c r="L28" s="1"/>
      <c r="M28" s="1"/>
    </row>
    <row r="29" spans="1:13" ht="36" customHeight="1">
      <c r="A29" s="3" t="s">
        <v>83</v>
      </c>
      <c r="B29" s="3" t="s">
        <v>84</v>
      </c>
      <c r="C29" s="3" t="s">
        <v>85</v>
      </c>
      <c r="D29" s="3" t="s">
        <v>86</v>
      </c>
      <c r="E29" s="3" t="s">
        <v>87</v>
      </c>
      <c r="F29" s="3" t="s">
        <v>88</v>
      </c>
      <c r="G29" s="3" t="s">
        <v>89</v>
      </c>
      <c r="H29" s="1"/>
      <c r="I29" s="1"/>
      <c r="J29" s="1"/>
      <c r="K29" s="1"/>
      <c r="L29" s="1"/>
      <c r="M29" s="1"/>
    </row>
    <row r="30" spans="1:13" ht="24" customHeight="1">
      <c r="A30" s="1">
        <v>1</v>
      </c>
      <c r="B30" s="1">
        <f>COUNTIFS('Analysis Data'!$E$7:$E$15,$A30,'Analysis Data'!$S$7:$S$15,"Valid")</f>
        <v>0</v>
      </c>
      <c r="C30" s="14">
        <f>IF($D$7=0,"",B30/$D$7)</f>
        <v>0</v>
      </c>
      <c r="D30" s="1">
        <f>COUNTIFS('Analysis Data'!$F$7:$F$15,$A30,'Analysis Data'!$T$7:$T$15,"Valid")</f>
        <v>0</v>
      </c>
      <c r="E30" s="14">
        <f>IF($D$8=0,"",D30/$D$8)</f>
        <v>0</v>
      </c>
      <c r="F30" s="1">
        <f>COUNTIFS('Analysis Data'!$G$7:$G$15,$A30,'Analysis Data'!$U$7:$U$15,"Valid")</f>
        <v>2</v>
      </c>
      <c r="G30" s="14">
        <f>IF($D$9=0,"",F30/$D$9)</f>
        <v>0.22222222222222221</v>
      </c>
      <c r="H30" s="1"/>
      <c r="I30" s="1"/>
      <c r="J30" s="1"/>
      <c r="K30" s="1"/>
      <c r="L30" s="1"/>
      <c r="M30" s="1"/>
    </row>
    <row r="31" spans="1:13" ht="24" customHeight="1">
      <c r="A31" s="1">
        <v>2</v>
      </c>
      <c r="B31" s="1">
        <f>COUNTIFS('Analysis Data'!$E$7:$E$15,$A31,'Analysis Data'!$S$7:$S$15,"Valid")</f>
        <v>0</v>
      </c>
      <c r="C31" s="14">
        <f>IF($D$7=0,"",B31/$D$7)</f>
        <v>0</v>
      </c>
      <c r="D31" s="1">
        <f>COUNTIFS('Analysis Data'!$F$7:$F$15,$A31,'Analysis Data'!$T$7:$T$15,"Valid")</f>
        <v>0</v>
      </c>
      <c r="E31" s="14">
        <f>IF($D$8=0,"",D31/$D$8)</f>
        <v>0</v>
      </c>
      <c r="F31" s="1">
        <f>COUNTIFS('Analysis Data'!$G$7:$G$15,$A31,'Analysis Data'!$U$7:$U$15,"Valid")</f>
        <v>6</v>
      </c>
      <c r="G31" s="14">
        <f>IF($D$9=0,"",F31/$D$9)</f>
        <v>0.66666666666666663</v>
      </c>
      <c r="H31" s="1"/>
      <c r="I31" s="1"/>
      <c r="J31" s="1"/>
      <c r="K31" s="1"/>
      <c r="L31" s="1"/>
      <c r="M31" s="1"/>
    </row>
    <row r="32" spans="1:13" ht="24" customHeight="1">
      <c r="A32" s="1">
        <v>3</v>
      </c>
      <c r="B32" s="1">
        <f>COUNTIFS('Analysis Data'!$E$7:$E$15,$A32,'Analysis Data'!$S$7:$S$15,"Valid")</f>
        <v>0</v>
      </c>
      <c r="C32" s="14">
        <f>IF($D$7=0,"",B32/$D$7)</f>
        <v>0</v>
      </c>
      <c r="D32" s="1">
        <f>COUNTIFS('Analysis Data'!$F$7:$F$15,$A32,'Analysis Data'!$T$7:$T$15,"Valid")</f>
        <v>0</v>
      </c>
      <c r="E32" s="14">
        <f>IF($D$8=0,"",D32/$D$8)</f>
        <v>0</v>
      </c>
      <c r="F32" s="1">
        <f>COUNTIFS('Analysis Data'!$G$7:$G$15,$A32,'Analysis Data'!$U$7:$U$15,"Valid")</f>
        <v>1</v>
      </c>
      <c r="G32" s="14">
        <f>IF($D$9=0,"",F32/$D$9)</f>
        <v>0.1111111111111111</v>
      </c>
      <c r="H32" s="1"/>
      <c r="I32" s="1"/>
      <c r="J32" s="1"/>
      <c r="K32" s="1"/>
      <c r="L32" s="1"/>
      <c r="M32" s="1"/>
    </row>
    <row r="33" spans="1:13" ht="24" customHeight="1">
      <c r="A33" s="1">
        <v>4</v>
      </c>
      <c r="B33" s="1">
        <f>COUNTIFS('Analysis Data'!$E$7:$E$15,$A33,'Analysis Data'!$S$7:$S$15,"Valid")</f>
        <v>6</v>
      </c>
      <c r="C33" s="14">
        <f>IF($D$7=0,"",B33/$D$7)</f>
        <v>0.66666666666666663</v>
      </c>
      <c r="D33" s="1">
        <f>COUNTIFS('Analysis Data'!$F$7:$F$15,$A33,'Analysis Data'!$T$7:$T$15,"Valid")</f>
        <v>3</v>
      </c>
      <c r="E33" s="14">
        <f>IF($D$8=0,"",D33/$D$8)</f>
        <v>0.33333333333333331</v>
      </c>
      <c r="F33" s="1">
        <f>COUNTIFS('Analysis Data'!$G$7:$G$15,$A33,'Analysis Data'!$U$7:$U$15,"Valid")</f>
        <v>0</v>
      </c>
      <c r="G33" s="14">
        <f>IF($D$9=0,"",F33/$D$9)</f>
        <v>0</v>
      </c>
      <c r="H33" s="1"/>
      <c r="I33" s="1"/>
      <c r="J33" s="1"/>
      <c r="K33" s="1"/>
      <c r="L33" s="1"/>
      <c r="M33" s="1"/>
    </row>
    <row r="34" spans="1:13" ht="24" customHeight="1">
      <c r="A34" s="1">
        <v>5</v>
      </c>
      <c r="B34" s="1">
        <f>COUNTIFS('Analysis Data'!$E$7:$E$15,$A34,'Analysis Data'!$S$7:$S$15,"Valid")</f>
        <v>3</v>
      </c>
      <c r="C34" s="14">
        <f>IF($D$7=0,"",B34/$D$7)</f>
        <v>0.33333333333333331</v>
      </c>
      <c r="D34" s="1">
        <f>COUNTIFS('Analysis Data'!$F$7:$F$15,$A34,'Analysis Data'!$T$7:$T$15,"Valid")</f>
        <v>6</v>
      </c>
      <c r="E34" s="14">
        <f>IF($D$8=0,"",D34/$D$8)</f>
        <v>0.66666666666666663</v>
      </c>
      <c r="F34" s="1">
        <f>COUNTIFS('Analysis Data'!$G$7:$G$15,$A34,'Analysis Data'!$U$7:$U$15,"Valid")</f>
        <v>0</v>
      </c>
      <c r="G34" s="14">
        <f>IF($D$9=0,"",F34/$D$9)</f>
        <v>0</v>
      </c>
      <c r="H34" s="1"/>
      <c r="I34" s="1"/>
      <c r="J34" s="1"/>
      <c r="K34" s="1"/>
      <c r="L34" s="1"/>
      <c r="M34" s="1"/>
    </row>
    <row r="35" spans="1:13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4" customHeight="1">
      <c r="A37" s="10" t="s">
        <v>90</v>
      </c>
      <c r="B37" s="4"/>
      <c r="C37" s="4"/>
      <c r="D37" s="4"/>
      <c r="E37" s="4"/>
      <c r="F37" s="1"/>
      <c r="G37" s="1"/>
      <c r="H37" s="1"/>
      <c r="I37" s="1"/>
      <c r="J37" s="1"/>
      <c r="K37" s="1"/>
      <c r="L37" s="1"/>
      <c r="M37" s="1"/>
    </row>
    <row r="38" spans="1:13" ht="36" customHeight="1">
      <c r="A38" s="3" t="s">
        <v>83</v>
      </c>
      <c r="B38" s="3" t="s">
        <v>91</v>
      </c>
      <c r="C38" s="3" t="s">
        <v>92</v>
      </c>
      <c r="D38" s="3" t="s">
        <v>93</v>
      </c>
      <c r="E38" s="3" t="s">
        <v>94</v>
      </c>
      <c r="F38" s="1"/>
      <c r="G38" s="1"/>
      <c r="H38" s="1"/>
      <c r="I38" s="1"/>
      <c r="J38" s="1"/>
      <c r="K38" s="1"/>
      <c r="L38" s="1"/>
      <c r="M38" s="1"/>
    </row>
    <row r="39" spans="1:13" ht="24" customHeight="1">
      <c r="A39" s="1">
        <v>0</v>
      </c>
      <c r="B39" s="1">
        <f>COUNTIFS('Analysis Data'!$H$7:$H$15,$A39,'Analysis Data'!$V$7:$V$15,"Valid")</f>
        <v>0</v>
      </c>
      <c r="C39" s="14">
        <f t="shared" ref="C39:C49" si="0">IF($D$10=0,"",B39/$D$10)</f>
        <v>0</v>
      </c>
      <c r="D39" s="1">
        <f>COUNTIFS('Analysis Data'!$I$7:$I$15,$A39,'Analysis Data'!$W$7:$W$15,"Valid")</f>
        <v>0</v>
      </c>
      <c r="E39" s="14">
        <f t="shared" ref="E39:E49" si="1">IF($D$11=0,"",D39/$D$11)</f>
        <v>0</v>
      </c>
      <c r="F39" s="1"/>
      <c r="G39" s="1"/>
      <c r="H39" s="1"/>
      <c r="I39" s="1"/>
      <c r="J39" s="1"/>
      <c r="K39" s="1"/>
      <c r="L39" s="1"/>
      <c r="M39" s="1"/>
    </row>
    <row r="40" spans="1:13" ht="24" customHeight="1">
      <c r="A40" s="1">
        <v>1</v>
      </c>
      <c r="B40" s="1">
        <f>COUNTIFS('Analysis Data'!$H$7:$H$15,$A40,'Analysis Data'!$V$7:$V$15,"Valid")</f>
        <v>0</v>
      </c>
      <c r="C40" s="14">
        <f t="shared" si="0"/>
        <v>0</v>
      </c>
      <c r="D40" s="1">
        <f>COUNTIFS('Analysis Data'!$I$7:$I$15,$A40,'Analysis Data'!$W$7:$W$15,"Valid")</f>
        <v>0</v>
      </c>
      <c r="E40" s="14">
        <f t="shared" si="1"/>
        <v>0</v>
      </c>
      <c r="F40" s="1"/>
      <c r="G40" s="1"/>
      <c r="H40" s="1"/>
      <c r="I40" s="1"/>
      <c r="J40" s="1"/>
      <c r="K40" s="1"/>
      <c r="L40" s="1"/>
      <c r="M40" s="1"/>
    </row>
    <row r="41" spans="1:13" ht="24" customHeight="1">
      <c r="A41" s="1">
        <v>2</v>
      </c>
      <c r="B41" s="1">
        <f>COUNTIFS('Analysis Data'!$H$7:$H$15,$A41,'Analysis Data'!$V$7:$V$15,"Valid")</f>
        <v>0</v>
      </c>
      <c r="C41" s="14">
        <f t="shared" si="0"/>
        <v>0</v>
      </c>
      <c r="D41" s="1">
        <f>COUNTIFS('Analysis Data'!$I$7:$I$15,$A41,'Analysis Data'!$W$7:$W$15,"Valid")</f>
        <v>0</v>
      </c>
      <c r="E41" s="14">
        <f t="shared" si="1"/>
        <v>0</v>
      </c>
      <c r="F41" s="1"/>
      <c r="G41" s="1"/>
      <c r="H41" s="1"/>
      <c r="I41" s="1"/>
      <c r="J41" s="1"/>
      <c r="K41" s="1"/>
      <c r="L41" s="1"/>
      <c r="M41" s="1"/>
    </row>
    <row r="42" spans="1:13" ht="24" customHeight="1">
      <c r="A42" s="1">
        <v>3</v>
      </c>
      <c r="B42" s="1">
        <f>COUNTIFS('Analysis Data'!$H$7:$H$15,$A42,'Analysis Data'!$V$7:$V$15,"Valid")</f>
        <v>0</v>
      </c>
      <c r="C42" s="14">
        <f t="shared" si="0"/>
        <v>0</v>
      </c>
      <c r="D42" s="1">
        <f>COUNTIFS('Analysis Data'!$I$7:$I$15,$A42,'Analysis Data'!$W$7:$W$15,"Valid")</f>
        <v>0</v>
      </c>
      <c r="E42" s="14">
        <f t="shared" si="1"/>
        <v>0</v>
      </c>
      <c r="F42" s="1"/>
      <c r="G42" s="1"/>
      <c r="H42" s="1"/>
      <c r="I42" s="1"/>
      <c r="J42" s="1"/>
      <c r="K42" s="1"/>
      <c r="L42" s="1"/>
      <c r="M42" s="1"/>
    </row>
    <row r="43" spans="1:13" ht="24" customHeight="1">
      <c r="A43" s="1">
        <v>4</v>
      </c>
      <c r="B43" s="1">
        <f>COUNTIFS('Analysis Data'!$H$7:$H$15,$A43,'Analysis Data'!$V$7:$V$15,"Valid")</f>
        <v>0</v>
      </c>
      <c r="C43" s="14">
        <f t="shared" si="0"/>
        <v>0</v>
      </c>
      <c r="D43" s="1">
        <f>COUNTIFS('Analysis Data'!$I$7:$I$15,$A43,'Analysis Data'!$W$7:$W$15,"Valid")</f>
        <v>0</v>
      </c>
      <c r="E43" s="14">
        <f t="shared" si="1"/>
        <v>0</v>
      </c>
      <c r="F43" s="1"/>
      <c r="G43" s="1"/>
      <c r="H43" s="1"/>
      <c r="I43" s="1"/>
      <c r="J43" s="1"/>
      <c r="K43" s="1"/>
      <c r="L43" s="1"/>
      <c r="M43" s="1"/>
    </row>
    <row r="44" spans="1:13" ht="24" customHeight="1">
      <c r="A44" s="1">
        <v>5</v>
      </c>
      <c r="B44" s="1">
        <f>COUNTIFS('Analysis Data'!$H$7:$H$15,$A44,'Analysis Data'!$V$7:$V$15,"Valid")</f>
        <v>0</v>
      </c>
      <c r="C44" s="14">
        <f t="shared" si="0"/>
        <v>0</v>
      </c>
      <c r="D44" s="1">
        <f>COUNTIFS('Analysis Data'!$I$7:$I$15,$A44,'Analysis Data'!$W$7:$W$15,"Valid")</f>
        <v>0</v>
      </c>
      <c r="E44" s="14">
        <f t="shared" si="1"/>
        <v>0</v>
      </c>
      <c r="F44" s="1"/>
      <c r="G44" s="1"/>
      <c r="H44" s="1"/>
      <c r="I44" s="1"/>
      <c r="J44" s="1"/>
      <c r="K44" s="1"/>
      <c r="L44" s="1"/>
      <c r="M44" s="1"/>
    </row>
    <row r="45" spans="1:13" ht="24" customHeight="1">
      <c r="A45" s="1">
        <v>6</v>
      </c>
      <c r="B45" s="1">
        <f>COUNTIFS('Analysis Data'!$H$7:$H$15,$A45,'Analysis Data'!$V$7:$V$15,"Valid")</f>
        <v>1</v>
      </c>
      <c r="C45" s="14">
        <f t="shared" si="0"/>
        <v>0.1111111111111111</v>
      </c>
      <c r="D45" s="1">
        <f>COUNTIFS('Analysis Data'!$I$7:$I$15,$A45,'Analysis Data'!$W$7:$W$15,"Valid")</f>
        <v>1</v>
      </c>
      <c r="E45" s="14">
        <f t="shared" si="1"/>
        <v>0.1111111111111111</v>
      </c>
      <c r="F45" s="1"/>
      <c r="G45" s="1"/>
      <c r="H45" s="1"/>
      <c r="I45" s="1"/>
      <c r="J45" s="1"/>
      <c r="K45" s="1"/>
      <c r="L45" s="1"/>
      <c r="M45" s="1"/>
    </row>
    <row r="46" spans="1:13" ht="24" customHeight="1">
      <c r="A46" s="1">
        <v>7</v>
      </c>
      <c r="B46" s="1">
        <f>COUNTIFS('Analysis Data'!$H$7:$H$15,$A46,'Analysis Data'!$V$7:$V$15,"Valid")</f>
        <v>3</v>
      </c>
      <c r="C46" s="14">
        <f t="shared" si="0"/>
        <v>0.33333333333333331</v>
      </c>
      <c r="D46" s="1">
        <f>COUNTIFS('Analysis Data'!$I$7:$I$15,$A46,'Analysis Data'!$W$7:$W$15,"Valid")</f>
        <v>2</v>
      </c>
      <c r="E46" s="14">
        <f t="shared" si="1"/>
        <v>0.22222222222222221</v>
      </c>
      <c r="F46" s="1"/>
      <c r="G46" s="1"/>
      <c r="H46" s="1"/>
      <c r="I46" s="1"/>
      <c r="J46" s="1"/>
      <c r="K46" s="1"/>
      <c r="L46" s="1"/>
      <c r="M46" s="1"/>
    </row>
    <row r="47" spans="1:13" ht="24" customHeight="1">
      <c r="A47" s="1">
        <v>8</v>
      </c>
      <c r="B47" s="1">
        <f>COUNTIFS('Analysis Data'!$H$7:$H$15,$A47,'Analysis Data'!$V$7:$V$15,"Valid")</f>
        <v>5</v>
      </c>
      <c r="C47" s="14">
        <f t="shared" si="0"/>
        <v>0.55555555555555558</v>
      </c>
      <c r="D47" s="1">
        <f>COUNTIFS('Analysis Data'!$I$7:$I$15,$A47,'Analysis Data'!$W$7:$W$15,"Valid")</f>
        <v>5</v>
      </c>
      <c r="E47" s="14">
        <f t="shared" si="1"/>
        <v>0.55555555555555558</v>
      </c>
      <c r="F47" s="1"/>
      <c r="G47" s="1"/>
      <c r="H47" s="1"/>
      <c r="I47" s="1"/>
      <c r="J47" s="1"/>
      <c r="K47" s="1"/>
      <c r="L47" s="1"/>
      <c r="M47" s="1"/>
    </row>
    <row r="48" spans="1:13" ht="24" customHeight="1">
      <c r="A48" s="1">
        <v>9</v>
      </c>
      <c r="B48" s="1">
        <f>COUNTIFS('Analysis Data'!$H$7:$H$15,$A48,'Analysis Data'!$V$7:$V$15,"Valid")</f>
        <v>0</v>
      </c>
      <c r="C48" s="14">
        <f t="shared" si="0"/>
        <v>0</v>
      </c>
      <c r="D48" s="1">
        <f>COUNTIFS('Analysis Data'!$I$7:$I$15,$A48,'Analysis Data'!$W$7:$W$15,"Valid")</f>
        <v>1</v>
      </c>
      <c r="E48" s="14">
        <f t="shared" si="1"/>
        <v>0.1111111111111111</v>
      </c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>
        <v>10</v>
      </c>
      <c r="B49" s="1">
        <f>COUNTIFS('Analysis Data'!$H$7:$H$15,$A49,'Analysis Data'!$V$7:$V$15,"Valid")</f>
        <v>0</v>
      </c>
      <c r="C49" s="14">
        <f t="shared" si="0"/>
        <v>0</v>
      </c>
      <c r="D49" s="1">
        <f>COUNTIFS('Analysis Data'!$I$7:$I$15,$A49,'Analysis Data'!$W$7:$W$15,"Valid")</f>
        <v>0</v>
      </c>
      <c r="E49" s="14">
        <f t="shared" si="1"/>
        <v>0</v>
      </c>
      <c r="F49" s="1"/>
      <c r="G49" s="1"/>
      <c r="H49" s="1"/>
      <c r="I49" s="1"/>
      <c r="J49" s="1"/>
      <c r="K49" s="1"/>
      <c r="L49" s="1"/>
      <c r="M49" s="1"/>
    </row>
    <row r="50" spans="1:13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4" customHeight="1">
      <c r="A52" s="10" t="s">
        <v>95</v>
      </c>
      <c r="B52" s="4"/>
      <c r="C52" s="4"/>
      <c r="D52" s="4"/>
      <c r="E52" s="4"/>
      <c r="F52" s="4"/>
      <c r="G52" s="4"/>
      <c r="H52" s="4"/>
      <c r="I52" s="4"/>
      <c r="J52" s="4"/>
      <c r="K52" s="1"/>
      <c r="L52" s="1"/>
      <c r="M52" s="1"/>
    </row>
    <row r="53" spans="1:13" ht="36" customHeight="1">
      <c r="A53" s="3" t="s">
        <v>96</v>
      </c>
      <c r="B53" s="3" t="s">
        <v>97</v>
      </c>
      <c r="C53" s="3" t="s">
        <v>49</v>
      </c>
      <c r="D53" s="3" t="s">
        <v>53</v>
      </c>
      <c r="E53" s="3" t="s">
        <v>56</v>
      </c>
      <c r="F53" s="3" t="s">
        <v>59</v>
      </c>
      <c r="G53" s="3" t="s">
        <v>63</v>
      </c>
      <c r="H53" s="3" t="s">
        <v>74</v>
      </c>
      <c r="I53" s="3" t="s">
        <v>78</v>
      </c>
      <c r="J53" s="3" t="s">
        <v>98</v>
      </c>
      <c r="K53" s="1"/>
      <c r="L53" s="1"/>
      <c r="M53" s="1"/>
    </row>
    <row r="54" spans="1:13" ht="31" customHeight="1">
      <c r="A54" s="11" t="s">
        <v>99</v>
      </c>
      <c r="B54" s="1">
        <f>COUNTIFS('Analysis Data'!$R$7:$R$15,$A54)</f>
        <v>0</v>
      </c>
      <c r="C54" s="1">
        <f>COUNTIFS('Analysis Data'!$S$7:$S$15,$A54)</f>
        <v>0</v>
      </c>
      <c r="D54" s="1">
        <f>COUNTIFS('Analysis Data'!$T$7:$T$15,$A54)</f>
        <v>0</v>
      </c>
      <c r="E54" s="1">
        <f>COUNTIFS('Analysis Data'!$U$7:$U$15,$A54)</f>
        <v>0</v>
      </c>
      <c r="F54" s="1">
        <f>COUNTIFS('Analysis Data'!$V$7:$V$15,$A54)</f>
        <v>0</v>
      </c>
      <c r="G54" s="1">
        <f>COUNTIFS('Analysis Data'!$W$7:$W$15,$A54)</f>
        <v>0</v>
      </c>
      <c r="H54" s="1">
        <f>COUNTIFS('Analysis Data'!$X$7:$X$15,$A54)</f>
        <v>0</v>
      </c>
      <c r="I54" s="1">
        <f>COUNTIFS('Analysis Data'!$Y$7:$Y$15,$A54)</f>
        <v>0</v>
      </c>
      <c r="J54" s="1">
        <f>COUNTIFS('Analysis Data'!$Z$7:$Z$15,$A54)</f>
        <v>0</v>
      </c>
      <c r="K54" s="1"/>
      <c r="L54" s="1"/>
      <c r="M54" s="1"/>
    </row>
    <row r="55" spans="1:13" ht="31" customHeight="1">
      <c r="A55" s="11" t="s">
        <v>100</v>
      </c>
      <c r="B55" s="1">
        <f>COUNTIFS('Analysis Data'!$R$7:$R$15,$A55)</f>
        <v>0</v>
      </c>
      <c r="C55" s="1">
        <f>COUNTIFS('Analysis Data'!$S$7:$S$15,$A55)</f>
        <v>0</v>
      </c>
      <c r="D55" s="1">
        <f>COUNTIFS('Analysis Data'!$T$7:$T$15,$A55)</f>
        <v>0</v>
      </c>
      <c r="E55" s="1">
        <f>COUNTIFS('Analysis Data'!$U$7:$U$15,$A55)</f>
        <v>0</v>
      </c>
      <c r="F55" s="1">
        <f>COUNTIFS('Analysis Data'!$V$7:$V$15,$A55)</f>
        <v>0</v>
      </c>
      <c r="G55" s="1">
        <f>COUNTIFS('Analysis Data'!$W$7:$W$15,$A55)</f>
        <v>0</v>
      </c>
      <c r="H55" s="1">
        <f>COUNTIFS('Analysis Data'!$X$7:$X$15,$A55)</f>
        <v>0</v>
      </c>
      <c r="I55" s="1">
        <f>COUNTIFS('Analysis Data'!$Y$7:$Y$15,$A55)</f>
        <v>0</v>
      </c>
      <c r="J55" s="1">
        <f>COUNTIFS('Analysis Data'!$Z$7:$Z$15,$A55)</f>
        <v>0</v>
      </c>
      <c r="K55" s="1"/>
      <c r="L55" s="1"/>
      <c r="M55" s="1"/>
    </row>
    <row r="56" spans="1:13" ht="31" customHeight="1">
      <c r="A56" s="11" t="s">
        <v>101</v>
      </c>
      <c r="B56" s="1">
        <f>COUNTIFS('Analysis Data'!$R$7:$R$15,$A56)</f>
        <v>0</v>
      </c>
      <c r="C56" s="1">
        <f>COUNTIFS('Analysis Data'!$S$7:$S$15,$A56)</f>
        <v>0</v>
      </c>
      <c r="D56" s="1">
        <f>COUNTIFS('Analysis Data'!$T$7:$T$15,$A56)</f>
        <v>0</v>
      </c>
      <c r="E56" s="1">
        <f>COUNTIFS('Analysis Data'!$U$7:$U$15,$A56)</f>
        <v>0</v>
      </c>
      <c r="F56" s="1">
        <f>COUNTIFS('Analysis Data'!$V$7:$V$15,$A56)</f>
        <v>0</v>
      </c>
      <c r="G56" s="1">
        <f>COUNTIFS('Analysis Data'!$W$7:$W$15,$A56)</f>
        <v>0</v>
      </c>
      <c r="H56" s="1">
        <f>COUNTIFS('Analysis Data'!$X$7:$X$15,$A56)</f>
        <v>0</v>
      </c>
      <c r="I56" s="1">
        <f>COUNTIFS('Analysis Data'!$Y$7:$Y$15,$A56)</f>
        <v>0</v>
      </c>
      <c r="J56" s="1">
        <f>COUNTIFS('Analysis Data'!$Z$7:$Z$15,$A56)</f>
        <v>0</v>
      </c>
      <c r="K56" s="1"/>
      <c r="L56" s="1"/>
      <c r="M56" s="1"/>
    </row>
    <row r="57" spans="1:13" ht="31" customHeight="1">
      <c r="A57" s="11" t="s">
        <v>102</v>
      </c>
      <c r="B57" s="1">
        <f>COUNTIFS('Analysis Data'!$R$7:$R$15,$A57)</f>
        <v>0</v>
      </c>
      <c r="C57" s="1">
        <f>COUNTIFS('Analysis Data'!$S$7:$S$15,$A57)</f>
        <v>0</v>
      </c>
      <c r="D57" s="1">
        <f>COUNTIFS('Analysis Data'!$T$7:$T$15,$A57)</f>
        <v>0</v>
      </c>
      <c r="E57" s="1">
        <f>COUNTIFS('Analysis Data'!$U$7:$U$15,$A57)</f>
        <v>0</v>
      </c>
      <c r="F57" s="1">
        <f>COUNTIFS('Analysis Data'!$V$7:$V$15,$A57)</f>
        <v>0</v>
      </c>
      <c r="G57" s="1">
        <f>COUNTIFS('Analysis Data'!$W$7:$W$15,$A57)</f>
        <v>0</v>
      </c>
      <c r="H57" s="1">
        <f>COUNTIFS('Analysis Data'!$X$7:$X$15,$A57)</f>
        <v>0</v>
      </c>
      <c r="I57" s="1">
        <f>COUNTIFS('Analysis Data'!$Y$7:$Y$15,$A57)</f>
        <v>0</v>
      </c>
      <c r="J57" s="1">
        <f>COUNTIFS('Analysis Data'!$Z$7:$Z$15,$A57)</f>
        <v>0</v>
      </c>
      <c r="K57" s="1"/>
      <c r="L57" s="1"/>
      <c r="M57" s="1"/>
    </row>
    <row r="58" spans="1:13" ht="31" customHeight="1">
      <c r="A58" s="11" t="s">
        <v>103</v>
      </c>
      <c r="B58" s="1">
        <f>COUNTIFS('Analysis Data'!$R$7:$R$15,$A58)</f>
        <v>0</v>
      </c>
      <c r="C58" s="1">
        <f>COUNTIFS('Analysis Data'!$S$7:$S$15,$A58)</f>
        <v>0</v>
      </c>
      <c r="D58" s="1">
        <f>COUNTIFS('Analysis Data'!$T$7:$T$15,$A58)</f>
        <v>0</v>
      </c>
      <c r="E58" s="1">
        <f>COUNTIFS('Analysis Data'!$U$7:$U$15,$A58)</f>
        <v>0</v>
      </c>
      <c r="F58" s="1">
        <f>COUNTIFS('Analysis Data'!$V$7:$V$15,$A58)</f>
        <v>0</v>
      </c>
      <c r="G58" s="1">
        <f>COUNTIFS('Analysis Data'!$W$7:$W$15,$A58)</f>
        <v>0</v>
      </c>
      <c r="H58" s="1">
        <f>COUNTIFS('Analysis Data'!$X$7:$X$15,$A58)</f>
        <v>0</v>
      </c>
      <c r="I58" s="1">
        <f>COUNTIFS('Analysis Data'!$Y$7:$Y$15,$A58)</f>
        <v>0</v>
      </c>
      <c r="J58" s="1">
        <f>COUNTIFS('Analysis Data'!$Z$7:$Z$15,$A58)</f>
        <v>0</v>
      </c>
      <c r="K58" s="1"/>
      <c r="L58" s="1"/>
      <c r="M58" s="1"/>
    </row>
    <row r="59" spans="1:13" ht="31" customHeight="1">
      <c r="A59" s="11" t="s">
        <v>104</v>
      </c>
      <c r="B59" s="1">
        <f>COUNTIFS('Analysis Data'!$R$7:$R$15,$A59)</f>
        <v>0</v>
      </c>
      <c r="C59" s="1">
        <f>COUNTIFS('Analysis Data'!$S$7:$S$15,$A59)</f>
        <v>0</v>
      </c>
      <c r="D59" s="1">
        <f>COUNTIFS('Analysis Data'!$T$7:$T$15,$A59)</f>
        <v>0</v>
      </c>
      <c r="E59" s="1">
        <f>COUNTIFS('Analysis Data'!$U$7:$U$15,$A59)</f>
        <v>0</v>
      </c>
      <c r="F59" s="1">
        <f>COUNTIFS('Analysis Data'!$V$7:$V$15,$A59)</f>
        <v>0</v>
      </c>
      <c r="G59" s="1">
        <f>COUNTIFS('Analysis Data'!$W$7:$W$15,$A59)</f>
        <v>0</v>
      </c>
      <c r="H59" s="1">
        <f>COUNTIFS('Analysis Data'!$X$7:$X$15,$A59)</f>
        <v>0</v>
      </c>
      <c r="I59" s="1">
        <f>COUNTIFS('Analysis Data'!$Y$7:$Y$15,$A59)</f>
        <v>0</v>
      </c>
      <c r="J59" s="1">
        <f>COUNTIFS('Analysis Data'!$Z$7:$Z$15,$A59)</f>
        <v>0</v>
      </c>
      <c r="K59" s="1"/>
      <c r="L59" s="1"/>
      <c r="M59" s="1"/>
    </row>
    <row r="60" spans="1:13" ht="31" customHeight="1">
      <c r="A60" s="11" t="s">
        <v>105</v>
      </c>
      <c r="B60" s="1">
        <f>COUNTIFS('Analysis Data'!$R$7:$R$15,$A60)</f>
        <v>0</v>
      </c>
      <c r="C60" s="1">
        <f>COUNTIFS('Analysis Data'!$S$7:$S$15,$A60)</f>
        <v>0</v>
      </c>
      <c r="D60" s="1">
        <f>COUNTIFS('Analysis Data'!$T$7:$T$15,$A60)</f>
        <v>0</v>
      </c>
      <c r="E60" s="1">
        <f>COUNTIFS('Analysis Data'!$U$7:$U$15,$A60)</f>
        <v>0</v>
      </c>
      <c r="F60" s="1">
        <f>COUNTIFS('Analysis Data'!$V$7:$V$15,$A60)</f>
        <v>0</v>
      </c>
      <c r="G60" s="1">
        <f>COUNTIFS('Analysis Data'!$W$7:$W$15,$A60)</f>
        <v>0</v>
      </c>
      <c r="H60" s="1">
        <f>COUNTIFS('Analysis Data'!$X$7:$X$15,$A60)</f>
        <v>0</v>
      </c>
      <c r="I60" s="1">
        <f>COUNTIFS('Analysis Data'!$Y$7:$Y$15,$A60)</f>
        <v>0</v>
      </c>
      <c r="J60" s="1">
        <f>COUNTIFS('Analysis Data'!$Z$7:$Z$15,$A60)</f>
        <v>0</v>
      </c>
      <c r="K60" s="1"/>
      <c r="L60" s="1"/>
      <c r="M60" s="1"/>
    </row>
    <row r="61" spans="1:13" ht="31" customHeight="1">
      <c r="A61" s="11" t="s">
        <v>106</v>
      </c>
      <c r="B61" s="1">
        <f>COUNTIFS('Analysis Data'!$R$7:$R$15,$A61)</f>
        <v>0</v>
      </c>
      <c r="C61" s="1">
        <f>COUNTIFS('Analysis Data'!$S$7:$S$15,$A61)</f>
        <v>0</v>
      </c>
      <c r="D61" s="1">
        <f>COUNTIFS('Analysis Data'!$T$7:$T$15,$A61)</f>
        <v>0</v>
      </c>
      <c r="E61" s="1">
        <f>COUNTIFS('Analysis Data'!$U$7:$U$15,$A61)</f>
        <v>0</v>
      </c>
      <c r="F61" s="1">
        <f>COUNTIFS('Analysis Data'!$V$7:$V$15,$A61)</f>
        <v>0</v>
      </c>
      <c r="G61" s="1">
        <f>COUNTIFS('Analysis Data'!$W$7:$W$15,$A61)</f>
        <v>0</v>
      </c>
      <c r="H61" s="1">
        <f>COUNTIFS('Analysis Data'!$X$7:$X$15,$A61)</f>
        <v>0</v>
      </c>
      <c r="I61" s="1">
        <f>COUNTIFS('Analysis Data'!$Y$7:$Y$15,$A61)</f>
        <v>0</v>
      </c>
      <c r="J61" s="1">
        <f>COUNTIFS('Analysis Data'!$Z$7:$Z$15,$A61)</f>
        <v>0</v>
      </c>
      <c r="K61" s="1"/>
      <c r="L61" s="1"/>
      <c r="M61" s="1"/>
    </row>
    <row r="62" spans="1:13" ht="31" customHeight="1">
      <c r="A62" s="11" t="s">
        <v>107</v>
      </c>
      <c r="B62" s="1">
        <f>COUNTIFS('Analysis Data'!$R$7:$R$15,$A62)</f>
        <v>0</v>
      </c>
      <c r="C62" s="1">
        <f>COUNTIFS('Analysis Data'!$S$7:$S$15,$A62)</f>
        <v>0</v>
      </c>
      <c r="D62" s="1">
        <f>COUNTIFS('Analysis Data'!$T$7:$T$15,$A62)</f>
        <v>0</v>
      </c>
      <c r="E62" s="1">
        <f>COUNTIFS('Analysis Data'!$U$7:$U$15,$A62)</f>
        <v>0</v>
      </c>
      <c r="F62" s="1">
        <f>COUNTIFS('Analysis Data'!$V$7:$V$15,$A62)</f>
        <v>0</v>
      </c>
      <c r="G62" s="1">
        <f>COUNTIFS('Analysis Data'!$W$7:$W$15,$A62)</f>
        <v>0</v>
      </c>
      <c r="H62" s="1">
        <f>COUNTIFS('Analysis Data'!$X$7:$X$15,$A62)</f>
        <v>0</v>
      </c>
      <c r="I62" s="1">
        <f>COUNTIFS('Analysis Data'!$Y$7:$Y$15,$A62)</f>
        <v>0</v>
      </c>
      <c r="J62" s="1">
        <f>COUNTIFS('Analysis Data'!$Z$7:$Z$15,$A62)</f>
        <v>0</v>
      </c>
      <c r="K62" s="1"/>
      <c r="L62" s="1"/>
      <c r="M62" s="1"/>
    </row>
    <row r="63" spans="1:13" ht="31" customHeight="1">
      <c r="A63" s="11" t="s">
        <v>108</v>
      </c>
      <c r="B63" s="1">
        <f>COUNTIFS('Analysis Data'!$R$7:$R$15,$A63)</f>
        <v>0</v>
      </c>
      <c r="C63" s="1">
        <f>COUNTIFS('Analysis Data'!$S$7:$S$15,$A63)</f>
        <v>0</v>
      </c>
      <c r="D63" s="1">
        <f>COUNTIFS('Analysis Data'!$T$7:$T$15,$A63)</f>
        <v>0</v>
      </c>
      <c r="E63" s="1">
        <f>COUNTIFS('Analysis Data'!$U$7:$U$15,$A63)</f>
        <v>0</v>
      </c>
      <c r="F63" s="1">
        <f>COUNTIFS('Analysis Data'!$V$7:$V$15,$A63)</f>
        <v>0</v>
      </c>
      <c r="G63" s="1">
        <f>COUNTIFS('Analysis Data'!$W$7:$W$15,$A63)</f>
        <v>0</v>
      </c>
      <c r="H63" s="1">
        <f>COUNTIFS('Analysis Data'!$X$7:$X$15,$A63)</f>
        <v>0</v>
      </c>
      <c r="I63" s="1">
        <f>COUNTIFS('Analysis Data'!$Y$7:$Y$15,$A63)</f>
        <v>0</v>
      </c>
      <c r="J63" s="1">
        <f>COUNTIFS('Analysis Data'!$Z$7:$Z$15,$A63)</f>
        <v>0</v>
      </c>
      <c r="K63" s="1"/>
      <c r="L63" s="1"/>
      <c r="M63" s="1"/>
    </row>
    <row r="64" spans="1:13" ht="31" customHeight="1">
      <c r="A64" s="11" t="s">
        <v>109</v>
      </c>
      <c r="B64" s="1">
        <f>COUNTIFS('Analysis Data'!$R$7:$R$15,$A64)</f>
        <v>0</v>
      </c>
      <c r="C64" s="1">
        <f>COUNTIFS('Analysis Data'!$S$7:$S$15,$A64)</f>
        <v>0</v>
      </c>
      <c r="D64" s="1">
        <f>COUNTIFS('Analysis Data'!$T$7:$T$15,$A64)</f>
        <v>0</v>
      </c>
      <c r="E64" s="1">
        <f>COUNTIFS('Analysis Data'!$U$7:$U$15,$A64)</f>
        <v>0</v>
      </c>
      <c r="F64" s="1">
        <f>COUNTIFS('Analysis Data'!$V$7:$V$15,$A64)</f>
        <v>0</v>
      </c>
      <c r="G64" s="1">
        <f>COUNTIFS('Analysis Data'!$W$7:$W$15,$A64)</f>
        <v>0</v>
      </c>
      <c r="H64" s="1">
        <f>COUNTIFS('Analysis Data'!$X$7:$X$15,$A64)</f>
        <v>0</v>
      </c>
      <c r="I64" s="1">
        <f>COUNTIFS('Analysis Data'!$Y$7:$Y$15,$A64)</f>
        <v>0</v>
      </c>
      <c r="J64" s="1">
        <f>COUNTIFS('Analysis Data'!$Z$7:$Z$15,$A64)</f>
        <v>0</v>
      </c>
      <c r="K64" s="1"/>
      <c r="L64" s="1"/>
      <c r="M64" s="1"/>
    </row>
    <row r="65" spans="1:13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4" customHeight="1">
      <c r="A67" s="10" t="s">
        <v>110</v>
      </c>
      <c r="B67" s="4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</row>
    <row r="68" spans="1:13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4" customHeight="1">
      <c r="A69" s="1" t="s">
        <v>111</v>
      </c>
      <c r="B69" s="1"/>
      <c r="C69" s="1">
        <f>COUNTIFS('Analysis Data'!R7:R15,"Valid")</f>
        <v>9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4" customHeight="1">
      <c r="A70" s="1" t="s">
        <v>112</v>
      </c>
      <c r="B70" s="1"/>
      <c r="C70" s="1">
        <f>COUNTIFS('Analysis Data'!Z7:Z15,"Valid")</f>
        <v>9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24" customHeight="1">
      <c r="A72" s="1" t="s">
        <v>113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24" customHeight="1">
      <c r="A73" s="1" t="s">
        <v>114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4" customHeight="1">
      <c r="A74" s="1" t="s">
        <v>115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24" customHeight="1">
      <c r="A75" s="1" t="s">
        <v>116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24" customHeight="1">
      <c r="A76" s="1" t="s">
        <v>117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showGridLines="0" workbookViewId="0">
      <pane ySplit="6" topLeftCell="A26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30" customWidth="1"/>
    <col min="3" max="3" width="57" customWidth="1"/>
    <col min="4" max="4" width="60" customWidth="1"/>
    <col min="5" max="5" width="68" customWidth="1"/>
    <col min="6" max="6" width="24" customWidth="1"/>
  </cols>
  <sheetData>
    <row r="1" spans="1:6" ht="24" customHeight="1">
      <c r="A1" s="1"/>
      <c r="B1" s="1"/>
      <c r="C1" s="1"/>
      <c r="D1" s="1"/>
      <c r="E1" s="1"/>
      <c r="F1" s="1"/>
    </row>
    <row r="2" spans="1:6" ht="32" customHeight="1">
      <c r="A2" s="2" t="s">
        <v>118</v>
      </c>
      <c r="B2" s="1"/>
      <c r="C2" s="1"/>
      <c r="D2" s="1"/>
      <c r="E2" s="1"/>
      <c r="F2" s="1"/>
    </row>
    <row r="3" spans="1:6" ht="24" customHeight="1">
      <c r="A3" s="1" t="s">
        <v>119</v>
      </c>
      <c r="B3" s="1"/>
      <c r="C3" s="1"/>
      <c r="D3" s="1"/>
      <c r="E3" s="1"/>
      <c r="F3" s="1"/>
    </row>
    <row r="4" spans="1:6" ht="24" customHeight="1">
      <c r="A4" s="1"/>
      <c r="B4" s="1"/>
      <c r="C4" s="1"/>
      <c r="D4" s="1"/>
      <c r="E4" s="1"/>
      <c r="F4" s="1"/>
    </row>
    <row r="5" spans="1:6" ht="24" customHeight="1">
      <c r="A5" s="1"/>
      <c r="B5" s="1"/>
      <c r="C5" s="1"/>
      <c r="D5" s="1"/>
      <c r="E5" s="1"/>
      <c r="F5" s="1"/>
    </row>
    <row r="6" spans="1:6" ht="44" customHeight="1">
      <c r="A6" s="3" t="s">
        <v>40</v>
      </c>
      <c r="B6" s="3" t="s">
        <v>120</v>
      </c>
      <c r="C6" s="3" t="s">
        <v>121</v>
      </c>
      <c r="D6" s="3" t="s">
        <v>122</v>
      </c>
      <c r="E6" s="3" t="s">
        <v>123</v>
      </c>
      <c r="F6" s="3" t="s">
        <v>124</v>
      </c>
    </row>
    <row r="7" spans="1:6" ht="84" customHeight="1">
      <c r="A7" s="11" t="s">
        <v>125</v>
      </c>
      <c r="B7" s="11" t="s">
        <v>126</v>
      </c>
      <c r="C7" s="15" t="s">
        <v>127</v>
      </c>
      <c r="D7" s="11" t="s">
        <v>128</v>
      </c>
      <c r="E7" s="15" t="s">
        <v>129</v>
      </c>
      <c r="F7" s="11" t="s">
        <v>130</v>
      </c>
    </row>
    <row r="8" spans="1:6" ht="84" customHeight="1">
      <c r="A8" s="11" t="s">
        <v>131</v>
      </c>
      <c r="B8" s="11" t="s">
        <v>132</v>
      </c>
      <c r="C8" s="15" t="s">
        <v>133</v>
      </c>
      <c r="D8" s="11" t="s">
        <v>134</v>
      </c>
      <c r="E8" s="15" t="s">
        <v>135</v>
      </c>
      <c r="F8" s="11" t="s">
        <v>130</v>
      </c>
    </row>
    <row r="9" spans="1:6" ht="84" customHeight="1">
      <c r="A9" s="11" t="s">
        <v>136</v>
      </c>
      <c r="B9" s="11" t="s">
        <v>137</v>
      </c>
      <c r="C9" s="15" t="s">
        <v>138</v>
      </c>
      <c r="D9" s="11" t="s">
        <v>139</v>
      </c>
      <c r="E9" s="15" t="s">
        <v>140</v>
      </c>
      <c r="F9" s="11" t="s">
        <v>130</v>
      </c>
    </row>
    <row r="10" spans="1:6" ht="84" customHeight="1">
      <c r="A10" s="11" t="s">
        <v>141</v>
      </c>
      <c r="B10" s="11" t="s">
        <v>142</v>
      </c>
      <c r="C10" s="15" t="s">
        <v>143</v>
      </c>
      <c r="D10" s="11" t="s">
        <v>144</v>
      </c>
      <c r="E10" s="15" t="s">
        <v>145</v>
      </c>
      <c r="F10" s="11" t="s">
        <v>130</v>
      </c>
    </row>
    <row r="11" spans="1:6" ht="84" customHeight="1">
      <c r="A11" s="11" t="s">
        <v>146</v>
      </c>
      <c r="B11" s="11" t="s">
        <v>147</v>
      </c>
      <c r="C11" s="15" t="s">
        <v>148</v>
      </c>
      <c r="D11" s="11" t="s">
        <v>149</v>
      </c>
      <c r="E11" s="15" t="s">
        <v>150</v>
      </c>
      <c r="F11" s="11" t="s">
        <v>130</v>
      </c>
    </row>
    <row r="12" spans="1:6" ht="84" customHeight="1">
      <c r="A12" s="11" t="s">
        <v>151</v>
      </c>
      <c r="B12" s="11" t="s">
        <v>152</v>
      </c>
      <c r="C12" s="15" t="s">
        <v>153</v>
      </c>
      <c r="D12" s="11" t="s">
        <v>154</v>
      </c>
      <c r="E12" s="15" t="s">
        <v>155</v>
      </c>
      <c r="F12" s="11" t="s">
        <v>130</v>
      </c>
    </row>
    <row r="13" spans="1:6" ht="84" customHeight="1">
      <c r="A13" s="11" t="s">
        <v>156</v>
      </c>
      <c r="B13" s="11" t="s">
        <v>157</v>
      </c>
      <c r="C13" s="15" t="s">
        <v>158</v>
      </c>
      <c r="D13" s="11" t="s">
        <v>159</v>
      </c>
      <c r="E13" s="15" t="s">
        <v>160</v>
      </c>
      <c r="F13" s="11" t="s">
        <v>130</v>
      </c>
    </row>
    <row r="14" spans="1:6" ht="84" customHeight="1">
      <c r="A14" s="11" t="s">
        <v>161</v>
      </c>
      <c r="B14" s="11" t="s">
        <v>162</v>
      </c>
      <c r="C14" s="15" t="s">
        <v>163</v>
      </c>
      <c r="D14" s="11" t="s">
        <v>164</v>
      </c>
      <c r="E14" s="15" t="s">
        <v>165</v>
      </c>
      <c r="F14" s="11" t="s">
        <v>130</v>
      </c>
    </row>
    <row r="15" spans="1:6" ht="84" customHeight="1">
      <c r="A15" s="11" t="s">
        <v>166</v>
      </c>
      <c r="B15" s="11" t="s">
        <v>167</v>
      </c>
      <c r="C15" s="15" t="s">
        <v>168</v>
      </c>
      <c r="D15" s="11" t="s">
        <v>169</v>
      </c>
      <c r="E15" s="15" t="s">
        <v>170</v>
      </c>
      <c r="F15" s="11" t="s">
        <v>130</v>
      </c>
    </row>
    <row r="16" spans="1:6" ht="24" customHeight="1">
      <c r="A16" s="1"/>
      <c r="B16" s="1"/>
      <c r="C16" s="1"/>
      <c r="D16" s="1"/>
      <c r="E16" s="1"/>
      <c r="F16" s="1"/>
    </row>
    <row r="17" spans="1:6" ht="24" customHeight="1">
      <c r="A17" s="1"/>
      <c r="B17" s="1"/>
      <c r="C17" s="1"/>
      <c r="D17" s="1"/>
      <c r="E17" s="1"/>
      <c r="F17" s="1"/>
    </row>
    <row r="18" spans="1:6" ht="24" customHeight="1">
      <c r="A18" s="10" t="s">
        <v>171</v>
      </c>
      <c r="B18" s="4"/>
      <c r="C18" s="4"/>
      <c r="D18" s="4"/>
      <c r="E18" s="4"/>
      <c r="F18" s="4"/>
    </row>
    <row r="19" spans="1:6" ht="24" customHeight="1">
      <c r="A19" s="1" t="s">
        <v>172</v>
      </c>
      <c r="B19" s="1"/>
      <c r="C19" s="1"/>
      <c r="D19" s="1"/>
      <c r="E19" s="1"/>
      <c r="F19" s="1"/>
    </row>
    <row r="20" spans="1:6" ht="24" customHeight="1">
      <c r="A20" s="1" t="s">
        <v>173</v>
      </c>
      <c r="B20" s="1"/>
      <c r="C20" s="1"/>
      <c r="D20" s="1"/>
      <c r="E20" s="1"/>
      <c r="F20" s="1"/>
    </row>
    <row r="21" spans="1:6" ht="24" customHeight="1">
      <c r="A21" s="1" t="s">
        <v>174</v>
      </c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4" customHeight="1">
      <c r="A23" s="10" t="s">
        <v>175</v>
      </c>
      <c r="B23" s="4"/>
      <c r="C23" s="4"/>
      <c r="D23" s="4"/>
      <c r="E23" s="4"/>
      <c r="F23" s="4"/>
    </row>
    <row r="24" spans="1:6" ht="24" customHeight="1">
      <c r="A24" s="1" t="s">
        <v>176</v>
      </c>
      <c r="B24" s="1"/>
      <c r="C24" s="1"/>
      <c r="D24" s="1"/>
      <c r="E24" s="1"/>
      <c r="F24" s="1"/>
    </row>
    <row r="25" spans="1:6" ht="24" customHeight="1">
      <c r="A25" s="1" t="s">
        <v>177</v>
      </c>
      <c r="B25" s="1"/>
      <c r="C25" s="1"/>
      <c r="D25" s="1"/>
      <c r="E25" s="1"/>
      <c r="F25" s="1"/>
    </row>
    <row r="26" spans="1:6" ht="24" customHeight="1">
      <c r="A26" s="1" t="s">
        <v>178</v>
      </c>
      <c r="B26" s="1"/>
      <c r="C26" s="1"/>
      <c r="D26" s="1"/>
      <c r="E26" s="1"/>
      <c r="F26" s="1"/>
    </row>
    <row r="27" spans="1:6" ht="24" customHeight="1">
      <c r="A27" s="1" t="s">
        <v>179</v>
      </c>
      <c r="B27" s="1"/>
      <c r="C27" s="1"/>
      <c r="D27" s="1"/>
      <c r="E27" s="1"/>
      <c r="F27" s="1"/>
    </row>
    <row r="28" spans="1:6" ht="24" customHeight="1">
      <c r="A28" s="1" t="s">
        <v>180</v>
      </c>
      <c r="B28" s="1"/>
      <c r="C28" s="1"/>
      <c r="D28" s="1"/>
      <c r="E28" s="1"/>
      <c r="F28" s="1"/>
    </row>
    <row r="29" spans="1:6" ht="24" customHeight="1">
      <c r="A29" s="1" t="s">
        <v>181</v>
      </c>
      <c r="B29" s="1"/>
      <c r="C29" s="1"/>
      <c r="D29" s="1"/>
      <c r="E29" s="1"/>
      <c r="F29" s="1"/>
    </row>
    <row r="30" spans="1:6" ht="24" customHeight="1">
      <c r="A30" s="1" t="s">
        <v>182</v>
      </c>
      <c r="B30" s="1"/>
      <c r="C30" s="1"/>
      <c r="D30" s="1"/>
      <c r="E30" s="1"/>
      <c r="F30" s="1"/>
    </row>
    <row r="31" spans="1:6" ht="24" customHeight="1">
      <c r="A31" s="1"/>
      <c r="B31" s="1"/>
      <c r="C31" s="1"/>
      <c r="D31" s="1"/>
      <c r="E31" s="1"/>
      <c r="F31" s="1"/>
    </row>
    <row r="32" spans="1:6" ht="24" customHeight="1">
      <c r="A32" s="10" t="s">
        <v>183</v>
      </c>
      <c r="B32" s="4"/>
      <c r="C32" s="4"/>
      <c r="D32" s="4"/>
      <c r="E32" s="4"/>
      <c r="F32" s="4"/>
    </row>
    <row r="33" spans="1:6" ht="24" customHeight="1">
      <c r="A33" s="1" t="s">
        <v>184</v>
      </c>
      <c r="B33" s="1"/>
      <c r="C33" s="1"/>
      <c r="D33" s="1"/>
      <c r="E33" s="1"/>
      <c r="F33" s="1"/>
    </row>
    <row r="34" spans="1:6" ht="24" customHeight="1">
      <c r="A34" s="1" t="s">
        <v>185</v>
      </c>
      <c r="B34" s="1"/>
      <c r="C34" s="1"/>
      <c r="D34" s="1"/>
      <c r="E34" s="1"/>
      <c r="F34" s="1"/>
    </row>
    <row r="35" spans="1:6" ht="24" customHeight="1">
      <c r="A35" s="1" t="s">
        <v>186</v>
      </c>
      <c r="B35" s="1"/>
      <c r="C35" s="1"/>
      <c r="D35" s="1"/>
      <c r="E35" s="1"/>
      <c r="F35" s="1"/>
    </row>
    <row r="36" spans="1:6" ht="24" customHeight="1">
      <c r="A36" s="1" t="s">
        <v>187</v>
      </c>
      <c r="B36" s="1"/>
      <c r="C36" s="1"/>
      <c r="D36" s="1"/>
      <c r="E36" s="1"/>
      <c r="F36" s="1"/>
    </row>
    <row r="37" spans="1:6" ht="24" customHeight="1">
      <c r="A37" s="1" t="s">
        <v>188</v>
      </c>
      <c r="B37" s="1"/>
      <c r="C37" s="1"/>
      <c r="D37" s="1"/>
      <c r="E37" s="1"/>
      <c r="F37" s="1"/>
    </row>
    <row r="38" spans="1:6" ht="24" customHeight="1">
      <c r="A38" s="1" t="s">
        <v>189</v>
      </c>
      <c r="B38" s="1"/>
      <c r="C38" s="1"/>
      <c r="D38" s="1"/>
      <c r="E38" s="1"/>
      <c r="F38" s="1"/>
    </row>
    <row r="39" spans="1:6" ht="24" customHeight="1">
      <c r="A39" s="1" t="s">
        <v>190</v>
      </c>
      <c r="B39" s="1"/>
      <c r="C39" s="1"/>
      <c r="D39" s="1"/>
      <c r="E39" s="1"/>
      <c r="F39" s="1"/>
    </row>
    <row r="40" spans="1:6" ht="24" customHeight="1">
      <c r="A40" s="1"/>
      <c r="B40" s="1"/>
      <c r="C40" s="1"/>
      <c r="D40" s="1"/>
      <c r="E40" s="1"/>
      <c r="F40" s="1"/>
    </row>
    <row r="41" spans="1:6" ht="24" customHeight="1">
      <c r="A41" s="10" t="s">
        <v>191</v>
      </c>
      <c r="B41" s="4"/>
      <c r="C41" s="4"/>
      <c r="D41" s="4"/>
      <c r="E41" s="4"/>
      <c r="F41" s="4"/>
    </row>
    <row r="42" spans="1:6" ht="24" customHeight="1">
      <c r="A42" s="1" t="s">
        <v>192</v>
      </c>
      <c r="B42" s="1"/>
      <c r="C42" s="1"/>
      <c r="D42" s="1"/>
      <c r="E42" s="1"/>
      <c r="F42" s="1"/>
    </row>
    <row r="43" spans="1:6" ht="24" customHeight="1">
      <c r="A43" s="1" t="s">
        <v>193</v>
      </c>
      <c r="B43" s="1"/>
      <c r="C43" s="1"/>
      <c r="D43" s="1"/>
      <c r="E43" s="1"/>
      <c r="F43" s="1"/>
    </row>
    <row r="44" spans="1:6" ht="24" customHeight="1">
      <c r="A44" s="1" t="s">
        <v>194</v>
      </c>
      <c r="B44" s="1"/>
      <c r="C44" s="1"/>
      <c r="D44" s="1"/>
      <c r="E44" s="1"/>
      <c r="F44" s="1"/>
    </row>
    <row r="45" spans="1:6" ht="24" customHeight="1">
      <c r="A45" s="1" t="s">
        <v>195</v>
      </c>
      <c r="B45" s="1"/>
      <c r="C45" s="1"/>
      <c r="D45" s="1"/>
      <c r="E45" s="1"/>
      <c r="F45" s="1"/>
    </row>
    <row r="46" spans="1:6" ht="24" customHeight="1">
      <c r="A46" s="1" t="s">
        <v>196</v>
      </c>
      <c r="B46" s="1"/>
      <c r="C46" s="1"/>
      <c r="D46" s="1"/>
      <c r="E46" s="1"/>
      <c r="F46" s="1"/>
    </row>
    <row r="47" spans="1:6" ht="24" customHeight="1">
      <c r="A47" s="1"/>
      <c r="B47" s="1"/>
      <c r="C47" s="1"/>
      <c r="D47" s="1"/>
      <c r="E47" s="1"/>
      <c r="F47" s="1"/>
    </row>
    <row r="48" spans="1:6" ht="24" customHeight="1">
      <c r="A48" s="10" t="s">
        <v>197</v>
      </c>
      <c r="B48" s="4"/>
      <c r="C48" s="4"/>
      <c r="D48" s="4"/>
      <c r="E48" s="4"/>
      <c r="F48" s="4"/>
    </row>
    <row r="49" spans="1:6" ht="24" customHeight="1">
      <c r="A49" s="1" t="s">
        <v>198</v>
      </c>
      <c r="B49" s="1"/>
      <c r="C49" s="1"/>
      <c r="D49" s="1"/>
      <c r="E49" s="1"/>
      <c r="F49" s="1"/>
    </row>
    <row r="50" spans="1:6" ht="24" customHeight="1">
      <c r="A50" s="1" t="s">
        <v>199</v>
      </c>
      <c r="B50" s="1"/>
      <c r="C50" s="1"/>
      <c r="D50" s="1"/>
      <c r="E50" s="1"/>
      <c r="F50" s="1"/>
    </row>
    <row r="51" spans="1:6" ht="24" customHeight="1">
      <c r="A51" s="1" t="s">
        <v>200</v>
      </c>
      <c r="B51" s="1"/>
      <c r="C51" s="1"/>
      <c r="D51" s="1"/>
      <c r="E51" s="1"/>
      <c r="F51" s="1"/>
    </row>
    <row r="52" spans="1:6" ht="24" customHeight="1">
      <c r="A52" s="1" t="s">
        <v>201</v>
      </c>
      <c r="B52" s="1"/>
      <c r="C52" s="1"/>
      <c r="D52" s="1"/>
      <c r="E52" s="1"/>
      <c r="F52" s="1"/>
    </row>
    <row r="53" spans="1:6" ht="24" customHeight="1">
      <c r="A53" s="1" t="s">
        <v>202</v>
      </c>
      <c r="B53" s="1"/>
      <c r="C53" s="1"/>
      <c r="D53" s="1"/>
      <c r="E53" s="1"/>
      <c r="F53" s="1"/>
    </row>
    <row r="54" spans="1:6" ht="24" customHeight="1">
      <c r="A54" s="1" t="s">
        <v>203</v>
      </c>
      <c r="B54" s="1"/>
      <c r="C54" s="1"/>
      <c r="D54" s="1"/>
      <c r="E54" s="1"/>
      <c r="F54" s="1"/>
    </row>
    <row r="55" spans="1:6" ht="24" customHeight="1">
      <c r="A55" s="1" t="s">
        <v>204</v>
      </c>
      <c r="B55" s="1"/>
      <c r="C55" s="1"/>
      <c r="D55" s="1"/>
      <c r="E55" s="1"/>
      <c r="F55" s="1"/>
    </row>
    <row r="56" spans="1:6" ht="24" customHeight="1">
      <c r="A56" s="1" t="s">
        <v>205</v>
      </c>
      <c r="B56" s="1"/>
      <c r="C56" s="1"/>
      <c r="D56" s="1"/>
      <c r="E56" s="1"/>
      <c r="F56" s="1"/>
    </row>
    <row r="57" spans="1:6" ht="24" customHeight="1">
      <c r="A57" s="1" t="s">
        <v>206</v>
      </c>
      <c r="B57" s="1"/>
      <c r="C57" s="1"/>
      <c r="D57" s="1"/>
      <c r="E57" s="1"/>
      <c r="F57" s="1"/>
    </row>
    <row r="58" spans="1:6" ht="24" customHeight="1">
      <c r="A58" s="1" t="s">
        <v>207</v>
      </c>
      <c r="B58" s="1"/>
      <c r="C58" s="1"/>
      <c r="D58" s="1"/>
      <c r="E58" s="1"/>
      <c r="F58" s="1"/>
    </row>
    <row r="59" spans="1:6" ht="24" customHeight="1">
      <c r="A59" s="1"/>
      <c r="B59" s="1"/>
      <c r="C59" s="1"/>
      <c r="D59" s="1"/>
      <c r="E59" s="1"/>
      <c r="F59" s="1"/>
    </row>
    <row r="60" spans="1:6" ht="24" customHeight="1">
      <c r="A60" s="10" t="s">
        <v>208</v>
      </c>
      <c r="B60" s="4"/>
      <c r="C60" s="4"/>
      <c r="D60" s="4"/>
      <c r="E60" s="4"/>
      <c r="F60" s="4"/>
    </row>
    <row r="61" spans="1:6" ht="24" customHeight="1">
      <c r="A61" s="1" t="s">
        <v>209</v>
      </c>
      <c r="B61" s="1"/>
      <c r="C61" s="1"/>
      <c r="D61" s="1"/>
      <c r="E61" s="1"/>
      <c r="F61" s="1"/>
    </row>
    <row r="62" spans="1:6" ht="24" customHeight="1">
      <c r="A62" s="1"/>
      <c r="B62" s="1"/>
      <c r="C62" s="1"/>
      <c r="D62" s="1"/>
      <c r="E62" s="1"/>
      <c r="F62" s="1"/>
    </row>
    <row r="63" spans="1:6" ht="24" customHeight="1">
      <c r="A63" s="1"/>
      <c r="B63" s="1"/>
      <c r="C63" s="1"/>
      <c r="D63" s="1"/>
      <c r="E63" s="1"/>
      <c r="F63" s="1"/>
    </row>
    <row r="64" spans="1:6" ht="24" customHeight="1">
      <c r="A64" s="1"/>
      <c r="B64" s="1"/>
      <c r="C64" s="1"/>
      <c r="D64" s="1"/>
      <c r="E64" s="1"/>
      <c r="F64" s="1"/>
    </row>
    <row r="65" spans="1:6" ht="24" customHeight="1">
      <c r="A65" s="1"/>
      <c r="B65" s="1"/>
      <c r="C65" s="1"/>
      <c r="D65" s="1"/>
      <c r="E65" s="1"/>
      <c r="F65" s="1"/>
    </row>
    <row r="66" spans="1:6" ht="24" customHeight="1">
      <c r="A66" s="1"/>
      <c r="B66" s="1"/>
      <c r="C66" s="1"/>
      <c r="D66" s="1"/>
      <c r="E66" s="1"/>
      <c r="F66" s="1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20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M9" sqref="M9"/>
    </sheetView>
  </sheetViews>
  <sheetFormatPr baseColWidth="10" defaultColWidth="8.83203125" defaultRowHeight="16"/>
  <cols>
    <col min="1" max="1" width="19" style="21" customWidth="1"/>
    <col min="2" max="2" width="18" style="21" customWidth="1"/>
    <col min="3" max="3" width="17" style="21" customWidth="1"/>
    <col min="4" max="4" width="35" style="21" customWidth="1"/>
    <col min="5" max="9" width="11.5" style="21" customWidth="1"/>
    <col min="10" max="11" width="15" style="27" customWidth="1"/>
    <col min="12" max="12" width="40" style="21" customWidth="1"/>
    <col min="13" max="15" width="10.83203125" style="27" customWidth="1"/>
    <col min="16" max="16" width="14.33203125" style="27" customWidth="1"/>
    <col min="17" max="17" width="4.1640625" style="27" customWidth="1"/>
    <col min="18" max="26" width="14.33203125" style="27" customWidth="1"/>
    <col min="27" max="16384" width="8.83203125" style="21"/>
  </cols>
  <sheetData>
    <row r="1" spans="1:26" ht="24" customHeight="1">
      <c r="A1" s="19"/>
      <c r="B1" s="19"/>
      <c r="C1" s="19"/>
      <c r="D1" s="19"/>
      <c r="E1" s="19"/>
      <c r="F1" s="19"/>
      <c r="G1" s="19"/>
      <c r="H1" s="19"/>
      <c r="I1" s="19"/>
      <c r="J1" s="20"/>
      <c r="K1" s="20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2" customHeight="1">
      <c r="A2" s="22" t="s">
        <v>210</v>
      </c>
      <c r="B2" s="19"/>
      <c r="C2" s="19"/>
      <c r="D2" s="19"/>
      <c r="E2" s="19"/>
      <c r="F2" s="19"/>
      <c r="G2" s="19"/>
      <c r="H2" s="19"/>
      <c r="I2" s="19"/>
      <c r="J2" s="20"/>
      <c r="K2" s="20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4" customHeight="1">
      <c r="A3" s="19" t="s">
        <v>211</v>
      </c>
      <c r="B3" s="19"/>
      <c r="C3" s="19"/>
      <c r="D3" s="19"/>
      <c r="E3" s="19"/>
      <c r="F3" s="19"/>
      <c r="G3" s="19"/>
      <c r="H3" s="19"/>
      <c r="I3" s="19"/>
      <c r="J3" s="20"/>
      <c r="K3" s="20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19"/>
      <c r="B4" s="19"/>
      <c r="C4" s="19"/>
      <c r="D4" s="19"/>
      <c r="E4" s="19"/>
      <c r="F4" s="19"/>
      <c r="G4" s="19"/>
      <c r="H4" s="19"/>
      <c r="I4" s="19"/>
      <c r="J4" s="20"/>
      <c r="K4" s="20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19"/>
      <c r="B5" s="19"/>
      <c r="C5" s="19"/>
      <c r="D5" s="19"/>
      <c r="E5" s="19"/>
      <c r="F5" s="19"/>
      <c r="G5" s="19"/>
      <c r="H5" s="19"/>
      <c r="I5" s="19"/>
      <c r="J5" s="20"/>
      <c r="K5" s="20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69" customHeight="1">
      <c r="A6" s="23" t="s">
        <v>3</v>
      </c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3" t="s">
        <v>12</v>
      </c>
      <c r="K6" s="23" t="s">
        <v>13</v>
      </c>
      <c r="L6" s="23" t="s">
        <v>14</v>
      </c>
      <c r="M6" s="23" t="s">
        <v>212</v>
      </c>
      <c r="N6" s="23" t="s">
        <v>213</v>
      </c>
      <c r="O6" s="23" t="s">
        <v>214</v>
      </c>
      <c r="P6" s="23" t="s">
        <v>17</v>
      </c>
      <c r="Q6" s="23"/>
      <c r="R6" s="23" t="s">
        <v>215</v>
      </c>
      <c r="S6" s="23" t="s">
        <v>216</v>
      </c>
      <c r="T6" s="23" t="s">
        <v>217</v>
      </c>
      <c r="U6" s="23" t="s">
        <v>218</v>
      </c>
      <c r="V6" s="23" t="s">
        <v>219</v>
      </c>
      <c r="W6" s="23" t="s">
        <v>220</v>
      </c>
      <c r="X6" s="23" t="s">
        <v>221</v>
      </c>
      <c r="Y6" s="23" t="s">
        <v>222</v>
      </c>
      <c r="Z6" s="23" t="s">
        <v>223</v>
      </c>
    </row>
    <row r="7" spans="1:26" ht="44" customHeight="1">
      <c r="A7" s="24" t="str">
        <f>IF(LEN('Enter Answers'!A7)=0,"",'Enter Answers'!A7)</f>
        <v>S2-Q001</v>
      </c>
      <c r="B7" s="24" t="str">
        <f>IF(LEN('Enter Answers'!B7)=0,"",'Enter Answers'!B7)</f>
        <v>S2-P024</v>
      </c>
      <c r="C7" s="24" t="str">
        <f>IF(LEN('Enter Answers'!C7)=0,"",'Enter Answers'!C7)</f>
        <v>Resident</v>
      </c>
      <c r="D7" s="24" t="str">
        <f>IF(R7="Valid",'Enter Answers'!D7,"")</f>
        <v>好玩，有用。知道如何同步。滑雪如何真實畫面就更好。</v>
      </c>
      <c r="E7" s="25">
        <f>IF(S7="Valid",'Enter Answers'!E7,"")</f>
        <v>4</v>
      </c>
      <c r="F7" s="25">
        <f>IF(T7="Valid",'Enter Answers'!F7,"")</f>
        <v>4</v>
      </c>
      <c r="G7" s="25">
        <f>IF(U7="Valid",'Enter Answers'!G7,"")</f>
        <v>2</v>
      </c>
      <c r="H7" s="25">
        <f>IF(V7="Valid",'Enter Answers'!H7,"")</f>
        <v>8</v>
      </c>
      <c r="I7" s="25">
        <f>IF(W7="Valid",'Enter Answers'!I7,"")</f>
        <v>8</v>
      </c>
      <c r="J7" s="26" t="str">
        <f>IF(X7="Valid",'Enter Answers'!J7,"")</f>
        <v>Yes</v>
      </c>
      <c r="K7" s="26" t="str">
        <f>IF(Y7="Valid",'Enter Answers'!K7,"")</f>
        <v>Willing</v>
      </c>
      <c r="L7" s="24" t="str">
        <f>IF(Z7="Valid",'Enter Answers'!L7,"")</f>
        <v>好想繼續玩，因為，可以繼續鍛鍊，提高自己的防跌倒能力</v>
      </c>
      <c r="M7" s="26">
        <f>9-COUNTBLANK('Enter Answers'!D7:L7)</f>
        <v>9</v>
      </c>
      <c r="N7" s="26">
        <f t="shared" ref="N7:N15" si="0">COUNTIFS(R7:Z7,"Invalid value")+COUNTIFS(R7:Z7,"Answer/status conflict")+COUNTIFS(R7:Z7,"Different form")</f>
        <v>0</v>
      </c>
      <c r="O7" s="26">
        <f t="shared" ref="O7:O15" si="1">IF(AND(M7&gt;0,P7&lt;&gt;"Matches"),1,0)</f>
        <v>1</v>
      </c>
      <c r="P7" s="26" t="str">
        <f>IF(LEN('Enter Answers'!O7)=0,"",'Enter Answers'!O7)</f>
        <v>Not checked</v>
      </c>
      <c r="Q7" s="26"/>
      <c r="R7" s="26" t="str">
        <f>IF(LEN('Enter Answers'!D7)=0,IF(LEN('Enter Answers'!D23)=0,"Not entered",'Enter Answers'!D23),IF('Enter Answers'!O7="Differs","Different form",IF(LEN('Enter Answers'!D23)&gt;0,"Answer/status conflict",IF(TRUE,"Valid","Invalid value"))))</f>
        <v>Valid</v>
      </c>
      <c r="S7" s="26" t="str">
        <f>IF(LEN('Enter Answers'!E7)=0,IF(LEN('Enter Answers'!E23)=0,"Not entered",'Enter Answers'!E23),IF('Enter Answers'!O7="Differs","Different form",IF(LEN('Enter Answers'!E23)&gt;0,"Answer/status conflict",IF(IF(ISNUMBER('Enter Answers'!E7),AND('Enter Answers'!E7&gt;=1,'Enter Answers'!E7&lt;=5,MOD('Enter Answers'!E7,1)=0),FALSE),"Valid","Invalid value"))))</f>
        <v>Valid</v>
      </c>
      <c r="T7" s="26" t="str">
        <f>IF(LEN('Enter Answers'!F7)=0,IF(LEN('Enter Answers'!F23)=0,"Not entered",'Enter Answers'!F23),IF('Enter Answers'!O7="Differs","Different form",IF(LEN('Enter Answers'!F23)&gt;0,"Answer/status conflict",IF(IF(ISNUMBER('Enter Answers'!F7),AND('Enter Answers'!F7&gt;=1,'Enter Answers'!F7&lt;=5,MOD('Enter Answers'!F7,1)=0),FALSE),"Valid","Invalid value"))))</f>
        <v>Valid</v>
      </c>
      <c r="U7" s="26" t="str">
        <f>IF(LEN('Enter Answers'!G7)=0,IF(LEN('Enter Answers'!G23)=0,"Not entered",'Enter Answers'!G23),IF('Enter Answers'!O7="Differs","Different form",IF(LEN('Enter Answers'!G23)&gt;0,"Answer/status conflict",IF(IF(ISNUMBER('Enter Answers'!G7),AND('Enter Answers'!G7&gt;=1,'Enter Answers'!G7&lt;=5,MOD('Enter Answers'!G7,1)=0),FALSE),"Valid","Invalid value"))))</f>
        <v>Valid</v>
      </c>
      <c r="V7" s="26" t="str">
        <f>IF(LEN('Enter Answers'!H7)=0,IF(LEN('Enter Answers'!H23)=0,"Not entered",'Enter Answers'!H23),IF('Enter Answers'!O7="Differs","Different form",IF(LEN('Enter Answers'!H23)&gt;0,"Answer/status conflict",IF(IF(ISNUMBER('Enter Answers'!H7),AND('Enter Answers'!H7&gt;=0,'Enter Answers'!H7&lt;=10,MOD('Enter Answers'!H7,1)=0),FALSE),"Valid","Invalid value"))))</f>
        <v>Valid</v>
      </c>
      <c r="W7" s="26" t="str">
        <f>IF(LEN('Enter Answers'!I7)=0,IF(LEN('Enter Answers'!I23)=0,"Not entered",'Enter Answers'!I23),IF('Enter Answers'!O7="Differs","Different form",IF(LEN('Enter Answers'!I23)&gt;0,"Answer/status conflict",IF(IF(ISNUMBER('Enter Answers'!I7),AND('Enter Answers'!I7&gt;=0,'Enter Answers'!I7&lt;=10,MOD('Enter Answers'!I7,1)=0),FALSE),"Valid","Invalid value"))))</f>
        <v>Valid</v>
      </c>
      <c r="X7" s="26" t="str">
        <f>IF(LEN('Enter Answers'!J7)=0,IF(LEN('Enter Answers'!J23)=0,"Not entered",'Enter Answers'!J23),IF('Enter Answers'!O7="Differs","Different form",IF(LEN('Enter Answers'!J23)&gt;0,"Answer/status conflict",IF(OR('Enter Answers'!J7="Yes",'Enter Answers'!J7="Undecided",'Enter Answers'!J7="No"),"Valid","Invalid value"))))</f>
        <v>Valid</v>
      </c>
      <c r="Y7" s="26" t="str">
        <f>IF(LEN('Enter Answers'!K7)=0,IF(LEN('Enter Answers'!K23)=0,"Not entered",'Enter Answers'!K23),IF('Enter Answers'!O7="Differs","Different form",IF(LEN('Enter Answers'!K23)&gt;0,"Answer/status conflict",IF(OR('Enter Answers'!K7="Willing",'Enter Answers'!K7="Undecided",'Enter Answers'!K7="Unwilling"),"Valid","Invalid value"))))</f>
        <v>Valid</v>
      </c>
      <c r="Z7" s="26" t="str">
        <f>IF(LEN('Enter Answers'!L7)=0,IF(LEN('Enter Answers'!L23)=0,"Not entered",'Enter Answers'!L23),IF('Enter Answers'!O7="Differs","Different form",IF(LEN('Enter Answers'!L23)&gt;0,"Answer/status conflict",IF(TRUE,"Valid","Invalid value"))))</f>
        <v>Valid</v>
      </c>
    </row>
    <row r="8" spans="1:26" ht="44" customHeight="1">
      <c r="A8" s="24" t="str">
        <f>IF(LEN('Enter Answers'!A8)=0,"",'Enter Answers'!A8)</f>
        <v>S2-Q002</v>
      </c>
      <c r="B8" s="24" t="str">
        <f>IF(LEN('Enter Answers'!B8)=0,"",'Enter Answers'!B8)</f>
        <v>S2-P025</v>
      </c>
      <c r="C8" s="24" t="str">
        <f>IF(LEN('Enter Answers'!C8)=0,"",'Enter Answers'!C8)</f>
        <v>Resident</v>
      </c>
      <c r="D8" s="24" t="str">
        <f>IF(R8="Valid",'Enter Answers'!D8,"")</f>
        <v>好玩，有用。滑雪畫面一般，唔夠吸引。</v>
      </c>
      <c r="E8" s="25">
        <f>IF(S8="Valid",'Enter Answers'!E8,"")</f>
        <v>4</v>
      </c>
      <c r="F8" s="25">
        <f>IF(T8="Valid",'Enter Answers'!F8,"")</f>
        <v>5</v>
      </c>
      <c r="G8" s="25">
        <f>IF(U8="Valid",'Enter Answers'!G8,"")</f>
        <v>3</v>
      </c>
      <c r="H8" s="25">
        <f>IF(V8="Valid",'Enter Answers'!H8,"")</f>
        <v>7</v>
      </c>
      <c r="I8" s="25">
        <f>IF(W8="Valid",'Enter Answers'!I8,"")</f>
        <v>8</v>
      </c>
      <c r="J8" s="26" t="str">
        <f>IF(X8="Valid",'Enter Answers'!J8,"")</f>
        <v>Yes</v>
      </c>
      <c r="K8" s="26" t="str">
        <f>IF(Y8="Valid",'Enter Answers'!K8,"")</f>
        <v>Willing</v>
      </c>
      <c r="L8" s="24" t="str">
        <f>IF(Z8="Valid",'Enter Answers'!L8,"")</f>
        <v>玩完知道分數比較開心，成績不錯</v>
      </c>
      <c r="M8" s="26">
        <f>9-COUNTBLANK('Enter Answers'!D8:L8)</f>
        <v>9</v>
      </c>
      <c r="N8" s="26">
        <f t="shared" si="0"/>
        <v>0</v>
      </c>
      <c r="O8" s="26">
        <f t="shared" si="1"/>
        <v>1</v>
      </c>
      <c r="P8" s="26" t="str">
        <f>IF(LEN('Enter Answers'!O8)=0,"",'Enter Answers'!O8)</f>
        <v>Not checked</v>
      </c>
      <c r="Q8" s="26"/>
      <c r="R8" s="26" t="str">
        <f>IF(LEN('Enter Answers'!D8)=0,IF(LEN('Enter Answers'!D24)=0,"Not entered",'Enter Answers'!D24),IF('Enter Answers'!O8="Differs","Different form",IF(LEN('Enter Answers'!D24)&gt;0,"Answer/status conflict",IF(TRUE,"Valid","Invalid value"))))</f>
        <v>Valid</v>
      </c>
      <c r="S8" s="26" t="str">
        <f>IF(LEN('Enter Answers'!E8)=0,IF(LEN('Enter Answers'!E24)=0,"Not entered",'Enter Answers'!E24),IF('Enter Answers'!O8="Differs","Different form",IF(LEN('Enter Answers'!E24)&gt;0,"Answer/status conflict",IF(IF(ISNUMBER('Enter Answers'!E8),AND('Enter Answers'!E8&gt;=1,'Enter Answers'!E8&lt;=5,MOD('Enter Answers'!E8,1)=0),FALSE),"Valid","Invalid value"))))</f>
        <v>Valid</v>
      </c>
      <c r="T8" s="26" t="str">
        <f>IF(LEN('Enter Answers'!F8)=0,IF(LEN('Enter Answers'!F24)=0,"Not entered",'Enter Answers'!F24),IF('Enter Answers'!O8="Differs","Different form",IF(LEN('Enter Answers'!F24)&gt;0,"Answer/status conflict",IF(IF(ISNUMBER('Enter Answers'!F8),AND('Enter Answers'!F8&gt;=1,'Enter Answers'!F8&lt;=5,MOD('Enter Answers'!F8,1)=0),FALSE),"Valid","Invalid value"))))</f>
        <v>Valid</v>
      </c>
      <c r="U8" s="26" t="str">
        <f>IF(LEN('Enter Answers'!G8)=0,IF(LEN('Enter Answers'!G24)=0,"Not entered",'Enter Answers'!G24),IF('Enter Answers'!O8="Differs","Different form",IF(LEN('Enter Answers'!G24)&gt;0,"Answer/status conflict",IF(IF(ISNUMBER('Enter Answers'!G8),AND('Enter Answers'!G8&gt;=1,'Enter Answers'!G8&lt;=5,MOD('Enter Answers'!G8,1)=0),FALSE),"Valid","Invalid value"))))</f>
        <v>Valid</v>
      </c>
      <c r="V8" s="26" t="str">
        <f>IF(LEN('Enter Answers'!H8)=0,IF(LEN('Enter Answers'!H24)=0,"Not entered",'Enter Answers'!H24),IF('Enter Answers'!O8="Differs","Different form",IF(LEN('Enter Answers'!H24)&gt;0,"Answer/status conflict",IF(IF(ISNUMBER('Enter Answers'!H8),AND('Enter Answers'!H8&gt;=0,'Enter Answers'!H8&lt;=10,MOD('Enter Answers'!H8,1)=0),FALSE),"Valid","Invalid value"))))</f>
        <v>Valid</v>
      </c>
      <c r="W8" s="26" t="str">
        <f>IF(LEN('Enter Answers'!I8)=0,IF(LEN('Enter Answers'!I24)=0,"Not entered",'Enter Answers'!I24),IF('Enter Answers'!O8="Differs","Different form",IF(LEN('Enter Answers'!I24)&gt;0,"Answer/status conflict",IF(IF(ISNUMBER('Enter Answers'!I8),AND('Enter Answers'!I8&gt;=0,'Enter Answers'!I8&lt;=10,MOD('Enter Answers'!I8,1)=0),FALSE),"Valid","Invalid value"))))</f>
        <v>Valid</v>
      </c>
      <c r="X8" s="26" t="str">
        <f>IF(LEN('Enter Answers'!J8)=0,IF(LEN('Enter Answers'!J24)=0,"Not entered",'Enter Answers'!J24),IF('Enter Answers'!O8="Differs","Different form",IF(LEN('Enter Answers'!J24)&gt;0,"Answer/status conflict",IF(OR('Enter Answers'!J8="Yes",'Enter Answers'!J8="Undecided",'Enter Answers'!J8="No"),"Valid","Invalid value"))))</f>
        <v>Valid</v>
      </c>
      <c r="Y8" s="26" t="str">
        <f>IF(LEN('Enter Answers'!K8)=0,IF(LEN('Enter Answers'!K24)=0,"Not entered",'Enter Answers'!K24),IF('Enter Answers'!O8="Differs","Different form",IF(LEN('Enter Answers'!K24)&gt;0,"Answer/status conflict",IF(OR('Enter Answers'!K8="Willing",'Enter Answers'!K8="Undecided",'Enter Answers'!K8="Unwilling"),"Valid","Invalid value"))))</f>
        <v>Valid</v>
      </c>
      <c r="Z8" s="26" t="str">
        <f>IF(LEN('Enter Answers'!L8)=0,IF(LEN('Enter Answers'!L24)=0,"Not entered",'Enter Answers'!L24),IF('Enter Answers'!O8="Differs","Different form",IF(LEN('Enter Answers'!L24)&gt;0,"Answer/status conflict",IF(TRUE,"Valid","Invalid value"))))</f>
        <v>Valid</v>
      </c>
    </row>
    <row r="9" spans="1:26" ht="44" customHeight="1">
      <c r="A9" s="24" t="str">
        <f>IF(LEN('Enter Answers'!A9)=0,"",'Enter Answers'!A9)</f>
        <v>S2-Q003</v>
      </c>
      <c r="B9" s="24" t="str">
        <f>IF(LEN('Enter Answers'!B9)=0,"",'Enter Answers'!B9)</f>
        <v>S2-P013</v>
      </c>
      <c r="C9" s="24" t="str">
        <f>IF(LEN('Enter Answers'!C9)=0,"",'Enter Answers'!C9)</f>
        <v>Resident</v>
      </c>
      <c r="D9" s="24" t="str">
        <f>IF(R9="Valid",'Enter Answers'!D9,"")</f>
        <v>好玩，有用。知道如何平衡。</v>
      </c>
      <c r="E9" s="25">
        <f>IF(S9="Valid",'Enter Answers'!E9,"")</f>
        <v>4</v>
      </c>
      <c r="F9" s="25">
        <f>IF(T9="Valid",'Enter Answers'!F9,"")</f>
        <v>5</v>
      </c>
      <c r="G9" s="25">
        <f>IF(U9="Valid",'Enter Answers'!G9,"")</f>
        <v>2</v>
      </c>
      <c r="H9" s="25">
        <f>IF(V9="Valid",'Enter Answers'!H9,"")</f>
        <v>7</v>
      </c>
      <c r="I9" s="25">
        <f>IF(W9="Valid",'Enter Answers'!I9,"")</f>
        <v>7</v>
      </c>
      <c r="J9" s="26" t="str">
        <f>IF(X9="Valid",'Enter Answers'!J9,"")</f>
        <v>Yes</v>
      </c>
      <c r="K9" s="26" t="str">
        <f>IF(Y9="Valid",'Enter Answers'!K9,"")</f>
        <v>Willing</v>
      </c>
      <c r="L9" s="24" t="str">
        <f>IF(Z9="Valid",'Enter Answers'!L9,"")</f>
        <v>唔錯的遊戲。 用了培訓不錯。</v>
      </c>
      <c r="M9" s="26">
        <f>9-COUNTBLANK('Enter Answers'!D9:L9)</f>
        <v>9</v>
      </c>
      <c r="N9" s="26">
        <f t="shared" si="0"/>
        <v>0</v>
      </c>
      <c r="O9" s="26">
        <f t="shared" si="1"/>
        <v>1</v>
      </c>
      <c r="P9" s="26" t="str">
        <f>IF(LEN('Enter Answers'!O9)=0,"",'Enter Answers'!O9)</f>
        <v>Not checked</v>
      </c>
      <c r="Q9" s="26"/>
      <c r="R9" s="26" t="str">
        <f>IF(LEN('Enter Answers'!D9)=0,IF(LEN('Enter Answers'!D25)=0,"Not entered",'Enter Answers'!D25),IF('Enter Answers'!O9="Differs","Different form",IF(LEN('Enter Answers'!D25)&gt;0,"Answer/status conflict",IF(TRUE,"Valid","Invalid value"))))</f>
        <v>Valid</v>
      </c>
      <c r="S9" s="26" t="str">
        <f>IF(LEN('Enter Answers'!E9)=0,IF(LEN('Enter Answers'!E25)=0,"Not entered",'Enter Answers'!E25),IF('Enter Answers'!O9="Differs","Different form",IF(LEN('Enter Answers'!E25)&gt;0,"Answer/status conflict",IF(IF(ISNUMBER('Enter Answers'!E9),AND('Enter Answers'!E9&gt;=1,'Enter Answers'!E9&lt;=5,MOD('Enter Answers'!E9,1)=0),FALSE),"Valid","Invalid value"))))</f>
        <v>Valid</v>
      </c>
      <c r="T9" s="26" t="str">
        <f>IF(LEN('Enter Answers'!F9)=0,IF(LEN('Enter Answers'!F25)=0,"Not entered",'Enter Answers'!F25),IF('Enter Answers'!O9="Differs","Different form",IF(LEN('Enter Answers'!F25)&gt;0,"Answer/status conflict",IF(IF(ISNUMBER('Enter Answers'!F9),AND('Enter Answers'!F9&gt;=1,'Enter Answers'!F9&lt;=5,MOD('Enter Answers'!F9,1)=0),FALSE),"Valid","Invalid value"))))</f>
        <v>Valid</v>
      </c>
      <c r="U9" s="26" t="str">
        <f>IF(LEN('Enter Answers'!G9)=0,IF(LEN('Enter Answers'!G25)=0,"Not entered",'Enter Answers'!G25),IF('Enter Answers'!O9="Differs","Different form",IF(LEN('Enter Answers'!G25)&gt;0,"Answer/status conflict",IF(IF(ISNUMBER('Enter Answers'!G9),AND('Enter Answers'!G9&gt;=1,'Enter Answers'!G9&lt;=5,MOD('Enter Answers'!G9,1)=0),FALSE),"Valid","Invalid value"))))</f>
        <v>Valid</v>
      </c>
      <c r="V9" s="26" t="str">
        <f>IF(LEN('Enter Answers'!H9)=0,IF(LEN('Enter Answers'!H25)=0,"Not entered",'Enter Answers'!H25),IF('Enter Answers'!O9="Differs","Different form",IF(LEN('Enter Answers'!H25)&gt;0,"Answer/status conflict",IF(IF(ISNUMBER('Enter Answers'!H9),AND('Enter Answers'!H9&gt;=0,'Enter Answers'!H9&lt;=10,MOD('Enter Answers'!H9,1)=0),FALSE),"Valid","Invalid value"))))</f>
        <v>Valid</v>
      </c>
      <c r="W9" s="26" t="str">
        <f>IF(LEN('Enter Answers'!I9)=0,IF(LEN('Enter Answers'!I25)=0,"Not entered",'Enter Answers'!I25),IF('Enter Answers'!O9="Differs","Different form",IF(LEN('Enter Answers'!I25)&gt;0,"Answer/status conflict",IF(IF(ISNUMBER('Enter Answers'!I9),AND('Enter Answers'!I9&gt;=0,'Enter Answers'!I9&lt;=10,MOD('Enter Answers'!I9,1)=0),FALSE),"Valid","Invalid value"))))</f>
        <v>Valid</v>
      </c>
      <c r="X9" s="26" t="str">
        <f>IF(LEN('Enter Answers'!J9)=0,IF(LEN('Enter Answers'!J25)=0,"Not entered",'Enter Answers'!J25),IF('Enter Answers'!O9="Differs","Different form",IF(LEN('Enter Answers'!J25)&gt;0,"Answer/status conflict",IF(OR('Enter Answers'!J9="Yes",'Enter Answers'!J9="Undecided",'Enter Answers'!J9="No"),"Valid","Invalid value"))))</f>
        <v>Valid</v>
      </c>
      <c r="Y9" s="26" t="str">
        <f>IF(LEN('Enter Answers'!K9)=0,IF(LEN('Enter Answers'!K25)=0,"Not entered",'Enter Answers'!K25),IF('Enter Answers'!O9="Differs","Different form",IF(LEN('Enter Answers'!K25)&gt;0,"Answer/status conflict",IF(OR('Enter Answers'!K9="Willing",'Enter Answers'!K9="Undecided",'Enter Answers'!K9="Unwilling"),"Valid","Invalid value"))))</f>
        <v>Valid</v>
      </c>
      <c r="Z9" s="26" t="str">
        <f>IF(LEN('Enter Answers'!L9)=0,IF(LEN('Enter Answers'!L25)=0,"Not entered",'Enter Answers'!L25),IF('Enter Answers'!O9="Differs","Different form",IF(LEN('Enter Answers'!L25)&gt;0,"Answer/status conflict",IF(TRUE,"Valid","Invalid value"))))</f>
        <v>Valid</v>
      </c>
    </row>
    <row r="10" spans="1:26" ht="44" customHeight="1">
      <c r="A10" s="24" t="str">
        <f>IF(LEN('Enter Answers'!A10)=0,"",'Enter Answers'!A10)</f>
        <v>S2-Q004</v>
      </c>
      <c r="B10" s="24" t="str">
        <f>IF(LEN('Enter Answers'!B10)=0,"",'Enter Answers'!B10)</f>
        <v>S2-P005</v>
      </c>
      <c r="C10" s="24" t="str">
        <f>IF(LEN('Enter Answers'!C10)=0,"",'Enter Answers'!C10)</f>
        <v>Resident</v>
      </c>
      <c r="D10" s="24" t="str">
        <f>IF(R10="Valid",'Enter Answers'!D10,"")</f>
        <v>好玩，有用。知道如何平衡更有效。畫面比較弱。</v>
      </c>
      <c r="E10" s="25">
        <f>IF(S10="Valid",'Enter Answers'!E10,"")</f>
        <v>4</v>
      </c>
      <c r="F10" s="25">
        <f>IF(T10="Valid",'Enter Answers'!F10,"")</f>
        <v>4</v>
      </c>
      <c r="G10" s="25">
        <f>IF(U10="Valid",'Enter Answers'!G10,"")</f>
        <v>2</v>
      </c>
      <c r="H10" s="25">
        <f>IF(V10="Valid",'Enter Answers'!H10,"")</f>
        <v>8</v>
      </c>
      <c r="I10" s="25">
        <f>IF(W10="Valid",'Enter Answers'!I10,"")</f>
        <v>8</v>
      </c>
      <c r="J10" s="26" t="str">
        <f>IF(X10="Valid",'Enter Answers'!J10,"")</f>
        <v>Yes</v>
      </c>
      <c r="K10" s="26" t="str">
        <f>IF(Y10="Valid",'Enter Answers'!K10,"")</f>
        <v>Willing</v>
      </c>
      <c r="L10" s="24" t="str">
        <f>IF(Z10="Valid",'Enter Answers'!L10,"")</f>
        <v>有用。幾有用？就好難講。感覺不錯。</v>
      </c>
      <c r="M10" s="26">
        <f>9-COUNTBLANK('Enter Answers'!D10:L10)</f>
        <v>9</v>
      </c>
      <c r="N10" s="26">
        <f t="shared" si="0"/>
        <v>0</v>
      </c>
      <c r="O10" s="26">
        <f t="shared" si="1"/>
        <v>1</v>
      </c>
      <c r="P10" s="26" t="str">
        <f>IF(LEN('Enter Answers'!O10)=0,"",'Enter Answers'!O10)</f>
        <v>Not checked</v>
      </c>
      <c r="Q10" s="26"/>
      <c r="R10" s="26" t="str">
        <f>IF(LEN('Enter Answers'!D10)=0,IF(LEN('Enter Answers'!D26)=0,"Not entered",'Enter Answers'!D26),IF('Enter Answers'!O10="Differs","Different form",IF(LEN('Enter Answers'!D26)&gt;0,"Answer/status conflict",IF(TRUE,"Valid","Invalid value"))))</f>
        <v>Valid</v>
      </c>
      <c r="S10" s="26" t="str">
        <f>IF(LEN('Enter Answers'!E10)=0,IF(LEN('Enter Answers'!E26)=0,"Not entered",'Enter Answers'!E26),IF('Enter Answers'!O10="Differs","Different form",IF(LEN('Enter Answers'!E26)&gt;0,"Answer/status conflict",IF(IF(ISNUMBER('Enter Answers'!E10),AND('Enter Answers'!E10&gt;=1,'Enter Answers'!E10&lt;=5,MOD('Enter Answers'!E10,1)=0),FALSE),"Valid","Invalid value"))))</f>
        <v>Valid</v>
      </c>
      <c r="T10" s="26" t="str">
        <f>IF(LEN('Enter Answers'!F10)=0,IF(LEN('Enter Answers'!F26)=0,"Not entered",'Enter Answers'!F26),IF('Enter Answers'!O10="Differs","Different form",IF(LEN('Enter Answers'!F26)&gt;0,"Answer/status conflict",IF(IF(ISNUMBER('Enter Answers'!F10),AND('Enter Answers'!F10&gt;=1,'Enter Answers'!F10&lt;=5,MOD('Enter Answers'!F10,1)=0),FALSE),"Valid","Invalid value"))))</f>
        <v>Valid</v>
      </c>
      <c r="U10" s="26" t="str">
        <f>IF(LEN('Enter Answers'!G10)=0,IF(LEN('Enter Answers'!G26)=0,"Not entered",'Enter Answers'!G26),IF('Enter Answers'!O10="Differs","Different form",IF(LEN('Enter Answers'!G26)&gt;0,"Answer/status conflict",IF(IF(ISNUMBER('Enter Answers'!G10),AND('Enter Answers'!G10&gt;=1,'Enter Answers'!G10&lt;=5,MOD('Enter Answers'!G10,1)=0),FALSE),"Valid","Invalid value"))))</f>
        <v>Valid</v>
      </c>
      <c r="V10" s="26" t="str">
        <f>IF(LEN('Enter Answers'!H10)=0,IF(LEN('Enter Answers'!H26)=0,"Not entered",'Enter Answers'!H26),IF('Enter Answers'!O10="Differs","Different form",IF(LEN('Enter Answers'!H26)&gt;0,"Answer/status conflict",IF(IF(ISNUMBER('Enter Answers'!H10),AND('Enter Answers'!H10&gt;=0,'Enter Answers'!H10&lt;=10,MOD('Enter Answers'!H10,1)=0),FALSE),"Valid","Invalid value"))))</f>
        <v>Valid</v>
      </c>
      <c r="W10" s="26" t="str">
        <f>IF(LEN('Enter Answers'!I10)=0,IF(LEN('Enter Answers'!I26)=0,"Not entered",'Enter Answers'!I26),IF('Enter Answers'!O10="Differs","Different form",IF(LEN('Enter Answers'!I26)&gt;0,"Answer/status conflict",IF(IF(ISNUMBER('Enter Answers'!I10),AND('Enter Answers'!I10&gt;=0,'Enter Answers'!I10&lt;=10,MOD('Enter Answers'!I10,1)=0),FALSE),"Valid","Invalid value"))))</f>
        <v>Valid</v>
      </c>
      <c r="X10" s="26" t="str">
        <f>IF(LEN('Enter Answers'!J10)=0,IF(LEN('Enter Answers'!J26)=0,"Not entered",'Enter Answers'!J26),IF('Enter Answers'!O10="Differs","Different form",IF(LEN('Enter Answers'!J26)&gt;0,"Answer/status conflict",IF(OR('Enter Answers'!J10="Yes",'Enter Answers'!J10="Undecided",'Enter Answers'!J10="No"),"Valid","Invalid value"))))</f>
        <v>Valid</v>
      </c>
      <c r="Y10" s="26" t="str">
        <f>IF(LEN('Enter Answers'!K10)=0,IF(LEN('Enter Answers'!K26)=0,"Not entered",'Enter Answers'!K26),IF('Enter Answers'!O10="Differs","Different form",IF(LEN('Enter Answers'!K26)&gt;0,"Answer/status conflict",IF(OR('Enter Answers'!K10="Willing",'Enter Answers'!K10="Undecided",'Enter Answers'!K10="Unwilling"),"Valid","Invalid value"))))</f>
        <v>Valid</v>
      </c>
      <c r="Z10" s="26" t="str">
        <f>IF(LEN('Enter Answers'!L10)=0,IF(LEN('Enter Answers'!L26)=0,"Not entered",'Enter Answers'!L26),IF('Enter Answers'!O10="Differs","Different form",IF(LEN('Enter Answers'!L26)&gt;0,"Answer/status conflict",IF(TRUE,"Valid","Invalid value"))))</f>
        <v>Valid</v>
      </c>
    </row>
    <row r="11" spans="1:26" ht="44" customHeight="1">
      <c r="A11" s="24" t="str">
        <f>IF(LEN('Enter Answers'!A11)=0,"",'Enter Answers'!A11)</f>
        <v>S2-Q005</v>
      </c>
      <c r="B11" s="24" t="str">
        <f>IF(LEN('Enter Answers'!B11)=0,"",'Enter Answers'!B11)</f>
        <v>S2-P014</v>
      </c>
      <c r="C11" s="24" t="str">
        <f>IF(LEN('Enter Answers'!C11)=0,"",'Enter Answers'!C11)</f>
        <v>Resident</v>
      </c>
      <c r="D11" s="24" t="str">
        <f>IF(R11="Valid",'Enter Answers'!D11,"")</f>
        <v>好玩，有用。玩左幾次。</v>
      </c>
      <c r="E11" s="25">
        <f>IF(S11="Valid",'Enter Answers'!E11,"")</f>
        <v>5</v>
      </c>
      <c r="F11" s="25">
        <f>IF(T11="Valid",'Enter Answers'!F11,"")</f>
        <v>5</v>
      </c>
      <c r="G11" s="25">
        <f>IF(U11="Valid",'Enter Answers'!G11,"")</f>
        <v>2</v>
      </c>
      <c r="H11" s="25">
        <f>IF(V11="Valid",'Enter Answers'!H11,"")</f>
        <v>8</v>
      </c>
      <c r="I11" s="25">
        <f>IF(W11="Valid",'Enter Answers'!I11,"")</f>
        <v>8</v>
      </c>
      <c r="J11" s="26" t="str">
        <f>IF(X11="Valid",'Enter Answers'!J11,"")</f>
        <v>Yes</v>
      </c>
      <c r="K11" s="26" t="str">
        <f>IF(Y11="Valid",'Enter Answers'!K11,"")</f>
        <v>Willing</v>
      </c>
      <c r="L11" s="24" t="str">
        <f>IF(Z11="Valid",'Enter Answers'!L11,"")</f>
        <v>有D人唔試，真系唔知點解。幾有用。可以鍛鍊，集中精神</v>
      </c>
      <c r="M11" s="26">
        <f>9-COUNTBLANK('Enter Answers'!D11:L11)</f>
        <v>9</v>
      </c>
      <c r="N11" s="26">
        <f t="shared" si="0"/>
        <v>0</v>
      </c>
      <c r="O11" s="26">
        <f t="shared" si="1"/>
        <v>1</v>
      </c>
      <c r="P11" s="26" t="str">
        <f>IF(LEN('Enter Answers'!O11)=0,"",'Enter Answers'!O11)</f>
        <v>Not checked</v>
      </c>
      <c r="Q11" s="26"/>
      <c r="R11" s="26" t="str">
        <f>IF(LEN('Enter Answers'!D11)=0,IF(LEN('Enter Answers'!D27)=0,"Not entered",'Enter Answers'!D27),IF('Enter Answers'!O11="Differs","Different form",IF(LEN('Enter Answers'!D27)&gt;0,"Answer/status conflict",IF(TRUE,"Valid","Invalid value"))))</f>
        <v>Valid</v>
      </c>
      <c r="S11" s="26" t="str">
        <f>IF(LEN('Enter Answers'!E11)=0,IF(LEN('Enter Answers'!E27)=0,"Not entered",'Enter Answers'!E27),IF('Enter Answers'!O11="Differs","Different form",IF(LEN('Enter Answers'!E27)&gt;0,"Answer/status conflict",IF(IF(ISNUMBER('Enter Answers'!E11),AND('Enter Answers'!E11&gt;=1,'Enter Answers'!E11&lt;=5,MOD('Enter Answers'!E11,1)=0),FALSE),"Valid","Invalid value"))))</f>
        <v>Valid</v>
      </c>
      <c r="T11" s="26" t="str">
        <f>IF(LEN('Enter Answers'!F11)=0,IF(LEN('Enter Answers'!F27)=0,"Not entered",'Enter Answers'!F27),IF('Enter Answers'!O11="Differs","Different form",IF(LEN('Enter Answers'!F27)&gt;0,"Answer/status conflict",IF(IF(ISNUMBER('Enter Answers'!F11),AND('Enter Answers'!F11&gt;=1,'Enter Answers'!F11&lt;=5,MOD('Enter Answers'!F11,1)=0),FALSE),"Valid","Invalid value"))))</f>
        <v>Valid</v>
      </c>
      <c r="U11" s="26" t="str">
        <f>IF(LEN('Enter Answers'!G11)=0,IF(LEN('Enter Answers'!G27)=0,"Not entered",'Enter Answers'!G27),IF('Enter Answers'!O11="Differs","Different form",IF(LEN('Enter Answers'!G27)&gt;0,"Answer/status conflict",IF(IF(ISNUMBER('Enter Answers'!G11),AND('Enter Answers'!G11&gt;=1,'Enter Answers'!G11&lt;=5,MOD('Enter Answers'!G11,1)=0),FALSE),"Valid","Invalid value"))))</f>
        <v>Valid</v>
      </c>
      <c r="V11" s="26" t="str">
        <f>IF(LEN('Enter Answers'!H11)=0,IF(LEN('Enter Answers'!H27)=0,"Not entered",'Enter Answers'!H27),IF('Enter Answers'!O11="Differs","Different form",IF(LEN('Enter Answers'!H27)&gt;0,"Answer/status conflict",IF(IF(ISNUMBER('Enter Answers'!H11),AND('Enter Answers'!H11&gt;=0,'Enter Answers'!H11&lt;=10,MOD('Enter Answers'!H11,1)=0),FALSE),"Valid","Invalid value"))))</f>
        <v>Valid</v>
      </c>
      <c r="W11" s="26" t="str">
        <f>IF(LEN('Enter Answers'!I11)=0,IF(LEN('Enter Answers'!I27)=0,"Not entered",'Enter Answers'!I27),IF('Enter Answers'!O11="Differs","Different form",IF(LEN('Enter Answers'!I27)&gt;0,"Answer/status conflict",IF(IF(ISNUMBER('Enter Answers'!I11),AND('Enter Answers'!I11&gt;=0,'Enter Answers'!I11&lt;=10,MOD('Enter Answers'!I11,1)=0),FALSE),"Valid","Invalid value"))))</f>
        <v>Valid</v>
      </c>
      <c r="X11" s="26" t="str">
        <f>IF(LEN('Enter Answers'!J11)=0,IF(LEN('Enter Answers'!J27)=0,"Not entered",'Enter Answers'!J27),IF('Enter Answers'!O11="Differs","Different form",IF(LEN('Enter Answers'!J27)&gt;0,"Answer/status conflict",IF(OR('Enter Answers'!J11="Yes",'Enter Answers'!J11="Undecided",'Enter Answers'!J11="No"),"Valid","Invalid value"))))</f>
        <v>Valid</v>
      </c>
      <c r="Y11" s="26" t="str">
        <f>IF(LEN('Enter Answers'!K11)=0,IF(LEN('Enter Answers'!K27)=0,"Not entered",'Enter Answers'!K27),IF('Enter Answers'!O11="Differs","Different form",IF(LEN('Enter Answers'!K27)&gt;0,"Answer/status conflict",IF(OR('Enter Answers'!K11="Willing",'Enter Answers'!K11="Undecided",'Enter Answers'!K11="Unwilling"),"Valid","Invalid value"))))</f>
        <v>Valid</v>
      </c>
      <c r="Z11" s="26" t="str">
        <f>IF(LEN('Enter Answers'!L11)=0,IF(LEN('Enter Answers'!L27)=0,"Not entered",'Enter Answers'!L27),IF('Enter Answers'!O11="Differs","Different form",IF(LEN('Enter Answers'!L27)&gt;0,"Answer/status conflict",IF(TRUE,"Valid","Invalid value"))))</f>
        <v>Valid</v>
      </c>
    </row>
    <row r="12" spans="1:26" ht="44" customHeight="1">
      <c r="A12" s="24" t="str">
        <f>IF(LEN('Enter Answers'!A12)=0,"",'Enter Answers'!A12)</f>
        <v>S2-Q006</v>
      </c>
      <c r="B12" s="24" t="str">
        <f>IF(LEN('Enter Answers'!B12)=0,"",'Enter Answers'!B12)</f>
        <v>S2-P004</v>
      </c>
      <c r="C12" s="24" t="str">
        <f>IF(LEN('Enter Answers'!C12)=0,"",'Enter Answers'!C12)</f>
        <v>Resident</v>
      </c>
      <c r="D12" s="24" t="str">
        <f>IF(R12="Valid",'Enter Answers'!D12,"")</f>
        <v>好玩，有用。好似好容易，其實有挑戰。畫面要改進。</v>
      </c>
      <c r="E12" s="25">
        <f>IF(S12="Valid",'Enter Answers'!E12,"")</f>
        <v>5</v>
      </c>
      <c r="F12" s="25">
        <f>IF(T12="Valid",'Enter Answers'!F12,"")</f>
        <v>5</v>
      </c>
      <c r="G12" s="25">
        <f>IF(U12="Valid",'Enter Answers'!G12,"")</f>
        <v>1</v>
      </c>
      <c r="H12" s="25">
        <f>IF(V12="Valid",'Enter Answers'!H12,"")</f>
        <v>8</v>
      </c>
      <c r="I12" s="25">
        <f>IF(W12="Valid",'Enter Answers'!I12,"")</f>
        <v>9</v>
      </c>
      <c r="J12" s="26" t="str">
        <f>IF(X12="Valid",'Enter Answers'!J12,"")</f>
        <v>Yes</v>
      </c>
      <c r="K12" s="26" t="str">
        <f>IF(Y12="Valid",'Enter Answers'!K12,"")</f>
        <v>Willing</v>
      </c>
      <c r="L12" s="24" t="str">
        <f>IF(Z12="Valid",'Enter Answers'!L12,"")</f>
        <v>有用。幾有用？就好難講。比以前進步。</v>
      </c>
      <c r="M12" s="26">
        <f>9-COUNTBLANK('Enter Answers'!D12:L12)</f>
        <v>9</v>
      </c>
      <c r="N12" s="26">
        <f t="shared" si="0"/>
        <v>0</v>
      </c>
      <c r="O12" s="26">
        <f t="shared" si="1"/>
        <v>1</v>
      </c>
      <c r="P12" s="26" t="str">
        <f>IF(LEN('Enter Answers'!O12)=0,"",'Enter Answers'!O12)</f>
        <v>Not checked</v>
      </c>
      <c r="Q12" s="26"/>
      <c r="R12" s="26" t="str">
        <f>IF(LEN('Enter Answers'!D12)=0,IF(LEN('Enter Answers'!D28)=0,"Not entered",'Enter Answers'!D28),IF('Enter Answers'!O12="Differs","Different form",IF(LEN('Enter Answers'!D28)&gt;0,"Answer/status conflict",IF(TRUE,"Valid","Invalid value"))))</f>
        <v>Valid</v>
      </c>
      <c r="S12" s="26" t="str">
        <f>IF(LEN('Enter Answers'!E12)=0,IF(LEN('Enter Answers'!E28)=0,"Not entered",'Enter Answers'!E28),IF('Enter Answers'!O12="Differs","Different form",IF(LEN('Enter Answers'!E28)&gt;0,"Answer/status conflict",IF(IF(ISNUMBER('Enter Answers'!E12),AND('Enter Answers'!E12&gt;=1,'Enter Answers'!E12&lt;=5,MOD('Enter Answers'!E12,1)=0),FALSE),"Valid","Invalid value"))))</f>
        <v>Valid</v>
      </c>
      <c r="T12" s="26" t="str">
        <f>IF(LEN('Enter Answers'!F12)=0,IF(LEN('Enter Answers'!F28)=0,"Not entered",'Enter Answers'!F28),IF('Enter Answers'!O12="Differs","Different form",IF(LEN('Enter Answers'!F28)&gt;0,"Answer/status conflict",IF(IF(ISNUMBER('Enter Answers'!F12),AND('Enter Answers'!F12&gt;=1,'Enter Answers'!F12&lt;=5,MOD('Enter Answers'!F12,1)=0),FALSE),"Valid","Invalid value"))))</f>
        <v>Valid</v>
      </c>
      <c r="U12" s="26" t="str">
        <f>IF(LEN('Enter Answers'!G12)=0,IF(LEN('Enter Answers'!G28)=0,"Not entered",'Enter Answers'!G28),IF('Enter Answers'!O12="Differs","Different form",IF(LEN('Enter Answers'!G28)&gt;0,"Answer/status conflict",IF(IF(ISNUMBER('Enter Answers'!G12),AND('Enter Answers'!G12&gt;=1,'Enter Answers'!G12&lt;=5,MOD('Enter Answers'!G12,1)=0),FALSE),"Valid","Invalid value"))))</f>
        <v>Valid</v>
      </c>
      <c r="V12" s="26" t="str">
        <f>IF(LEN('Enter Answers'!H12)=0,IF(LEN('Enter Answers'!H28)=0,"Not entered",'Enter Answers'!H28),IF('Enter Answers'!O12="Differs","Different form",IF(LEN('Enter Answers'!H28)&gt;0,"Answer/status conflict",IF(IF(ISNUMBER('Enter Answers'!H12),AND('Enter Answers'!H12&gt;=0,'Enter Answers'!H12&lt;=10,MOD('Enter Answers'!H12,1)=0),FALSE),"Valid","Invalid value"))))</f>
        <v>Valid</v>
      </c>
      <c r="W12" s="26" t="str">
        <f>IF(LEN('Enter Answers'!I12)=0,IF(LEN('Enter Answers'!I28)=0,"Not entered",'Enter Answers'!I28),IF('Enter Answers'!O12="Differs","Different form",IF(LEN('Enter Answers'!I28)&gt;0,"Answer/status conflict",IF(IF(ISNUMBER('Enter Answers'!I12),AND('Enter Answers'!I12&gt;=0,'Enter Answers'!I12&lt;=10,MOD('Enter Answers'!I12,1)=0),FALSE),"Valid","Invalid value"))))</f>
        <v>Valid</v>
      </c>
      <c r="X12" s="26" t="str">
        <f>IF(LEN('Enter Answers'!J12)=0,IF(LEN('Enter Answers'!J28)=0,"Not entered",'Enter Answers'!J28),IF('Enter Answers'!O12="Differs","Different form",IF(LEN('Enter Answers'!J28)&gt;0,"Answer/status conflict",IF(OR('Enter Answers'!J12="Yes",'Enter Answers'!J12="Undecided",'Enter Answers'!J12="No"),"Valid","Invalid value"))))</f>
        <v>Valid</v>
      </c>
      <c r="Y12" s="26" t="str">
        <f>IF(LEN('Enter Answers'!K12)=0,IF(LEN('Enter Answers'!K28)=0,"Not entered",'Enter Answers'!K28),IF('Enter Answers'!O12="Differs","Different form",IF(LEN('Enter Answers'!K28)&gt;0,"Answer/status conflict",IF(OR('Enter Answers'!K12="Willing",'Enter Answers'!K12="Undecided",'Enter Answers'!K12="Unwilling"),"Valid","Invalid value"))))</f>
        <v>Valid</v>
      </c>
      <c r="Z12" s="26" t="str">
        <f>IF(LEN('Enter Answers'!L12)=0,IF(LEN('Enter Answers'!L28)=0,"Not entered",'Enter Answers'!L28),IF('Enter Answers'!O12="Differs","Different form",IF(LEN('Enter Answers'!L28)&gt;0,"Answer/status conflict",IF(TRUE,"Valid","Invalid value"))))</f>
        <v>Valid</v>
      </c>
    </row>
    <row r="13" spans="1:26" ht="44" customHeight="1">
      <c r="A13" s="24" t="str">
        <f>IF(LEN('Enter Answers'!A13)=0,"",'Enter Answers'!A13)</f>
        <v>S2-Q007</v>
      </c>
      <c r="B13" s="24" t="str">
        <f>IF(LEN('Enter Answers'!B13)=0,"",'Enter Answers'!B13)</f>
        <v>S2-P017</v>
      </c>
      <c r="C13" s="24" t="str">
        <f>IF(LEN('Enter Answers'!C13)=0,"",'Enter Answers'!C13)</f>
        <v>Resident</v>
      </c>
      <c r="D13" s="24" t="str">
        <f>IF(R13="Valid",'Enter Answers'!D13,"")</f>
        <v>好玩，有用。比以前好玩好多。</v>
      </c>
      <c r="E13" s="25">
        <f>IF(S13="Valid",'Enter Answers'!E13,"")</f>
        <v>4</v>
      </c>
      <c r="F13" s="25">
        <f>IF(T13="Valid",'Enter Answers'!F13,"")</f>
        <v>4</v>
      </c>
      <c r="G13" s="25">
        <f>IF(U13="Valid",'Enter Answers'!G13,"")</f>
        <v>2</v>
      </c>
      <c r="H13" s="25">
        <f>IF(V13="Valid",'Enter Answers'!H13,"")</f>
        <v>8</v>
      </c>
      <c r="I13" s="25">
        <f>IF(W13="Valid",'Enter Answers'!I13,"")</f>
        <v>8</v>
      </c>
      <c r="J13" s="26" t="str">
        <f>IF(X13="Valid",'Enter Answers'!J13,"")</f>
        <v>Yes</v>
      </c>
      <c r="K13" s="26" t="str">
        <f>IF(Y13="Valid",'Enter Answers'!K13,"")</f>
        <v>Willing</v>
      </c>
      <c r="L13" s="24" t="str">
        <f>IF(Z13="Valid",'Enter Answers'!L13,"")</f>
        <v>想分享一下體驗。可以提高集中注意力。唔知其他人點解唔試</v>
      </c>
      <c r="M13" s="26">
        <f>9-COUNTBLANK('Enter Answers'!D13:L13)</f>
        <v>9</v>
      </c>
      <c r="N13" s="26">
        <f t="shared" si="0"/>
        <v>0</v>
      </c>
      <c r="O13" s="26">
        <f t="shared" si="1"/>
        <v>1</v>
      </c>
      <c r="P13" s="26" t="str">
        <f>IF(LEN('Enter Answers'!O13)=0,"",'Enter Answers'!O13)</f>
        <v>Not checked</v>
      </c>
      <c r="Q13" s="26"/>
      <c r="R13" s="26" t="str">
        <f>IF(LEN('Enter Answers'!D13)=0,IF(LEN('Enter Answers'!D29)=0,"Not entered",'Enter Answers'!D29),IF('Enter Answers'!O13="Differs","Different form",IF(LEN('Enter Answers'!D29)&gt;0,"Answer/status conflict",IF(TRUE,"Valid","Invalid value"))))</f>
        <v>Valid</v>
      </c>
      <c r="S13" s="26" t="str">
        <f>IF(LEN('Enter Answers'!E13)=0,IF(LEN('Enter Answers'!E29)=0,"Not entered",'Enter Answers'!E29),IF('Enter Answers'!O13="Differs","Different form",IF(LEN('Enter Answers'!E29)&gt;0,"Answer/status conflict",IF(IF(ISNUMBER('Enter Answers'!E13),AND('Enter Answers'!E13&gt;=1,'Enter Answers'!E13&lt;=5,MOD('Enter Answers'!E13,1)=0),FALSE),"Valid","Invalid value"))))</f>
        <v>Valid</v>
      </c>
      <c r="T13" s="26" t="str">
        <f>IF(LEN('Enter Answers'!F13)=0,IF(LEN('Enter Answers'!F29)=0,"Not entered",'Enter Answers'!F29),IF('Enter Answers'!O13="Differs","Different form",IF(LEN('Enter Answers'!F29)&gt;0,"Answer/status conflict",IF(IF(ISNUMBER('Enter Answers'!F13),AND('Enter Answers'!F13&gt;=1,'Enter Answers'!F13&lt;=5,MOD('Enter Answers'!F13,1)=0),FALSE),"Valid","Invalid value"))))</f>
        <v>Valid</v>
      </c>
      <c r="U13" s="26" t="str">
        <f>IF(LEN('Enter Answers'!G13)=0,IF(LEN('Enter Answers'!G29)=0,"Not entered",'Enter Answers'!G29),IF('Enter Answers'!O13="Differs","Different form",IF(LEN('Enter Answers'!G29)&gt;0,"Answer/status conflict",IF(IF(ISNUMBER('Enter Answers'!G13),AND('Enter Answers'!G13&gt;=1,'Enter Answers'!G13&lt;=5,MOD('Enter Answers'!G13,1)=0),FALSE),"Valid","Invalid value"))))</f>
        <v>Valid</v>
      </c>
      <c r="V13" s="26" t="str">
        <f>IF(LEN('Enter Answers'!H13)=0,IF(LEN('Enter Answers'!H29)=0,"Not entered",'Enter Answers'!H29),IF('Enter Answers'!O13="Differs","Different form",IF(LEN('Enter Answers'!H29)&gt;0,"Answer/status conflict",IF(IF(ISNUMBER('Enter Answers'!H13),AND('Enter Answers'!H13&gt;=0,'Enter Answers'!H13&lt;=10,MOD('Enter Answers'!H13,1)=0),FALSE),"Valid","Invalid value"))))</f>
        <v>Valid</v>
      </c>
      <c r="W13" s="26" t="str">
        <f>IF(LEN('Enter Answers'!I13)=0,IF(LEN('Enter Answers'!I29)=0,"Not entered",'Enter Answers'!I29),IF('Enter Answers'!O13="Differs","Different form",IF(LEN('Enter Answers'!I29)&gt;0,"Answer/status conflict",IF(IF(ISNUMBER('Enter Answers'!I13),AND('Enter Answers'!I13&gt;=0,'Enter Answers'!I13&lt;=10,MOD('Enter Answers'!I13,1)=0),FALSE),"Valid","Invalid value"))))</f>
        <v>Valid</v>
      </c>
      <c r="X13" s="26" t="str">
        <f>IF(LEN('Enter Answers'!J13)=0,IF(LEN('Enter Answers'!J29)=0,"Not entered",'Enter Answers'!J29),IF('Enter Answers'!O13="Differs","Different form",IF(LEN('Enter Answers'!J29)&gt;0,"Answer/status conflict",IF(OR('Enter Answers'!J13="Yes",'Enter Answers'!J13="Undecided",'Enter Answers'!J13="No"),"Valid","Invalid value"))))</f>
        <v>Valid</v>
      </c>
      <c r="Y13" s="26" t="str">
        <f>IF(LEN('Enter Answers'!K13)=0,IF(LEN('Enter Answers'!K29)=0,"Not entered",'Enter Answers'!K29),IF('Enter Answers'!O13="Differs","Different form",IF(LEN('Enter Answers'!K29)&gt;0,"Answer/status conflict",IF(OR('Enter Answers'!K13="Willing",'Enter Answers'!K13="Undecided",'Enter Answers'!K13="Unwilling"),"Valid","Invalid value"))))</f>
        <v>Valid</v>
      </c>
      <c r="Z13" s="26" t="str">
        <f>IF(LEN('Enter Answers'!L13)=0,IF(LEN('Enter Answers'!L29)=0,"Not entered",'Enter Answers'!L29),IF('Enter Answers'!O13="Differs","Different form",IF(LEN('Enter Answers'!L29)&gt;0,"Answer/status conflict",IF(TRUE,"Valid","Invalid value"))))</f>
        <v>Valid</v>
      </c>
    </row>
    <row r="14" spans="1:26" ht="44" customHeight="1">
      <c r="A14" s="24" t="str">
        <f>IF(LEN('Enter Answers'!A14)=0,"",'Enter Answers'!A14)</f>
        <v>S2-Q008</v>
      </c>
      <c r="B14" s="24" t="str">
        <f>IF(LEN('Enter Answers'!B14)=0,"",'Enter Answers'!B14)</f>
        <v>S2-P030</v>
      </c>
      <c r="C14" s="24" t="str">
        <f>IF(LEN('Enter Answers'!C14)=0,"",'Enter Answers'!C14)</f>
        <v>Resident</v>
      </c>
      <c r="D14" s="24" t="str">
        <f>IF(R14="Valid",'Enter Answers'!D14,"")</f>
        <v>好玩，好似無特別用處。滑來滑去，玩左幾次。有時間可以再玩，不過畫面就幼稚一些。</v>
      </c>
      <c r="E14" s="25">
        <f>IF(S14="Valid",'Enter Answers'!E14,"")</f>
        <v>4</v>
      </c>
      <c r="F14" s="25">
        <f>IF(T14="Valid",'Enter Answers'!F14,"")</f>
        <v>5</v>
      </c>
      <c r="G14" s="25">
        <f>IF(U14="Valid",'Enter Answers'!G14,"")</f>
        <v>2</v>
      </c>
      <c r="H14" s="25">
        <f>IF(V14="Valid",'Enter Answers'!H14,"")</f>
        <v>6</v>
      </c>
      <c r="I14" s="25">
        <f>IF(W14="Valid",'Enter Answers'!I14,"")</f>
        <v>6</v>
      </c>
      <c r="J14" s="26" t="str">
        <f>IF(X14="Valid",'Enter Answers'!J14,"")</f>
        <v>Yes</v>
      </c>
      <c r="K14" s="26" t="str">
        <f>IF(Y14="Valid",'Enter Answers'!K14,"")</f>
        <v>Willing</v>
      </c>
      <c r="L14" s="24" t="str">
        <f>IF(Z14="Valid",'Enter Answers'!L14,"")</f>
        <v>好有用。活動力提高。有遊戲好玩好多，</v>
      </c>
      <c r="M14" s="26">
        <f>9-COUNTBLANK('Enter Answers'!D14:L14)</f>
        <v>9</v>
      </c>
      <c r="N14" s="26">
        <f t="shared" si="0"/>
        <v>0</v>
      </c>
      <c r="O14" s="26">
        <f t="shared" si="1"/>
        <v>1</v>
      </c>
      <c r="P14" s="26" t="str">
        <f>IF(LEN('Enter Answers'!O14)=0,"",'Enter Answers'!O14)</f>
        <v>Not checked</v>
      </c>
      <c r="Q14" s="26"/>
      <c r="R14" s="26" t="str">
        <f>IF(LEN('Enter Answers'!D14)=0,IF(LEN('Enter Answers'!D30)=0,"Not entered",'Enter Answers'!D30),IF('Enter Answers'!O14="Differs","Different form",IF(LEN('Enter Answers'!D30)&gt;0,"Answer/status conflict",IF(TRUE,"Valid","Invalid value"))))</f>
        <v>Valid</v>
      </c>
      <c r="S14" s="26" t="str">
        <f>IF(LEN('Enter Answers'!E14)=0,IF(LEN('Enter Answers'!E30)=0,"Not entered",'Enter Answers'!E30),IF('Enter Answers'!O14="Differs","Different form",IF(LEN('Enter Answers'!E30)&gt;0,"Answer/status conflict",IF(IF(ISNUMBER('Enter Answers'!E14),AND('Enter Answers'!E14&gt;=1,'Enter Answers'!E14&lt;=5,MOD('Enter Answers'!E14,1)=0),FALSE),"Valid","Invalid value"))))</f>
        <v>Valid</v>
      </c>
      <c r="T14" s="26" t="str">
        <f>IF(LEN('Enter Answers'!F14)=0,IF(LEN('Enter Answers'!F30)=0,"Not entered",'Enter Answers'!F30),IF('Enter Answers'!O14="Differs","Different form",IF(LEN('Enter Answers'!F30)&gt;0,"Answer/status conflict",IF(IF(ISNUMBER('Enter Answers'!F14),AND('Enter Answers'!F14&gt;=1,'Enter Answers'!F14&lt;=5,MOD('Enter Answers'!F14,1)=0),FALSE),"Valid","Invalid value"))))</f>
        <v>Valid</v>
      </c>
      <c r="U14" s="26" t="str">
        <f>IF(LEN('Enter Answers'!G14)=0,IF(LEN('Enter Answers'!G30)=0,"Not entered",'Enter Answers'!G30),IF('Enter Answers'!O14="Differs","Different form",IF(LEN('Enter Answers'!G30)&gt;0,"Answer/status conflict",IF(IF(ISNUMBER('Enter Answers'!G14),AND('Enter Answers'!G14&gt;=1,'Enter Answers'!G14&lt;=5,MOD('Enter Answers'!G14,1)=0),FALSE),"Valid","Invalid value"))))</f>
        <v>Valid</v>
      </c>
      <c r="V14" s="26" t="str">
        <f>IF(LEN('Enter Answers'!H14)=0,IF(LEN('Enter Answers'!H30)=0,"Not entered",'Enter Answers'!H30),IF('Enter Answers'!O14="Differs","Different form",IF(LEN('Enter Answers'!H30)&gt;0,"Answer/status conflict",IF(IF(ISNUMBER('Enter Answers'!H14),AND('Enter Answers'!H14&gt;=0,'Enter Answers'!H14&lt;=10,MOD('Enter Answers'!H14,1)=0),FALSE),"Valid","Invalid value"))))</f>
        <v>Valid</v>
      </c>
      <c r="W14" s="26" t="str">
        <f>IF(LEN('Enter Answers'!I14)=0,IF(LEN('Enter Answers'!I30)=0,"Not entered",'Enter Answers'!I30),IF('Enter Answers'!O14="Differs","Different form",IF(LEN('Enter Answers'!I30)&gt;0,"Answer/status conflict",IF(IF(ISNUMBER('Enter Answers'!I14),AND('Enter Answers'!I14&gt;=0,'Enter Answers'!I14&lt;=10,MOD('Enter Answers'!I14,1)=0),FALSE),"Valid","Invalid value"))))</f>
        <v>Valid</v>
      </c>
      <c r="X14" s="26" t="str">
        <f>IF(LEN('Enter Answers'!J14)=0,IF(LEN('Enter Answers'!J30)=0,"Not entered",'Enter Answers'!J30),IF('Enter Answers'!O14="Differs","Different form",IF(LEN('Enter Answers'!J30)&gt;0,"Answer/status conflict",IF(OR('Enter Answers'!J14="Yes",'Enter Answers'!J14="Undecided",'Enter Answers'!J14="No"),"Valid","Invalid value"))))</f>
        <v>Valid</v>
      </c>
      <c r="Y14" s="26" t="str">
        <f>IF(LEN('Enter Answers'!K14)=0,IF(LEN('Enter Answers'!K30)=0,"Not entered",'Enter Answers'!K30),IF('Enter Answers'!O14="Differs","Different form",IF(LEN('Enter Answers'!K30)&gt;0,"Answer/status conflict",IF(OR('Enter Answers'!K14="Willing",'Enter Answers'!K14="Undecided",'Enter Answers'!K14="Unwilling"),"Valid","Invalid value"))))</f>
        <v>Valid</v>
      </c>
      <c r="Z14" s="26" t="str">
        <f>IF(LEN('Enter Answers'!L14)=0,IF(LEN('Enter Answers'!L30)=0,"Not entered",'Enter Answers'!L30),IF('Enter Answers'!O14="Differs","Different form",IF(LEN('Enter Answers'!L30)&gt;0,"Answer/status conflict",IF(TRUE,"Valid","Invalid value"))))</f>
        <v>Valid</v>
      </c>
    </row>
    <row r="15" spans="1:26" ht="44" customHeight="1">
      <c r="A15" s="24" t="str">
        <f>IF(LEN('Enter Answers'!A15)=0,"",'Enter Answers'!A15)</f>
        <v>S2-Q009</v>
      </c>
      <c r="B15" s="24" t="str">
        <f>IF(LEN('Enter Answers'!B15)=0,"",'Enter Answers'!B15)</f>
        <v>S2-P023</v>
      </c>
      <c r="C15" s="24" t="str">
        <f>IF(LEN('Enter Answers'!C15)=0,"",'Enter Answers'!C15)</f>
        <v>Resident</v>
      </c>
      <c r="D15" s="24" t="str">
        <f>IF(R15="Valid",'Enter Answers'!D15,"")</f>
        <v>好玩，有用。玩左好多次。有D挑戰。</v>
      </c>
      <c r="E15" s="25">
        <f>IF(S15="Valid",'Enter Answers'!E15,"")</f>
        <v>5</v>
      </c>
      <c r="F15" s="25">
        <f>IF(T15="Valid",'Enter Answers'!F15,"")</f>
        <v>5</v>
      </c>
      <c r="G15" s="25">
        <f>IF(U15="Valid",'Enter Answers'!G15,"")</f>
        <v>1</v>
      </c>
      <c r="H15" s="25">
        <f>IF(V15="Valid",'Enter Answers'!H15,"")</f>
        <v>7</v>
      </c>
      <c r="I15" s="25">
        <f>IF(W15="Valid",'Enter Answers'!I15,"")</f>
        <v>7</v>
      </c>
      <c r="J15" s="26" t="str">
        <f>IF(X15="Valid",'Enter Answers'!J15,"")</f>
        <v>Yes</v>
      </c>
      <c r="K15" s="26" t="str">
        <f>IF(Y15="Valid",'Enter Answers'!K15,"")</f>
        <v>Willing</v>
      </c>
      <c r="L15" s="24" t="str">
        <f>IF(Z15="Valid",'Enter Answers'!L15,"")</f>
        <v>感覺有D用，無以前咁痛。可以鍛鍊多D</v>
      </c>
      <c r="M15" s="26">
        <f>9-COUNTBLANK('Enter Answers'!D15:L15)</f>
        <v>9</v>
      </c>
      <c r="N15" s="26">
        <f t="shared" si="0"/>
        <v>0</v>
      </c>
      <c r="O15" s="26">
        <f t="shared" si="1"/>
        <v>1</v>
      </c>
      <c r="P15" s="26" t="str">
        <f>IF(LEN('Enter Answers'!O15)=0,"",'Enter Answers'!O15)</f>
        <v>Not checked</v>
      </c>
      <c r="Q15" s="26"/>
      <c r="R15" s="26" t="str">
        <f>IF(LEN('Enter Answers'!D15)=0,IF(LEN('Enter Answers'!D31)=0,"Not entered",'Enter Answers'!D31),IF('Enter Answers'!O15="Differs","Different form",IF(LEN('Enter Answers'!D31)&gt;0,"Answer/status conflict",IF(TRUE,"Valid","Invalid value"))))</f>
        <v>Valid</v>
      </c>
      <c r="S15" s="26" t="str">
        <f>IF(LEN('Enter Answers'!E15)=0,IF(LEN('Enter Answers'!E31)=0,"Not entered",'Enter Answers'!E31),IF('Enter Answers'!O15="Differs","Different form",IF(LEN('Enter Answers'!E31)&gt;0,"Answer/status conflict",IF(IF(ISNUMBER('Enter Answers'!E15),AND('Enter Answers'!E15&gt;=1,'Enter Answers'!E15&lt;=5,MOD('Enter Answers'!E15,1)=0),FALSE),"Valid","Invalid value"))))</f>
        <v>Valid</v>
      </c>
      <c r="T15" s="26" t="str">
        <f>IF(LEN('Enter Answers'!F15)=0,IF(LEN('Enter Answers'!F31)=0,"Not entered",'Enter Answers'!F31),IF('Enter Answers'!O15="Differs","Different form",IF(LEN('Enter Answers'!F31)&gt;0,"Answer/status conflict",IF(IF(ISNUMBER('Enter Answers'!F15),AND('Enter Answers'!F15&gt;=1,'Enter Answers'!F15&lt;=5,MOD('Enter Answers'!F15,1)=0),FALSE),"Valid","Invalid value"))))</f>
        <v>Valid</v>
      </c>
      <c r="U15" s="26" t="str">
        <f>IF(LEN('Enter Answers'!G15)=0,IF(LEN('Enter Answers'!G31)=0,"Not entered",'Enter Answers'!G31),IF('Enter Answers'!O15="Differs","Different form",IF(LEN('Enter Answers'!G31)&gt;0,"Answer/status conflict",IF(IF(ISNUMBER('Enter Answers'!G15),AND('Enter Answers'!G15&gt;=1,'Enter Answers'!G15&lt;=5,MOD('Enter Answers'!G15,1)=0),FALSE),"Valid","Invalid value"))))</f>
        <v>Valid</v>
      </c>
      <c r="V15" s="26" t="str">
        <f>IF(LEN('Enter Answers'!H15)=0,IF(LEN('Enter Answers'!H31)=0,"Not entered",'Enter Answers'!H31),IF('Enter Answers'!O15="Differs","Different form",IF(LEN('Enter Answers'!H31)&gt;0,"Answer/status conflict",IF(IF(ISNUMBER('Enter Answers'!H15),AND('Enter Answers'!H15&gt;=0,'Enter Answers'!H15&lt;=10,MOD('Enter Answers'!H15,1)=0),FALSE),"Valid","Invalid value"))))</f>
        <v>Valid</v>
      </c>
      <c r="W15" s="26" t="str">
        <f>IF(LEN('Enter Answers'!I15)=0,IF(LEN('Enter Answers'!I31)=0,"Not entered",'Enter Answers'!I31),IF('Enter Answers'!O15="Differs","Different form",IF(LEN('Enter Answers'!I31)&gt;0,"Answer/status conflict",IF(IF(ISNUMBER('Enter Answers'!I15),AND('Enter Answers'!I15&gt;=0,'Enter Answers'!I15&lt;=10,MOD('Enter Answers'!I15,1)=0),FALSE),"Valid","Invalid value"))))</f>
        <v>Valid</v>
      </c>
      <c r="X15" s="26" t="str">
        <f>IF(LEN('Enter Answers'!J15)=0,IF(LEN('Enter Answers'!J31)=0,"Not entered",'Enter Answers'!J31),IF('Enter Answers'!O15="Differs","Different form",IF(LEN('Enter Answers'!J31)&gt;0,"Answer/status conflict",IF(OR('Enter Answers'!J15="Yes",'Enter Answers'!J15="Undecided",'Enter Answers'!J15="No"),"Valid","Invalid value"))))</f>
        <v>Valid</v>
      </c>
      <c r="Y15" s="26" t="str">
        <f>IF(LEN('Enter Answers'!K15)=0,IF(LEN('Enter Answers'!K31)=0,"Not entered",'Enter Answers'!K31),IF('Enter Answers'!O15="Differs","Different form",IF(LEN('Enter Answers'!K31)&gt;0,"Answer/status conflict",IF(OR('Enter Answers'!K15="Willing",'Enter Answers'!K15="Undecided",'Enter Answers'!K15="Unwilling"),"Valid","Invalid value"))))</f>
        <v>Valid</v>
      </c>
      <c r="Z15" s="26" t="str">
        <f>IF(LEN('Enter Answers'!L15)=0,IF(LEN('Enter Answers'!L31)=0,"Not entered",'Enter Answers'!L31),IF('Enter Answers'!O15="Differs","Different form",IF(LEN('Enter Answers'!L31)&gt;0,"Answer/status conflict",IF(TRUE,"Valid","Invalid value"))))</f>
        <v>Valid</v>
      </c>
    </row>
    <row r="16" spans="1:26" ht="24" customHeight="1">
      <c r="A16" s="19"/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19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19"/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19"/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4" customHeight="1">
      <c r="A19" s="19"/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19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4" customHeight="1">
      <c r="A20" s="19"/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</sheetData>
  <conditionalFormatting sqref="R7:Z15">
    <cfRule type="containsText" dxfId="1" priority="1" operator="containsText" text="Invalid"/>
  </conditionalFormatting>
  <pageMargins left="0.7" right="0.7" top="0.75" bottom="0.75" header="0.3" footer="0.3"/>
  <pageSetup paperSize="9" scale="31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18" customWidth="1"/>
    <col min="3" max="3" width="22" customWidth="1"/>
    <col min="4" max="4" width="16" customWidth="1"/>
    <col min="5" max="5" width="18" customWidth="1"/>
  </cols>
  <sheetData>
    <row r="1" spans="1:5" ht="24" customHeight="1">
      <c r="A1" s="1"/>
      <c r="B1" s="1"/>
      <c r="C1" s="1"/>
      <c r="D1" s="1"/>
      <c r="E1" s="1"/>
    </row>
    <row r="2" spans="1:5" ht="32" customHeight="1">
      <c r="A2" s="2" t="s">
        <v>224</v>
      </c>
      <c r="B2" s="1"/>
      <c r="C2" s="1"/>
      <c r="D2" s="1"/>
      <c r="E2" s="1"/>
    </row>
    <row r="3" spans="1:5" ht="24" customHeight="1">
      <c r="A3" s="1" t="s">
        <v>225</v>
      </c>
      <c r="B3" s="1"/>
      <c r="C3" s="1"/>
      <c r="D3" s="1"/>
      <c r="E3" s="1"/>
    </row>
    <row r="4" spans="1:5" ht="24" customHeight="1">
      <c r="A4" s="1"/>
      <c r="B4" s="1"/>
      <c r="C4" s="1"/>
      <c r="D4" s="1"/>
      <c r="E4" s="1"/>
    </row>
    <row r="5" spans="1:5" ht="24" customHeight="1">
      <c r="A5" s="1"/>
      <c r="B5" s="1"/>
      <c r="C5" s="1"/>
      <c r="D5" s="1"/>
      <c r="E5" s="1"/>
    </row>
    <row r="6" spans="1:5" ht="48" customHeight="1">
      <c r="A6" s="3" t="s">
        <v>4</v>
      </c>
      <c r="B6" s="3" t="s">
        <v>5</v>
      </c>
      <c r="C6" s="3" t="s">
        <v>226</v>
      </c>
      <c r="D6" s="3" t="s">
        <v>227</v>
      </c>
      <c r="E6" s="3" t="s">
        <v>228</v>
      </c>
    </row>
    <row r="7" spans="1:5" ht="24" customHeight="1">
      <c r="A7" s="1" t="s">
        <v>229</v>
      </c>
      <c r="B7" s="1" t="s">
        <v>52</v>
      </c>
      <c r="C7" s="16">
        <v>3</v>
      </c>
      <c r="D7" s="16" t="s">
        <v>230</v>
      </c>
      <c r="E7" s="16">
        <v>63</v>
      </c>
    </row>
    <row r="8" spans="1:5" ht="24" customHeight="1">
      <c r="A8" s="1" t="s">
        <v>231</v>
      </c>
      <c r="B8" s="1" t="s">
        <v>55</v>
      </c>
      <c r="C8" s="16">
        <v>4</v>
      </c>
      <c r="D8" s="16" t="s">
        <v>230</v>
      </c>
      <c r="E8" s="16">
        <v>36</v>
      </c>
    </row>
    <row r="9" spans="1:5" ht="24" customHeight="1">
      <c r="A9" s="1" t="s">
        <v>232</v>
      </c>
      <c r="B9" s="1" t="s">
        <v>52</v>
      </c>
      <c r="C9" s="16">
        <v>5</v>
      </c>
      <c r="D9" s="16" t="s">
        <v>230</v>
      </c>
      <c r="E9" s="16">
        <v>62</v>
      </c>
    </row>
    <row r="10" spans="1:5" ht="24" customHeight="1">
      <c r="A10" s="1" t="s">
        <v>233</v>
      </c>
      <c r="B10" s="1" t="s">
        <v>52</v>
      </c>
      <c r="C10" s="16">
        <v>6</v>
      </c>
      <c r="D10" s="16" t="s">
        <v>230</v>
      </c>
      <c r="E10" s="16">
        <v>66</v>
      </c>
    </row>
    <row r="11" spans="1:5" ht="24" customHeight="1">
      <c r="A11" s="1" t="s">
        <v>234</v>
      </c>
      <c r="B11" s="1" t="s">
        <v>52</v>
      </c>
      <c r="C11" s="16">
        <v>7</v>
      </c>
      <c r="D11" s="16" t="s">
        <v>230</v>
      </c>
      <c r="E11" s="16">
        <v>65</v>
      </c>
    </row>
    <row r="12" spans="1:5" ht="24" customHeight="1">
      <c r="A12" s="1" t="s">
        <v>235</v>
      </c>
      <c r="B12" s="1" t="s">
        <v>52</v>
      </c>
      <c r="C12" s="16">
        <v>8</v>
      </c>
      <c r="D12" s="16" t="s">
        <v>230</v>
      </c>
      <c r="E12" s="16">
        <v>64</v>
      </c>
    </row>
    <row r="13" spans="1:5" ht="24" customHeight="1">
      <c r="A13" s="1" t="s">
        <v>236</v>
      </c>
      <c r="B13" s="1" t="s">
        <v>52</v>
      </c>
      <c r="C13" s="16">
        <v>9</v>
      </c>
      <c r="D13" s="16" t="s">
        <v>230</v>
      </c>
      <c r="E13" s="16">
        <v>70</v>
      </c>
    </row>
    <row r="14" spans="1:5" ht="24" customHeight="1">
      <c r="A14" s="1" t="s">
        <v>237</v>
      </c>
      <c r="B14" s="1" t="s">
        <v>52</v>
      </c>
      <c r="C14" s="16">
        <v>10</v>
      </c>
      <c r="D14" s="16" t="s">
        <v>230</v>
      </c>
      <c r="E14" s="16">
        <v>72</v>
      </c>
    </row>
    <row r="15" spans="1:5" ht="24" customHeight="1">
      <c r="A15" s="1" t="s">
        <v>238</v>
      </c>
      <c r="B15" s="1" t="s">
        <v>52</v>
      </c>
      <c r="C15" s="16">
        <v>11</v>
      </c>
      <c r="D15" s="16" t="s">
        <v>230</v>
      </c>
      <c r="E15" s="16">
        <v>76</v>
      </c>
    </row>
    <row r="16" spans="1:5" ht="24" customHeight="1">
      <c r="A16" s="1" t="s">
        <v>239</v>
      </c>
      <c r="B16" s="1" t="s">
        <v>52</v>
      </c>
      <c r="C16" s="16">
        <v>12</v>
      </c>
      <c r="D16" s="16" t="s">
        <v>230</v>
      </c>
      <c r="E16" s="16">
        <v>74</v>
      </c>
    </row>
    <row r="17" spans="1:5" ht="24" customHeight="1">
      <c r="A17" s="1" t="s">
        <v>240</v>
      </c>
      <c r="B17" s="1" t="s">
        <v>52</v>
      </c>
      <c r="C17" s="16">
        <v>13</v>
      </c>
      <c r="D17" s="16" t="s">
        <v>230</v>
      </c>
      <c r="E17" s="16">
        <v>69</v>
      </c>
    </row>
    <row r="18" spans="1:5" ht="24" customHeight="1">
      <c r="A18" s="1" t="s">
        <v>241</v>
      </c>
      <c r="B18" s="1" t="s">
        <v>52</v>
      </c>
      <c r="C18" s="16">
        <v>14</v>
      </c>
      <c r="D18" s="16" t="s">
        <v>230</v>
      </c>
      <c r="E18" s="16">
        <v>71</v>
      </c>
    </row>
    <row r="19" spans="1:5" ht="24" customHeight="1">
      <c r="A19" s="1" t="s">
        <v>242</v>
      </c>
      <c r="B19" s="1" t="s">
        <v>52</v>
      </c>
      <c r="C19" s="16">
        <v>15</v>
      </c>
      <c r="D19" s="16" t="s">
        <v>230</v>
      </c>
      <c r="E19" s="16">
        <v>73</v>
      </c>
    </row>
    <row r="20" spans="1:5" ht="24" customHeight="1">
      <c r="A20" s="1" t="s">
        <v>243</v>
      </c>
      <c r="B20" s="1" t="s">
        <v>52</v>
      </c>
      <c r="C20" s="16">
        <v>16</v>
      </c>
      <c r="D20" s="16" t="s">
        <v>230</v>
      </c>
      <c r="E20" s="16">
        <v>79</v>
      </c>
    </row>
    <row r="21" spans="1:5" ht="24" customHeight="1">
      <c r="A21" s="1" t="s">
        <v>244</v>
      </c>
      <c r="B21" s="1" t="s">
        <v>55</v>
      </c>
      <c r="C21" s="16">
        <v>17</v>
      </c>
      <c r="D21" s="16" t="s">
        <v>245</v>
      </c>
      <c r="E21" s="16">
        <v>53</v>
      </c>
    </row>
    <row r="22" spans="1:5" ht="24" customHeight="1">
      <c r="A22" s="1" t="s">
        <v>246</v>
      </c>
      <c r="B22" s="1" t="s">
        <v>52</v>
      </c>
      <c r="C22" s="16">
        <v>18</v>
      </c>
      <c r="D22" s="16" t="s">
        <v>245</v>
      </c>
      <c r="E22" s="16">
        <v>67</v>
      </c>
    </row>
    <row r="23" spans="1:5" ht="24" customHeight="1">
      <c r="A23" s="1" t="s">
        <v>247</v>
      </c>
      <c r="B23" s="1" t="s">
        <v>52</v>
      </c>
      <c r="C23" s="16">
        <v>19</v>
      </c>
      <c r="D23" s="16" t="s">
        <v>245</v>
      </c>
      <c r="E23" s="16">
        <v>72</v>
      </c>
    </row>
    <row r="24" spans="1:5" ht="24" customHeight="1">
      <c r="A24" s="1" t="s">
        <v>248</v>
      </c>
      <c r="B24" s="1" t="s">
        <v>52</v>
      </c>
      <c r="C24" s="16">
        <v>20</v>
      </c>
      <c r="D24" s="16" t="s">
        <v>245</v>
      </c>
      <c r="E24" s="16">
        <v>66</v>
      </c>
    </row>
    <row r="25" spans="1:5" ht="24" customHeight="1">
      <c r="A25" s="1" t="s">
        <v>249</v>
      </c>
      <c r="B25" s="1" t="s">
        <v>52</v>
      </c>
      <c r="C25" s="16">
        <v>21</v>
      </c>
      <c r="D25" s="16" t="s">
        <v>245</v>
      </c>
      <c r="E25" s="16">
        <v>73</v>
      </c>
    </row>
    <row r="26" spans="1:5" ht="24" customHeight="1">
      <c r="A26" s="1" t="s">
        <v>250</v>
      </c>
      <c r="B26" s="1" t="s">
        <v>52</v>
      </c>
      <c r="C26" s="16">
        <v>22</v>
      </c>
      <c r="D26" s="16" t="s">
        <v>245</v>
      </c>
      <c r="E26" s="16">
        <v>64</v>
      </c>
    </row>
    <row r="27" spans="1:5" ht="24" customHeight="1">
      <c r="A27" s="1" t="s">
        <v>251</v>
      </c>
      <c r="B27" s="1" t="s">
        <v>52</v>
      </c>
      <c r="C27" s="16">
        <v>23</v>
      </c>
      <c r="D27" s="16" t="s">
        <v>245</v>
      </c>
      <c r="E27" s="16">
        <v>78</v>
      </c>
    </row>
    <row r="28" spans="1:5" ht="24" customHeight="1">
      <c r="A28" s="1" t="s">
        <v>252</v>
      </c>
      <c r="B28" s="1" t="s">
        <v>52</v>
      </c>
      <c r="C28" s="16">
        <v>24</v>
      </c>
      <c r="D28" s="16" t="s">
        <v>245</v>
      </c>
      <c r="E28" s="16">
        <v>78</v>
      </c>
    </row>
    <row r="29" spans="1:5" ht="24" customHeight="1">
      <c r="A29" s="1" t="s">
        <v>253</v>
      </c>
      <c r="B29" s="1" t="s">
        <v>52</v>
      </c>
      <c r="C29" s="16">
        <v>25</v>
      </c>
      <c r="D29" s="16" t="s">
        <v>245</v>
      </c>
      <c r="E29" s="16">
        <v>62</v>
      </c>
    </row>
    <row r="30" spans="1:5" ht="24" customHeight="1">
      <c r="A30" s="1" t="s">
        <v>254</v>
      </c>
      <c r="B30" s="1" t="s">
        <v>52</v>
      </c>
      <c r="C30" s="16">
        <v>26</v>
      </c>
      <c r="D30" s="16" t="s">
        <v>245</v>
      </c>
      <c r="E30" s="16">
        <v>66</v>
      </c>
    </row>
    <row r="31" spans="1:5" ht="24" customHeight="1">
      <c r="A31" s="1" t="s">
        <v>255</v>
      </c>
      <c r="B31" s="1" t="s">
        <v>52</v>
      </c>
      <c r="C31" s="16">
        <v>27</v>
      </c>
      <c r="D31" s="16" t="s">
        <v>245</v>
      </c>
      <c r="E31" s="16">
        <v>68</v>
      </c>
    </row>
    <row r="32" spans="1:5" ht="24" customHeight="1">
      <c r="A32" s="1" t="s">
        <v>256</v>
      </c>
      <c r="B32" s="1" t="s">
        <v>52</v>
      </c>
      <c r="C32" s="16">
        <v>28</v>
      </c>
      <c r="D32" s="16" t="s">
        <v>245</v>
      </c>
      <c r="E32" s="16">
        <v>70</v>
      </c>
    </row>
    <row r="33" spans="1:5" ht="24" customHeight="1">
      <c r="A33" s="1" t="s">
        <v>257</v>
      </c>
      <c r="B33" s="1" t="s">
        <v>52</v>
      </c>
      <c r="C33" s="16">
        <v>29</v>
      </c>
      <c r="D33" s="16" t="s">
        <v>245</v>
      </c>
      <c r="E33" s="16">
        <v>71</v>
      </c>
    </row>
    <row r="34" spans="1:5" ht="24" customHeight="1">
      <c r="A34" s="1" t="s">
        <v>258</v>
      </c>
      <c r="B34" s="1" t="s">
        <v>52</v>
      </c>
      <c r="C34" s="16">
        <v>30</v>
      </c>
      <c r="D34" s="16" t="s">
        <v>245</v>
      </c>
      <c r="E34" s="16">
        <v>75</v>
      </c>
    </row>
    <row r="35" spans="1:5" ht="24" customHeight="1">
      <c r="A35" s="1" t="s">
        <v>259</v>
      </c>
      <c r="B35" s="1" t="s">
        <v>52</v>
      </c>
      <c r="C35" s="16">
        <v>31</v>
      </c>
      <c r="D35" s="16" t="s">
        <v>245</v>
      </c>
      <c r="E35" s="16">
        <v>77</v>
      </c>
    </row>
    <row r="36" spans="1:5" ht="24" customHeight="1">
      <c r="A36" s="1" t="s">
        <v>260</v>
      </c>
      <c r="B36" s="1" t="s">
        <v>52</v>
      </c>
      <c r="C36" s="16">
        <v>32</v>
      </c>
      <c r="D36" s="16" t="s">
        <v>245</v>
      </c>
      <c r="E36" s="16">
        <v>78</v>
      </c>
    </row>
    <row r="37" spans="1:5" ht="24" customHeight="1">
      <c r="A37" s="1" t="s">
        <v>261</v>
      </c>
      <c r="B37" s="1" t="s">
        <v>52</v>
      </c>
      <c r="C37" s="16">
        <v>33</v>
      </c>
      <c r="D37" s="16" t="s">
        <v>245</v>
      </c>
      <c r="E37" s="16">
        <v>80</v>
      </c>
    </row>
    <row r="38" spans="1:5" ht="24" customHeight="1">
      <c r="A38" s="1" t="s">
        <v>262</v>
      </c>
      <c r="B38" s="1" t="s">
        <v>52</v>
      </c>
      <c r="C38" s="16">
        <v>34</v>
      </c>
      <c r="D38" s="16" t="s">
        <v>245</v>
      </c>
      <c r="E38" s="16">
        <v>84</v>
      </c>
    </row>
    <row r="39" spans="1:5" ht="24" customHeight="1">
      <c r="A39" s="1"/>
      <c r="B39" s="1"/>
      <c r="C39" s="1"/>
      <c r="D39" s="1"/>
      <c r="E39" s="1"/>
    </row>
    <row r="40" spans="1:5" ht="24" customHeight="1">
      <c r="A40" s="1"/>
      <c r="B40" s="1"/>
      <c r="C40" s="1"/>
      <c r="D40" s="1"/>
      <c r="E40" s="1"/>
    </row>
    <row r="41" spans="1:5" ht="24" customHeight="1">
      <c r="A41" s="1" t="s">
        <v>263</v>
      </c>
      <c r="B41" s="1"/>
      <c r="C41" s="1"/>
      <c r="D41" s="1"/>
      <c r="E41" s="1"/>
    </row>
    <row r="42" spans="1:5" ht="24" customHeight="1">
      <c r="A42" s="1"/>
      <c r="B42" s="1"/>
      <c r="C42" s="1"/>
      <c r="D42" s="1"/>
      <c r="E42" s="1"/>
    </row>
    <row r="43" spans="1:5" ht="24" customHeight="1">
      <c r="A43" s="1"/>
      <c r="B43" s="1"/>
      <c r="C43" s="1"/>
      <c r="D43" s="1"/>
      <c r="E43" s="1"/>
    </row>
  </sheetData>
  <conditionalFormatting sqref="A7:E38">
    <cfRule type="expression" dxfId="0" priority="1">
      <formula>$B7="Control"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Enter Answers</vt:lpstr>
      <vt:lpstr>Results</vt:lpstr>
      <vt:lpstr>Question Guide</vt:lpstr>
      <vt:lpstr>Analysis Data</vt:lpstr>
      <vt:lpstr>Stage 2 ID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TAM, Sidney [Student]</cp:lastModifiedBy>
  <cp:lastPrinted>2026-09-11T09:40:06Z</cp:lastPrinted>
  <dcterms:modified xsi:type="dcterms:W3CDTF">2026-09-11T09:40:11Z</dcterms:modified>
</cp:coreProperties>
</file>