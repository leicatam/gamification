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Check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Stage 3A player record — one row per player (IDs 3001–3120). Fill from the returns players or distributors actually sent (CSV files or e-mail text). Do not fill from memory.</t>
        </is>
      </c>
    </row>
    <row r="2">
      <c r="A2" s="1" t="inlineStr">
        <is>
          <t>If a value is not in the return, leave it blank. Do not guess.</t>
        </is>
      </c>
    </row>
    <row r="3">
      <c r="A3" s="1" t="inlineStr">
        <is>
          <t>Dropped out = the player stopped after a failure or game over (the author's failure-then-stop rule).</t>
        </is>
      </c>
    </row>
    <row r="4">
      <c r="A4" s="1" t="inlineStr">
        <is>
          <t>Returned = a player who dropped out and later played again. Only answer this if 'Dropped out' is Yes.</t>
        </is>
      </c>
    </row>
    <row r="5">
      <c r="A5" s="1" t="inlineStr">
        <is>
          <t>D1 and D2 = the two questionnaire answers, 1 (strongly disagree) to 5 (strongly agree).</t>
        </is>
      </c>
    </row>
    <row r="6">
      <c r="A6" s="1" t="inlineStr">
        <is>
          <t>Source = where the row came from, e.g. 'CSV session_3001_s1', 'e-mail text from distributor Daisy, 12 Mar 2026'.</t>
        </is>
      </c>
    </row>
    <row r="7">
      <c r="A7" s="1" t="inlineStr">
        <is>
          <t>Fill 'Entered by' and 'Date entered' on every row.</t>
        </is>
      </c>
    </row>
    <row r="8">
      <c r="A8" s="1" t="inlineStr">
        <is>
          <t>When finished, the totals should come to: 120 players; 38 / 41 / 41 by age band; 23 dropped out; 15 returned; 86 with D1 of 4–5; 76 with D2 of 4–5. If they do not, do not change rows to make them fit — report the difference.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14" customWidth="1" min="4" max="4"/>
    <col width="12" customWidth="1" min="5" max="5"/>
    <col width="16" customWidth="1" min="6" max="6"/>
    <col width="16" customWidth="1" min="7" max="7"/>
    <col width="11" customWidth="1" min="8" max="8"/>
    <col width="11" customWidth="1" min="9" max="9"/>
    <col width="13" customWidth="1" min="10" max="10"/>
    <col width="13" customWidth="1" min="11" max="11"/>
    <col width="16" customWidth="1" min="12" max="12"/>
    <col width="40" customWidth="1" min="13" max="13"/>
    <col width="14" customWidth="1" min="14" max="14"/>
    <col width="13" customWidth="1" min="15" max="15"/>
    <col width="30" customWidth="1" min="16" max="16"/>
  </cols>
  <sheetData>
    <row r="1" ht="48" customHeight="1">
      <c r="A1" s="2" t="inlineStr">
        <is>
          <t>Player ID</t>
        </is>
      </c>
      <c r="B1" s="2" t="inlineStr">
        <is>
          <t>Age band</t>
        </is>
      </c>
      <c r="C1" s="2" t="inlineStr">
        <is>
          <t>Sex</t>
        </is>
      </c>
      <c r="D1" s="2" t="inlineStr">
        <is>
          <t>Education</t>
        </is>
      </c>
      <c r="E1" s="2" t="inlineStr">
        <is>
          <t>Number of sessions played</t>
        </is>
      </c>
      <c r="F1" s="2" t="inlineStr">
        <is>
          <t>Dropped out (after failure or game over)</t>
        </is>
      </c>
      <c r="G1" s="2" t="inlineStr">
        <is>
          <t>Returned (played again after dropping out)</t>
        </is>
      </c>
      <c r="H1" s="2" t="inlineStr">
        <is>
          <t>D1 coordination (1-5)</t>
        </is>
      </c>
      <c r="I1" s="2" t="inlineStr">
        <is>
          <t>D2 regular use (1-5)</t>
        </is>
      </c>
      <c r="J1" s="2" t="inlineStr">
        <is>
          <t>Date of first play</t>
        </is>
      </c>
      <c r="K1" s="2" t="inlineStr">
        <is>
          <t>Date of last play</t>
        </is>
      </c>
      <c r="L1" s="2" t="inlineStr">
        <is>
          <t>Game version (if known)</t>
        </is>
      </c>
      <c r="M1" s="2" t="inlineStr">
        <is>
          <t>Source of this row</t>
        </is>
      </c>
      <c r="N1" s="2" t="inlineStr">
        <is>
          <t>Entered by</t>
        </is>
      </c>
      <c r="O1" s="2" t="inlineStr">
        <is>
          <t>Date entered</t>
        </is>
      </c>
      <c r="P1" s="2" t="inlineStr">
        <is>
          <t>Notes</t>
        </is>
      </c>
    </row>
    <row r="2">
      <c r="A2" s="3" t="n">
        <v>3001</v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3" t="n">
        <v>3002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3" t="n">
        <v>3003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3" t="n">
        <v>3004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>
      <c r="A6" s="3" t="n">
        <v>3005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3" t="n">
        <v>3006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3" t="n">
        <v>3007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</row>
    <row r="9">
      <c r="A9" s="3" t="n">
        <v>3008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3" t="n">
        <v>3009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n">
        <v>3010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3" t="n">
        <v>3011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3" t="n">
        <v>3012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3" t="n">
        <v>3013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3" t="n">
        <v>3014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3" t="n">
        <v>3015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n">
        <v>3016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n">
        <v>3017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n">
        <v>3018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n">
        <v>3019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n">
        <v>3020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n">
        <v>3021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3" t="n">
        <v>3022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3" t="n">
        <v>3023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n">
        <v>3024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n">
        <v>3025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3" t="n">
        <v>3026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3" t="n">
        <v>3027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3" t="n">
        <v>3028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3" t="n">
        <v>3029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3" t="n">
        <v>3030</v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3" t="n">
        <v>3031</v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3" t="n">
        <v>3032</v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3" t="n">
        <v>3033</v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3" t="n">
        <v>3034</v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3" t="n">
        <v>3035</v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3" t="n">
        <v>3036</v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3" t="n">
        <v>3037</v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3" t="n">
        <v>3038</v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3" t="n">
        <v>3039</v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3" t="n">
        <v>3040</v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3" t="n">
        <v>3041</v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3" t="n">
        <v>3042</v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3" t="n">
        <v>3043</v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3" t="n">
        <v>3044</v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3" t="n">
        <v>3045</v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3" t="n">
        <v>3046</v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3" t="n">
        <v>3047</v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3" t="n">
        <v>3048</v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3" t="n">
        <v>3049</v>
      </c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3" t="n">
        <v>3050</v>
      </c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3" t="n">
        <v>3051</v>
      </c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3" t="n">
        <v>3052</v>
      </c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3" t="n">
        <v>3053</v>
      </c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3" t="n">
        <v>3054</v>
      </c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3" t="n">
        <v>3055</v>
      </c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3" t="n">
        <v>3056</v>
      </c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3" t="n">
        <v>3057</v>
      </c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3" t="n">
        <v>3058</v>
      </c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3" t="n">
        <v>3059</v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3" t="n">
        <v>3060</v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3" t="n">
        <v>3061</v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3" t="n">
        <v>3062</v>
      </c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3" t="n">
        <v>3063</v>
      </c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3" t="n">
        <v>3064</v>
      </c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n">
        <v>3065</v>
      </c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3" t="n">
        <v>3066</v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3" t="n">
        <v>3067</v>
      </c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3" t="n">
        <v>3068</v>
      </c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3" t="n">
        <v>3069</v>
      </c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3" t="n">
        <v>3070</v>
      </c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3" t="n">
        <v>3071</v>
      </c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3" t="n">
        <v>3072</v>
      </c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3" t="n">
        <v>3073</v>
      </c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3" t="n">
        <v>3074</v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3" t="n">
        <v>3075</v>
      </c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3" t="n">
        <v>3076</v>
      </c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3" t="n">
        <v>3077</v>
      </c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3" t="n">
        <v>3078</v>
      </c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3" t="n">
        <v>3079</v>
      </c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3" t="n">
        <v>3080</v>
      </c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3" t="n">
        <v>3081</v>
      </c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3" t="n">
        <v>3082</v>
      </c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3" t="n">
        <v>3083</v>
      </c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3" t="n">
        <v>3084</v>
      </c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3" t="n">
        <v>3085</v>
      </c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3" t="n">
        <v>3086</v>
      </c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3" t="n">
        <v>3087</v>
      </c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3" t="n">
        <v>3088</v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3" t="n">
        <v>3089</v>
      </c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3" t="n">
        <v>3090</v>
      </c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3" t="n">
        <v>3091</v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3" t="n">
        <v>3092</v>
      </c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3" t="n">
        <v>3093</v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3" t="n">
        <v>3094</v>
      </c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3" t="n">
        <v>3095</v>
      </c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3" t="n">
        <v>3096</v>
      </c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3" t="n">
        <v>3097</v>
      </c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3" t="n">
        <v>3098</v>
      </c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3" t="n">
        <v>3099</v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3" t="n">
        <v>3100</v>
      </c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3" t="n">
        <v>3101</v>
      </c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3" t="n">
        <v>3102</v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3" t="n">
        <v>3103</v>
      </c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3" t="n">
        <v>3104</v>
      </c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3" t="n">
        <v>3105</v>
      </c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3" t="n">
        <v>3106</v>
      </c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3" t="n">
        <v>3107</v>
      </c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3" t="n">
        <v>3108</v>
      </c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3" t="n">
        <v>3109</v>
      </c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3" t="n">
        <v>3110</v>
      </c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3" t="n">
        <v>3111</v>
      </c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3" t="n">
        <v>3112</v>
      </c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3" t="n">
        <v>3113</v>
      </c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3" t="n">
        <v>3114</v>
      </c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3" t="n">
        <v>3115</v>
      </c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</row>
    <row r="117">
      <c r="A117" s="3" t="n">
        <v>3116</v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3" t="n">
        <v>3117</v>
      </c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3" t="n">
        <v>3118</v>
      </c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3" t="n">
        <v>3119</v>
      </c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3" t="n">
        <v>3120</v>
      </c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</row>
  </sheetData>
  <dataValidations count="5">
    <dataValidation sqref="B2:B121" showDropDown="0" showInputMessage="0" showErrorMessage="0" allowBlank="1" type="list">
      <formula1>"25-44,45-64,65-80"</formula1>
    </dataValidation>
    <dataValidation sqref="C2:C121" showDropDown="0" showInputMessage="0" showErrorMessage="0" allowBlank="1" type="list">
      <formula1>"M,F"</formula1>
    </dataValidation>
    <dataValidation sqref="F2:F121" showDropDown="0" showInputMessage="0" showErrorMessage="0" allowBlank="1" type="list">
      <formula1>"Yes,No"</formula1>
    </dataValidation>
    <dataValidation sqref="G2:G121" showDropDown="0" showInputMessage="0" showErrorMessage="0" allowBlank="1" type="list">
      <formula1>"Yes,No"</formula1>
    </dataValidation>
    <dataValidation sqref="H2:I12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</cols>
  <sheetData>
    <row r="1">
      <c r="A1" s="4" t="inlineStr">
        <is>
          <t>Check</t>
        </is>
      </c>
      <c r="B1" s="4" t="inlineStr">
        <is>
          <t>Target</t>
        </is>
      </c>
      <c r="C1" s="4" t="inlineStr">
        <is>
          <t>This sheet</t>
        </is>
      </c>
    </row>
    <row r="2">
      <c r="A2" t="inlineStr">
        <is>
          <t>Players with any data</t>
        </is>
      </c>
      <c r="B2" t="n">
        <v>120</v>
      </c>
      <c r="C2">
        <f>COUNTA(Players!B2:B121)</f>
        <v/>
      </c>
    </row>
    <row r="3">
      <c r="A3" t="inlineStr">
        <is>
          <t>Age 25-44</t>
        </is>
      </c>
      <c r="B3" t="n">
        <v>38</v>
      </c>
      <c r="C3">
        <f>COUNTIF(Players!B2:B121,"25-44")</f>
        <v/>
      </c>
    </row>
    <row r="4">
      <c r="A4" t="inlineStr">
        <is>
          <t>Age 45-64</t>
        </is>
      </c>
      <c r="B4" t="n">
        <v>41</v>
      </c>
      <c r="C4">
        <f>COUNTIF(Players!B2:B121,"45-64")</f>
        <v/>
      </c>
    </row>
    <row r="5">
      <c r="A5" t="inlineStr">
        <is>
          <t>Age 65-80</t>
        </is>
      </c>
      <c r="B5" t="n">
        <v>41</v>
      </c>
      <c r="C5">
        <f>COUNTIF(Players!B2:B121,"65-80")</f>
        <v/>
      </c>
    </row>
    <row r="6">
      <c r="A6" t="inlineStr">
        <is>
          <t>Women</t>
        </is>
      </c>
      <c r="B6" t="n">
        <v>72</v>
      </c>
      <c r="C6">
        <f>COUNTIF(Players!C2:C121,"F")</f>
        <v/>
      </c>
    </row>
    <row r="7">
      <c r="A7" t="inlineStr">
        <is>
          <t>Men</t>
        </is>
      </c>
      <c r="B7" t="n">
        <v>48</v>
      </c>
      <c r="C7">
        <f>COUNTIF(Players!C2:C121,"M")</f>
        <v/>
      </c>
    </row>
    <row r="8">
      <c r="A8" t="inlineStr">
        <is>
          <t>Dropped out</t>
        </is>
      </c>
      <c r="B8" t="n">
        <v>23</v>
      </c>
      <c r="C8">
        <f>COUNTIF(Players!F2:F121,"Yes")</f>
        <v/>
      </c>
    </row>
    <row r="9">
      <c r="A9" t="inlineStr">
        <is>
          <t>Returned</t>
        </is>
      </c>
      <c r="B9" t="n">
        <v>15</v>
      </c>
      <c r="C9">
        <f>COUNTIF(Players!G2:G121,"Yes")</f>
        <v/>
      </c>
    </row>
    <row r="10">
      <c r="A10" t="inlineStr">
        <is>
          <t>Dropped out and did not return</t>
        </is>
      </c>
      <c r="B10" t="n">
        <v>8</v>
      </c>
      <c r="C10">
        <f>COUNTIFS(Players!F2:F121,"Yes",Players!G2:G121,"No")</f>
        <v/>
      </c>
    </row>
    <row r="11">
      <c r="A11" t="inlineStr">
        <is>
          <t>D1 agree (4 or 5)</t>
        </is>
      </c>
      <c r="B11" t="n">
        <v>86</v>
      </c>
      <c r="C11">
        <f>COUNTIF(Players!H2:H121,"&gt;=4")</f>
        <v/>
      </c>
    </row>
    <row r="12">
      <c r="A12" t="inlineStr">
        <is>
          <t>D2 agree (4 or 5)</t>
        </is>
      </c>
      <c r="B12" t="n">
        <v>76</v>
      </c>
      <c r="C12">
        <f>COUNTIF(Players!I2:I121,"&gt;=4")</f>
        <v/>
      </c>
    </row>
    <row r="13">
      <c r="A13" t="inlineStr">
        <is>
          <t>Rows missing a source</t>
        </is>
      </c>
      <c r="B13" t="inlineStr">
        <is>
          <t>0</t>
        </is>
      </c>
      <c r="C13">
        <f>COUNTIFS(Players!B2:B121,"&lt;&gt;",Players!M2:M121,"")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2026-09-30T13:14:12Z</dcterms:created>
  <dcterms:modified xmlns:dcterms="http://purl.org/dc/terms/" xmlns:xsi="http://www.w3.org/2001/XMLSchema-instance" xsi:type="dcterms:W3CDTF">2026-09-30T13:14:12Z</dcterms:modified>
</cp:coreProperties>
</file>