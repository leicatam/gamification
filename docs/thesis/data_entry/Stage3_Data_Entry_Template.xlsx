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ENTRY_Participants" sheetId="3" state="visible" r:id="rId3"/>
    <sheet xmlns:r="http://schemas.openxmlformats.org/officeDocument/2006/relationships" name="RAW_Sessions" sheetId="4" state="visible" r:id="rId4"/>
    <sheet xmlns:r="http://schemas.openxmlformats.org/officeDocument/2006/relationships" name="RAW_GameStates" sheetId="5" state="visible" r:id="rId5"/>
    <sheet xmlns:r="http://schemas.openxmlformats.org/officeDocument/2006/relationships" name="RAW_Questionnaire" sheetId="6" state="visible" r:id="rId6"/>
    <sheet xmlns:r="http://schemas.openxmlformats.org/officeDocument/2006/relationships" name="ENTRY_Observations" sheetId="7" state="visible" r:id="rId7"/>
    <sheet xmlns:r="http://schemas.openxmlformats.org/officeDocument/2006/relationships" name="AUTO_Outcomes" sheetId="8" state="visible" r:id="rId8"/>
    <sheet xmlns:r="http://schemas.openxmlformats.org/officeDocument/2006/relationships" name="CHECKS" sheetId="9" state="visible" r:id="rId9"/>
  </sheets>
  <definedNames>
    <definedName name="FIVE_ATTEMPTS">Config!$B$2</definedName>
    <definedName name="RETURN_GAP_DAYS">Config!$B$3</definedName>
    <definedName name="ENDORSE_ITEM">Config!$B$4</definedName>
    <definedName name="ENDORSE_THRESHOLD">Config!$B$5</definedName>
    <definedName name="INTENT_ITEM">Config!$B$6</definedName>
    <definedName name="INTENT_THRESHOLD">Config!$B$7</definedName>
    <definedName name="STUDY_START">Config!$B$8</definedName>
    <definedName name="STUDY_END">Config!$B$9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Stage-3 Data-Entry Template — how to use</t>
        </is>
      </c>
    </row>
    <row r="2">
      <c r="A2" s="2" t="inlineStr"/>
    </row>
    <row r="3">
      <c r="A3" s="2" t="inlineStr">
        <is>
          <t>1. ENTER participants once, in ENTRY_Participants. Age_Band fills itself; dropdowns constrain categories.</t>
        </is>
      </c>
    </row>
    <row r="4">
      <c r="A4" s="2" t="inlineStr">
        <is>
          <t>2. PASTE the game's per-session export into RAW_Sessions (columns already match the game state tables).</t>
        </is>
      </c>
    </row>
    <row r="5">
      <c r="A5" s="2" t="inlineStr">
        <is>
          <t xml:space="preserve">   If you have raw JSON logs instead of a spreadsheet export, run stage3_import.py — it fills the RAW sheets for you.</t>
        </is>
      </c>
    </row>
    <row r="6">
      <c r="A6" s="2" t="inlineStr">
        <is>
          <t>3. PASTE the L2 difficulty state-change export into RAW_GameStates (optional but recommended: it evidences the adaptive layer).</t>
        </is>
      </c>
    </row>
    <row r="7">
      <c r="A7" s="2" t="inlineStr">
        <is>
          <t>4. PASTE questionnaire responses into RAW_Questionnaire.</t>
        </is>
      </c>
    </row>
    <row r="8">
      <c r="A8" s="2" t="inlineStr">
        <is>
          <t>5. AUTO_Outcomes computes itself. Do not type into green cells - they are formulas.</t>
        </is>
      </c>
    </row>
    <row r="9">
      <c r="A9" s="2" t="inlineStr">
        <is>
          <t>6. Watch CHECKS: every flag must read 0 before the data moves to the master logbook.</t>
        </is>
      </c>
    </row>
    <row r="10">
      <c r="A10" s="2" t="inlineStr">
        <is>
          <t>7. When CHECKS is clean, copy AUTO_Outcomes (paste values) into the master logbook's Outcomes sheet and the RAW sheets into its data sheets. The logbook's Reconciliation sheet then compares your totals with the published Paper 3 aggregates.</t>
        </is>
      </c>
    </row>
    <row r="11">
      <c r="A11" s="2" t="inlineStr"/>
    </row>
    <row r="12">
      <c r="A12" s="1" t="inlineStr">
        <is>
          <t>DEFINITIONS are set on the Config sheet and are used by every formula. If a definition must change, change it there once - never by editing formulas - and record the change in the thesis (§6.2/§8.9).</t>
        </is>
      </c>
    </row>
    <row r="13">
      <c r="A13" s="2" t="inlineStr"/>
    </row>
    <row r="14">
      <c r="A14" s="1" t="inlineStr">
        <is>
          <t>Definition notes:</t>
        </is>
      </c>
    </row>
    <row r="15">
      <c r="A15" s="2" t="inlineStr">
        <is>
          <t>- Initial_Dropout (formula) = participant has at least one session but fewer than FIVE_ATTEMPTS sessions in their first stint.</t>
        </is>
      </c>
    </row>
    <row r="16">
      <c r="A16" s="2" t="inlineStr">
        <is>
          <t xml:space="preserve">  The formula approximates the first stint by counting sessions dated within RETURN_GAP_DAYS of the previous session;</t>
        </is>
      </c>
    </row>
    <row r="17">
      <c r="A17" s="2" t="inlineStr">
        <is>
          <t xml:space="preserve">  stage3_import.py computes the exact stint-based value and writes it beside the formula for comparison.</t>
        </is>
      </c>
    </row>
    <row r="18">
      <c r="A18" s="2" t="inlineStr">
        <is>
          <t>- Voluntary_Return = any session that starts a new stint (gap &gt; RETURN_GAP_DAYS) after an incomplete first stint.</t>
        </is>
      </c>
    </row>
    <row r="19">
      <c r="A19" s="2" t="inlineStr">
        <is>
          <t>- Coord_Endorse / Regular_Use_Intent = questionnaire item &gt;= threshold on Config.</t>
        </is>
      </c>
    </row>
    <row r="20">
      <c r="A20" s="2" t="inlineStr">
        <is>
          <t xml:space="preserve">  NOTE: thesis Appendix D specifies a 5-point scale with endorsement = 4 or 5; the logbook codebook says Likert 1-7.</t>
        </is>
      </c>
    </row>
    <row r="21">
      <c r="A21" s="2" t="inlineStr">
        <is>
          <t xml:space="preserve">  Config defaults to the 7-point reading (&gt;=5). Confirm which scale the questionnaire actually used and set Config to match</t>
        </is>
      </c>
    </row>
    <row r="22">
      <c r="A22" s="2" t="inlineStr">
        <is>
          <t xml:space="preserve">  BEFORE entering data; record the decision in Appendix D.</t>
        </is>
      </c>
    </row>
    <row r="23">
      <c r="A23" s="2" t="inlineStr">
        <is>
          <t>- Dropout/return PRECEDENCE: staff-observed events (ENTRY_Observations, transcribed from staff session logs) override</t>
        </is>
      </c>
    </row>
    <row r="24">
      <c r="A24" s="2" t="inlineStr">
        <is>
          <t xml:space="preserve">  telemetry signals, because a participant can drop out, return, and still finish all five sessions - telemetry alone</t>
        </is>
      </c>
    </row>
    <row r="25">
      <c r="A25" s="2" t="inlineStr">
        <is>
          <t xml:space="preserve">  cannot see that. FINAL_* columns apply this precedence; CHECKS flags disagreements for investigation.</t>
        </is>
      </c>
    </row>
    <row r="26">
      <c r="A26" s="1" t="inlineStr">
        <is>
          <t>- Data provenance rule: RAW sheets may contain only values transcribed or imported from primary records/game logs.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90" customWidth="1" min="3" max="3"/>
  </cols>
  <sheetData>
    <row r="1">
      <c r="A1" s="3" t="inlineStr">
        <is>
          <t>Setting</t>
        </is>
      </c>
      <c r="B1" s="3" t="inlineStr">
        <is>
          <t>Value</t>
        </is>
      </c>
      <c r="C1" s="3" t="inlineStr">
        <is>
          <t>Meaning</t>
        </is>
      </c>
    </row>
    <row r="2">
      <c r="A2" t="inlineStr">
        <is>
          <t>FIVE_ATTEMPTS</t>
        </is>
      </c>
      <c r="B2" t="n">
        <v>5</v>
      </c>
      <c r="C2" t="inlineStr">
        <is>
          <t>Number of attempts defining in-session completion (five-attempt rule)</t>
        </is>
      </c>
    </row>
    <row r="3">
      <c r="A3" t="inlineStr">
        <is>
          <t>RETURN_GAP_DAYS</t>
        </is>
      </c>
      <c r="B3" t="n">
        <v>10</v>
      </c>
      <c r="C3" t="inlineStr">
        <is>
          <t>A gap of MORE than this many days starts a new stint; set it comfortably above the normal session cadence</t>
        </is>
      </c>
    </row>
    <row r="4">
      <c r="A4" t="inlineStr">
        <is>
          <t>ENDORSE_ITEM</t>
        </is>
      </c>
      <c r="B4" t="inlineStr">
        <is>
          <t>Q7_CoordFrame</t>
        </is>
      </c>
      <c r="C4" t="inlineStr">
        <is>
          <t>Questionnaire item used for coordination endorsement</t>
        </is>
      </c>
    </row>
    <row r="5">
      <c r="A5" t="inlineStr">
        <is>
          <t>ENDORSE_THRESHOLD</t>
        </is>
      </c>
      <c r="B5" t="n">
        <v>5</v>
      </c>
      <c r="C5" t="inlineStr">
        <is>
          <t>Minimum response counting as endorsement (7-point scale default; use 4 if 5-point)</t>
        </is>
      </c>
    </row>
    <row r="6">
      <c r="A6" t="inlineStr">
        <is>
          <t>INTENT_ITEM</t>
        </is>
      </c>
      <c r="B6" t="inlineStr">
        <is>
          <t>Q8_ReturnRecommend</t>
        </is>
      </c>
      <c r="C6" t="inlineStr">
        <is>
          <t>Questionnaire item used for regular-use intention</t>
        </is>
      </c>
    </row>
    <row r="7">
      <c r="A7" t="inlineStr">
        <is>
          <t>INTENT_THRESHOLD</t>
        </is>
      </c>
      <c r="B7" t="n">
        <v>5</v>
      </c>
      <c r="C7" t="inlineStr">
        <is>
          <t>Minimum response counting as intention (7-point default; use 4 if 5-point)</t>
        </is>
      </c>
    </row>
    <row r="8">
      <c r="A8" t="inlineStr">
        <is>
          <t>STUDY_START</t>
        </is>
      </c>
      <c r="B8" t="inlineStr">
        <is>
          <t>2026-03-01</t>
        </is>
      </c>
      <c r="C8" t="inlineStr">
        <is>
          <t>First valid session date (sessions before this are flagged)</t>
        </is>
      </c>
    </row>
    <row r="9">
      <c r="A9" t="inlineStr">
        <is>
          <t>STUDY_END</t>
        </is>
      </c>
      <c r="B9" t="inlineStr">
        <is>
          <t>2026-05-31</t>
        </is>
      </c>
      <c r="C9" t="inlineStr">
        <is>
          <t>Last valid session date (sessions after this are flagged)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2" customWidth="1" min="4" max="4"/>
    <col width="8" customWidth="1" min="5" max="5"/>
    <col width="11" customWidth="1" min="6" max="6"/>
    <col width="15" customWidth="1" min="7" max="7"/>
    <col width="13" customWidth="1" min="8" max="8"/>
    <col width="13" customWidth="1" min="9" max="9"/>
    <col width="10" customWidth="1" min="10" max="10"/>
    <col width="14" customWidth="1" min="11" max="11"/>
    <col width="10" customWidth="1" min="12" max="12"/>
    <col width="18" customWidth="1" min="13" max="13"/>
  </cols>
  <sheetData>
    <row r="1">
      <c r="A1" s="3" t="inlineStr">
        <is>
          <t>Participant_ID</t>
        </is>
      </c>
      <c r="B1" s="3" t="inlineStr">
        <is>
          <t>Recruit_Date</t>
        </is>
      </c>
      <c r="C1" s="3" t="inlineStr">
        <is>
          <t>Age</t>
        </is>
      </c>
      <c r="D1" s="3" t="inlineStr">
        <is>
          <t>Age_Band (auto)</t>
        </is>
      </c>
      <c r="E1" s="3" t="inlineStr">
        <is>
          <t>Gender</t>
        </is>
      </c>
      <c r="F1" s="3" t="inlineStr">
        <is>
          <t>Education</t>
        </is>
      </c>
      <c r="G1" s="3" t="inlineStr">
        <is>
          <t>Recruit_Channel</t>
        </is>
      </c>
      <c r="H1" s="3" t="inlineStr">
        <is>
          <t>Prior_FRA_Use</t>
        </is>
      </c>
      <c r="I1" s="3" t="inlineStr">
        <is>
          <t>Pre_FRA_Index</t>
        </is>
      </c>
      <c r="J1" s="3" t="inlineStr">
        <is>
          <t>Pre_FES_I</t>
        </is>
      </c>
      <c r="K1" s="3" t="inlineStr">
        <is>
          <t>Consent_Signed</t>
        </is>
      </c>
      <c r="L1" s="3" t="inlineStr">
        <is>
          <t>Withdrawn</t>
        </is>
      </c>
      <c r="M1" s="3" t="inlineStr">
        <is>
          <t>Withdrawn_Reason</t>
        </is>
      </c>
    </row>
    <row r="2">
      <c r="A2" t="n">
        <v>3001</v>
      </c>
      <c r="D2" s="4">
        <f>IF($C2="","",IF($C2&lt;=44,"25-44",IF($C2&lt;=64,"45-64","65-80")))</f>
        <v/>
      </c>
    </row>
    <row r="3">
      <c r="A3" t="n">
        <v>3002</v>
      </c>
      <c r="D3" s="4">
        <f>IF($C3="","",IF($C3&lt;=44,"25-44",IF($C3&lt;=64,"45-64","65-80")))</f>
        <v/>
      </c>
    </row>
    <row r="4">
      <c r="A4" t="n">
        <v>3003</v>
      </c>
      <c r="D4" s="4">
        <f>IF($C4="","",IF($C4&lt;=44,"25-44",IF($C4&lt;=64,"45-64","65-80")))</f>
        <v/>
      </c>
    </row>
    <row r="5">
      <c r="A5" t="n">
        <v>3004</v>
      </c>
      <c r="D5" s="4">
        <f>IF($C5="","",IF($C5&lt;=44,"25-44",IF($C5&lt;=64,"45-64","65-80")))</f>
        <v/>
      </c>
    </row>
    <row r="6">
      <c r="A6" t="n">
        <v>3005</v>
      </c>
      <c r="D6" s="4">
        <f>IF($C6="","",IF($C6&lt;=44,"25-44",IF($C6&lt;=64,"45-64","65-80")))</f>
        <v/>
      </c>
    </row>
    <row r="7">
      <c r="A7" t="n">
        <v>3006</v>
      </c>
      <c r="D7" s="4">
        <f>IF($C7="","",IF($C7&lt;=44,"25-44",IF($C7&lt;=64,"45-64","65-80")))</f>
        <v/>
      </c>
    </row>
    <row r="8">
      <c r="A8" t="n">
        <v>3007</v>
      </c>
      <c r="D8" s="4">
        <f>IF($C8="","",IF($C8&lt;=44,"25-44",IF($C8&lt;=64,"45-64","65-80")))</f>
        <v/>
      </c>
    </row>
    <row r="9">
      <c r="A9" t="n">
        <v>3008</v>
      </c>
      <c r="D9" s="4">
        <f>IF($C9="","",IF($C9&lt;=44,"25-44",IF($C9&lt;=64,"45-64","65-80")))</f>
        <v/>
      </c>
    </row>
    <row r="10">
      <c r="A10" t="n">
        <v>3009</v>
      </c>
      <c r="D10" s="4">
        <f>IF($C10="","",IF($C10&lt;=44,"25-44",IF($C10&lt;=64,"45-64","65-80")))</f>
        <v/>
      </c>
    </row>
    <row r="11">
      <c r="A11" t="n">
        <v>3010</v>
      </c>
      <c r="D11" s="4">
        <f>IF($C11="","",IF($C11&lt;=44,"25-44",IF($C11&lt;=64,"45-64","65-80")))</f>
        <v/>
      </c>
    </row>
    <row r="12">
      <c r="A12" t="n">
        <v>3011</v>
      </c>
      <c r="D12" s="4">
        <f>IF($C12="","",IF($C12&lt;=44,"25-44",IF($C12&lt;=64,"45-64","65-80")))</f>
        <v/>
      </c>
    </row>
    <row r="13">
      <c r="A13" t="n">
        <v>3012</v>
      </c>
      <c r="D13" s="4">
        <f>IF($C13="","",IF($C13&lt;=44,"25-44",IF($C13&lt;=64,"45-64","65-80")))</f>
        <v/>
      </c>
    </row>
    <row r="14">
      <c r="A14" t="n">
        <v>3013</v>
      </c>
      <c r="D14" s="4">
        <f>IF($C14="","",IF($C14&lt;=44,"25-44",IF($C14&lt;=64,"45-64","65-80")))</f>
        <v/>
      </c>
    </row>
    <row r="15">
      <c r="A15" t="n">
        <v>3014</v>
      </c>
      <c r="D15" s="4">
        <f>IF($C15="","",IF($C15&lt;=44,"25-44",IF($C15&lt;=64,"45-64","65-80")))</f>
        <v/>
      </c>
    </row>
    <row r="16">
      <c r="A16" t="n">
        <v>3015</v>
      </c>
      <c r="D16" s="4">
        <f>IF($C16="","",IF($C16&lt;=44,"25-44",IF($C16&lt;=64,"45-64","65-80")))</f>
        <v/>
      </c>
    </row>
    <row r="17">
      <c r="A17" t="n">
        <v>3016</v>
      </c>
      <c r="D17" s="4">
        <f>IF($C17="","",IF($C17&lt;=44,"25-44",IF($C17&lt;=64,"45-64","65-80")))</f>
        <v/>
      </c>
    </row>
    <row r="18">
      <c r="A18" t="n">
        <v>3017</v>
      </c>
      <c r="D18" s="4">
        <f>IF($C18="","",IF($C18&lt;=44,"25-44",IF($C18&lt;=64,"45-64","65-80")))</f>
        <v/>
      </c>
    </row>
    <row r="19">
      <c r="A19" t="n">
        <v>3018</v>
      </c>
      <c r="D19" s="4">
        <f>IF($C19="","",IF($C19&lt;=44,"25-44",IF($C19&lt;=64,"45-64","65-80")))</f>
        <v/>
      </c>
    </row>
    <row r="20">
      <c r="A20" t="n">
        <v>3019</v>
      </c>
      <c r="D20" s="4">
        <f>IF($C20="","",IF($C20&lt;=44,"25-44",IF($C20&lt;=64,"45-64","65-80")))</f>
        <v/>
      </c>
    </row>
    <row r="21">
      <c r="A21" t="n">
        <v>3020</v>
      </c>
      <c r="D21" s="4">
        <f>IF($C21="","",IF($C21&lt;=44,"25-44",IF($C21&lt;=64,"45-64","65-80")))</f>
        <v/>
      </c>
    </row>
    <row r="22">
      <c r="A22" t="n">
        <v>3021</v>
      </c>
      <c r="D22" s="4">
        <f>IF($C22="","",IF($C22&lt;=44,"25-44",IF($C22&lt;=64,"45-64","65-80")))</f>
        <v/>
      </c>
    </row>
    <row r="23">
      <c r="A23" t="n">
        <v>3022</v>
      </c>
      <c r="D23" s="4">
        <f>IF($C23="","",IF($C23&lt;=44,"25-44",IF($C23&lt;=64,"45-64","65-80")))</f>
        <v/>
      </c>
    </row>
    <row r="24">
      <c r="A24" t="n">
        <v>3023</v>
      </c>
      <c r="D24" s="4">
        <f>IF($C24="","",IF($C24&lt;=44,"25-44",IF($C24&lt;=64,"45-64","65-80")))</f>
        <v/>
      </c>
    </row>
    <row r="25">
      <c r="A25" t="n">
        <v>3024</v>
      </c>
      <c r="D25" s="4">
        <f>IF($C25="","",IF($C25&lt;=44,"25-44",IF($C25&lt;=64,"45-64","65-80")))</f>
        <v/>
      </c>
    </row>
    <row r="26">
      <c r="A26" t="n">
        <v>3025</v>
      </c>
      <c r="D26" s="4">
        <f>IF($C26="","",IF($C26&lt;=44,"25-44",IF($C26&lt;=64,"45-64","65-80")))</f>
        <v/>
      </c>
    </row>
    <row r="27">
      <c r="A27" t="n">
        <v>3026</v>
      </c>
      <c r="D27" s="4">
        <f>IF($C27="","",IF($C27&lt;=44,"25-44",IF($C27&lt;=64,"45-64","65-80")))</f>
        <v/>
      </c>
    </row>
    <row r="28">
      <c r="A28" t="n">
        <v>3027</v>
      </c>
      <c r="D28" s="4">
        <f>IF($C28="","",IF($C28&lt;=44,"25-44",IF($C28&lt;=64,"45-64","65-80")))</f>
        <v/>
      </c>
    </row>
    <row r="29">
      <c r="A29" t="n">
        <v>3028</v>
      </c>
      <c r="D29" s="4">
        <f>IF($C29="","",IF($C29&lt;=44,"25-44",IF($C29&lt;=64,"45-64","65-80")))</f>
        <v/>
      </c>
    </row>
    <row r="30">
      <c r="A30" t="n">
        <v>3029</v>
      </c>
      <c r="D30" s="4">
        <f>IF($C30="","",IF($C30&lt;=44,"25-44",IF($C30&lt;=64,"45-64","65-80")))</f>
        <v/>
      </c>
    </row>
    <row r="31">
      <c r="A31" t="n">
        <v>3030</v>
      </c>
      <c r="D31" s="4">
        <f>IF($C31="","",IF($C31&lt;=44,"25-44",IF($C31&lt;=64,"45-64","65-80")))</f>
        <v/>
      </c>
    </row>
    <row r="32">
      <c r="A32" t="n">
        <v>3031</v>
      </c>
      <c r="D32" s="4">
        <f>IF($C32="","",IF($C32&lt;=44,"25-44",IF($C32&lt;=64,"45-64","65-80")))</f>
        <v/>
      </c>
    </row>
    <row r="33">
      <c r="A33" t="n">
        <v>3032</v>
      </c>
      <c r="D33" s="4">
        <f>IF($C33="","",IF($C33&lt;=44,"25-44",IF($C33&lt;=64,"45-64","65-80")))</f>
        <v/>
      </c>
    </row>
    <row r="34">
      <c r="A34" t="n">
        <v>3033</v>
      </c>
      <c r="D34" s="4">
        <f>IF($C34="","",IF($C34&lt;=44,"25-44",IF($C34&lt;=64,"45-64","65-80")))</f>
        <v/>
      </c>
    </row>
    <row r="35">
      <c r="A35" t="n">
        <v>3034</v>
      </c>
      <c r="D35" s="4">
        <f>IF($C35="","",IF($C35&lt;=44,"25-44",IF($C35&lt;=64,"45-64","65-80")))</f>
        <v/>
      </c>
    </row>
    <row r="36">
      <c r="A36" t="n">
        <v>3035</v>
      </c>
      <c r="D36" s="4">
        <f>IF($C36="","",IF($C36&lt;=44,"25-44",IF($C36&lt;=64,"45-64","65-80")))</f>
        <v/>
      </c>
    </row>
    <row r="37">
      <c r="A37" t="n">
        <v>3036</v>
      </c>
      <c r="D37" s="4">
        <f>IF($C37="","",IF($C37&lt;=44,"25-44",IF($C37&lt;=64,"45-64","65-80")))</f>
        <v/>
      </c>
    </row>
    <row r="38">
      <c r="A38" t="n">
        <v>3037</v>
      </c>
      <c r="D38" s="4">
        <f>IF($C38="","",IF($C38&lt;=44,"25-44",IF($C38&lt;=64,"45-64","65-80")))</f>
        <v/>
      </c>
    </row>
    <row r="39">
      <c r="A39" t="n">
        <v>3038</v>
      </c>
      <c r="D39" s="4">
        <f>IF($C39="","",IF($C39&lt;=44,"25-44",IF($C39&lt;=64,"45-64","65-80")))</f>
        <v/>
      </c>
    </row>
    <row r="40">
      <c r="A40" t="n">
        <v>3039</v>
      </c>
      <c r="D40" s="4">
        <f>IF($C40="","",IF($C40&lt;=44,"25-44",IF($C40&lt;=64,"45-64","65-80")))</f>
        <v/>
      </c>
    </row>
    <row r="41">
      <c r="A41" t="n">
        <v>3040</v>
      </c>
      <c r="D41" s="4">
        <f>IF($C41="","",IF($C41&lt;=44,"25-44",IF($C41&lt;=64,"45-64","65-80")))</f>
        <v/>
      </c>
    </row>
    <row r="42">
      <c r="A42" t="n">
        <v>3041</v>
      </c>
      <c r="D42" s="4">
        <f>IF($C42="","",IF($C42&lt;=44,"25-44",IF($C42&lt;=64,"45-64","65-80")))</f>
        <v/>
      </c>
    </row>
    <row r="43">
      <c r="A43" t="n">
        <v>3042</v>
      </c>
      <c r="D43" s="4">
        <f>IF($C43="","",IF($C43&lt;=44,"25-44",IF($C43&lt;=64,"45-64","65-80")))</f>
        <v/>
      </c>
    </row>
    <row r="44">
      <c r="A44" t="n">
        <v>3043</v>
      </c>
      <c r="D44" s="4">
        <f>IF($C44="","",IF($C44&lt;=44,"25-44",IF($C44&lt;=64,"45-64","65-80")))</f>
        <v/>
      </c>
    </row>
    <row r="45">
      <c r="A45" t="n">
        <v>3044</v>
      </c>
      <c r="D45" s="4">
        <f>IF($C45="","",IF($C45&lt;=44,"25-44",IF($C45&lt;=64,"45-64","65-80")))</f>
        <v/>
      </c>
    </row>
    <row r="46">
      <c r="A46" t="n">
        <v>3045</v>
      </c>
      <c r="D46" s="4">
        <f>IF($C46="","",IF($C46&lt;=44,"25-44",IF($C46&lt;=64,"45-64","65-80")))</f>
        <v/>
      </c>
    </row>
    <row r="47">
      <c r="A47" t="n">
        <v>3046</v>
      </c>
      <c r="D47" s="4">
        <f>IF($C47="","",IF($C47&lt;=44,"25-44",IF($C47&lt;=64,"45-64","65-80")))</f>
        <v/>
      </c>
    </row>
    <row r="48">
      <c r="A48" t="n">
        <v>3047</v>
      </c>
      <c r="D48" s="4">
        <f>IF($C48="","",IF($C48&lt;=44,"25-44",IF($C48&lt;=64,"45-64","65-80")))</f>
        <v/>
      </c>
    </row>
    <row r="49">
      <c r="A49" t="n">
        <v>3048</v>
      </c>
      <c r="D49" s="4">
        <f>IF($C49="","",IF($C49&lt;=44,"25-44",IF($C49&lt;=64,"45-64","65-80")))</f>
        <v/>
      </c>
    </row>
    <row r="50">
      <c r="A50" t="n">
        <v>3049</v>
      </c>
      <c r="D50" s="4">
        <f>IF($C50="","",IF($C50&lt;=44,"25-44",IF($C50&lt;=64,"45-64","65-80")))</f>
        <v/>
      </c>
    </row>
    <row r="51">
      <c r="A51" t="n">
        <v>3050</v>
      </c>
      <c r="D51" s="4">
        <f>IF($C51="","",IF($C51&lt;=44,"25-44",IF($C51&lt;=64,"45-64","65-80")))</f>
        <v/>
      </c>
    </row>
    <row r="52">
      <c r="A52" t="n">
        <v>3051</v>
      </c>
      <c r="D52" s="4">
        <f>IF($C52="","",IF($C52&lt;=44,"25-44",IF($C52&lt;=64,"45-64","65-80")))</f>
        <v/>
      </c>
    </row>
    <row r="53">
      <c r="A53" t="n">
        <v>3052</v>
      </c>
      <c r="D53" s="4">
        <f>IF($C53="","",IF($C53&lt;=44,"25-44",IF($C53&lt;=64,"45-64","65-80")))</f>
        <v/>
      </c>
    </row>
    <row r="54">
      <c r="A54" t="n">
        <v>3053</v>
      </c>
      <c r="D54" s="4">
        <f>IF($C54="","",IF($C54&lt;=44,"25-44",IF($C54&lt;=64,"45-64","65-80")))</f>
        <v/>
      </c>
    </row>
    <row r="55">
      <c r="A55" t="n">
        <v>3054</v>
      </c>
      <c r="D55" s="4">
        <f>IF($C55="","",IF($C55&lt;=44,"25-44",IF($C55&lt;=64,"45-64","65-80")))</f>
        <v/>
      </c>
    </row>
    <row r="56">
      <c r="A56" t="n">
        <v>3055</v>
      </c>
      <c r="D56" s="4">
        <f>IF($C56="","",IF($C56&lt;=44,"25-44",IF($C56&lt;=64,"45-64","65-80")))</f>
        <v/>
      </c>
    </row>
    <row r="57">
      <c r="A57" t="n">
        <v>3056</v>
      </c>
      <c r="D57" s="4">
        <f>IF($C57="","",IF($C57&lt;=44,"25-44",IF($C57&lt;=64,"45-64","65-80")))</f>
        <v/>
      </c>
    </row>
    <row r="58">
      <c r="A58" t="n">
        <v>3057</v>
      </c>
      <c r="D58" s="4">
        <f>IF($C58="","",IF($C58&lt;=44,"25-44",IF($C58&lt;=64,"45-64","65-80")))</f>
        <v/>
      </c>
    </row>
    <row r="59">
      <c r="A59" t="n">
        <v>3058</v>
      </c>
      <c r="D59" s="4">
        <f>IF($C59="","",IF($C59&lt;=44,"25-44",IF($C59&lt;=64,"45-64","65-80")))</f>
        <v/>
      </c>
    </row>
    <row r="60">
      <c r="A60" t="n">
        <v>3059</v>
      </c>
      <c r="D60" s="4">
        <f>IF($C60="","",IF($C60&lt;=44,"25-44",IF($C60&lt;=64,"45-64","65-80")))</f>
        <v/>
      </c>
    </row>
    <row r="61">
      <c r="A61" t="n">
        <v>3060</v>
      </c>
      <c r="D61" s="4">
        <f>IF($C61="","",IF($C61&lt;=44,"25-44",IF($C61&lt;=64,"45-64","65-80")))</f>
        <v/>
      </c>
    </row>
    <row r="62">
      <c r="A62" t="n">
        <v>3061</v>
      </c>
      <c r="D62" s="4">
        <f>IF($C62="","",IF($C62&lt;=44,"25-44",IF($C62&lt;=64,"45-64","65-80")))</f>
        <v/>
      </c>
    </row>
    <row r="63">
      <c r="A63" t="n">
        <v>3062</v>
      </c>
      <c r="D63" s="4">
        <f>IF($C63="","",IF($C63&lt;=44,"25-44",IF($C63&lt;=64,"45-64","65-80")))</f>
        <v/>
      </c>
    </row>
    <row r="64">
      <c r="A64" t="n">
        <v>3063</v>
      </c>
      <c r="D64" s="4">
        <f>IF($C64="","",IF($C64&lt;=44,"25-44",IF($C64&lt;=64,"45-64","65-80")))</f>
        <v/>
      </c>
    </row>
    <row r="65">
      <c r="A65" t="n">
        <v>3064</v>
      </c>
      <c r="D65" s="4">
        <f>IF($C65="","",IF($C65&lt;=44,"25-44",IF($C65&lt;=64,"45-64","65-80")))</f>
        <v/>
      </c>
    </row>
    <row r="66">
      <c r="A66" t="n">
        <v>3065</v>
      </c>
      <c r="D66" s="4">
        <f>IF($C66="","",IF($C66&lt;=44,"25-44",IF($C66&lt;=64,"45-64","65-80")))</f>
        <v/>
      </c>
    </row>
    <row r="67">
      <c r="A67" t="n">
        <v>3066</v>
      </c>
      <c r="D67" s="4">
        <f>IF($C67="","",IF($C67&lt;=44,"25-44",IF($C67&lt;=64,"45-64","65-80")))</f>
        <v/>
      </c>
    </row>
    <row r="68">
      <c r="A68" t="n">
        <v>3067</v>
      </c>
      <c r="D68" s="4">
        <f>IF($C68="","",IF($C68&lt;=44,"25-44",IF($C68&lt;=64,"45-64","65-80")))</f>
        <v/>
      </c>
    </row>
    <row r="69">
      <c r="A69" t="n">
        <v>3068</v>
      </c>
      <c r="D69" s="4">
        <f>IF($C69="","",IF($C69&lt;=44,"25-44",IF($C69&lt;=64,"45-64","65-80")))</f>
        <v/>
      </c>
    </row>
    <row r="70">
      <c r="A70" t="n">
        <v>3069</v>
      </c>
      <c r="D70" s="4">
        <f>IF($C70="","",IF($C70&lt;=44,"25-44",IF($C70&lt;=64,"45-64","65-80")))</f>
        <v/>
      </c>
    </row>
    <row r="71">
      <c r="A71" t="n">
        <v>3070</v>
      </c>
      <c r="D71" s="4">
        <f>IF($C71="","",IF($C71&lt;=44,"25-44",IF($C71&lt;=64,"45-64","65-80")))</f>
        <v/>
      </c>
    </row>
    <row r="72">
      <c r="A72" t="n">
        <v>3071</v>
      </c>
      <c r="D72" s="4">
        <f>IF($C72="","",IF($C72&lt;=44,"25-44",IF($C72&lt;=64,"45-64","65-80")))</f>
        <v/>
      </c>
    </row>
    <row r="73">
      <c r="A73" t="n">
        <v>3072</v>
      </c>
      <c r="D73" s="4">
        <f>IF($C73="","",IF($C73&lt;=44,"25-44",IF($C73&lt;=64,"45-64","65-80")))</f>
        <v/>
      </c>
    </row>
    <row r="74">
      <c r="A74" t="n">
        <v>3073</v>
      </c>
      <c r="D74" s="4">
        <f>IF($C74="","",IF($C74&lt;=44,"25-44",IF($C74&lt;=64,"45-64","65-80")))</f>
        <v/>
      </c>
    </row>
    <row r="75">
      <c r="A75" t="n">
        <v>3074</v>
      </c>
      <c r="D75" s="4">
        <f>IF($C75="","",IF($C75&lt;=44,"25-44",IF($C75&lt;=64,"45-64","65-80")))</f>
        <v/>
      </c>
    </row>
    <row r="76">
      <c r="A76" t="n">
        <v>3075</v>
      </c>
      <c r="D76" s="4">
        <f>IF($C76="","",IF($C76&lt;=44,"25-44",IF($C76&lt;=64,"45-64","65-80")))</f>
        <v/>
      </c>
    </row>
    <row r="77">
      <c r="A77" t="n">
        <v>3076</v>
      </c>
      <c r="D77" s="4">
        <f>IF($C77="","",IF($C77&lt;=44,"25-44",IF($C77&lt;=64,"45-64","65-80")))</f>
        <v/>
      </c>
    </row>
    <row r="78">
      <c r="A78" t="n">
        <v>3077</v>
      </c>
      <c r="D78" s="4">
        <f>IF($C78="","",IF($C78&lt;=44,"25-44",IF($C78&lt;=64,"45-64","65-80")))</f>
        <v/>
      </c>
    </row>
    <row r="79">
      <c r="A79" t="n">
        <v>3078</v>
      </c>
      <c r="D79" s="4">
        <f>IF($C79="","",IF($C79&lt;=44,"25-44",IF($C79&lt;=64,"45-64","65-80")))</f>
        <v/>
      </c>
    </row>
    <row r="80">
      <c r="A80" t="n">
        <v>3079</v>
      </c>
      <c r="D80" s="4">
        <f>IF($C80="","",IF($C80&lt;=44,"25-44",IF($C80&lt;=64,"45-64","65-80")))</f>
        <v/>
      </c>
    </row>
    <row r="81">
      <c r="A81" t="n">
        <v>3080</v>
      </c>
      <c r="D81" s="4">
        <f>IF($C81="","",IF($C81&lt;=44,"25-44",IF($C81&lt;=64,"45-64","65-80")))</f>
        <v/>
      </c>
    </row>
    <row r="82">
      <c r="A82" t="n">
        <v>3081</v>
      </c>
      <c r="D82" s="4">
        <f>IF($C82="","",IF($C82&lt;=44,"25-44",IF($C82&lt;=64,"45-64","65-80")))</f>
        <v/>
      </c>
    </row>
    <row r="83">
      <c r="A83" t="n">
        <v>3082</v>
      </c>
      <c r="D83" s="4">
        <f>IF($C83="","",IF($C83&lt;=44,"25-44",IF($C83&lt;=64,"45-64","65-80")))</f>
        <v/>
      </c>
    </row>
    <row r="84">
      <c r="A84" t="n">
        <v>3083</v>
      </c>
      <c r="D84" s="4">
        <f>IF($C84="","",IF($C84&lt;=44,"25-44",IF($C84&lt;=64,"45-64","65-80")))</f>
        <v/>
      </c>
    </row>
    <row r="85">
      <c r="A85" t="n">
        <v>3084</v>
      </c>
      <c r="D85" s="4">
        <f>IF($C85="","",IF($C85&lt;=44,"25-44",IF($C85&lt;=64,"45-64","65-80")))</f>
        <v/>
      </c>
    </row>
    <row r="86">
      <c r="A86" t="n">
        <v>3085</v>
      </c>
      <c r="D86" s="4">
        <f>IF($C86="","",IF($C86&lt;=44,"25-44",IF($C86&lt;=64,"45-64","65-80")))</f>
        <v/>
      </c>
    </row>
    <row r="87">
      <c r="A87" t="n">
        <v>3086</v>
      </c>
      <c r="D87" s="4">
        <f>IF($C87="","",IF($C87&lt;=44,"25-44",IF($C87&lt;=64,"45-64","65-80")))</f>
        <v/>
      </c>
    </row>
    <row r="88">
      <c r="A88" t="n">
        <v>3087</v>
      </c>
      <c r="D88" s="4">
        <f>IF($C88="","",IF($C88&lt;=44,"25-44",IF($C88&lt;=64,"45-64","65-80")))</f>
        <v/>
      </c>
    </row>
    <row r="89">
      <c r="A89" t="n">
        <v>3088</v>
      </c>
      <c r="D89" s="4">
        <f>IF($C89="","",IF($C89&lt;=44,"25-44",IF($C89&lt;=64,"45-64","65-80")))</f>
        <v/>
      </c>
    </row>
    <row r="90">
      <c r="A90" t="n">
        <v>3089</v>
      </c>
      <c r="D90" s="4">
        <f>IF($C90="","",IF($C90&lt;=44,"25-44",IF($C90&lt;=64,"45-64","65-80")))</f>
        <v/>
      </c>
    </row>
    <row r="91">
      <c r="A91" t="n">
        <v>3090</v>
      </c>
      <c r="D91" s="4">
        <f>IF($C91="","",IF($C91&lt;=44,"25-44",IF($C91&lt;=64,"45-64","65-80")))</f>
        <v/>
      </c>
    </row>
    <row r="92">
      <c r="A92" t="n">
        <v>3091</v>
      </c>
      <c r="D92" s="4">
        <f>IF($C92="","",IF($C92&lt;=44,"25-44",IF($C92&lt;=64,"45-64","65-80")))</f>
        <v/>
      </c>
    </row>
    <row r="93">
      <c r="A93" t="n">
        <v>3092</v>
      </c>
      <c r="D93" s="4">
        <f>IF($C93="","",IF($C93&lt;=44,"25-44",IF($C93&lt;=64,"45-64","65-80")))</f>
        <v/>
      </c>
    </row>
    <row r="94">
      <c r="A94" t="n">
        <v>3093</v>
      </c>
      <c r="D94" s="4">
        <f>IF($C94="","",IF($C94&lt;=44,"25-44",IF($C94&lt;=64,"45-64","65-80")))</f>
        <v/>
      </c>
    </row>
    <row r="95">
      <c r="A95" t="n">
        <v>3094</v>
      </c>
      <c r="D95" s="4">
        <f>IF($C95="","",IF($C95&lt;=44,"25-44",IF($C95&lt;=64,"45-64","65-80")))</f>
        <v/>
      </c>
    </row>
    <row r="96">
      <c r="A96" t="n">
        <v>3095</v>
      </c>
      <c r="D96" s="4">
        <f>IF($C96="","",IF($C96&lt;=44,"25-44",IF($C96&lt;=64,"45-64","65-80")))</f>
        <v/>
      </c>
    </row>
    <row r="97">
      <c r="A97" t="n">
        <v>3096</v>
      </c>
      <c r="D97" s="4">
        <f>IF($C97="","",IF($C97&lt;=44,"25-44",IF($C97&lt;=64,"45-64","65-80")))</f>
        <v/>
      </c>
    </row>
    <row r="98">
      <c r="A98" t="n">
        <v>3097</v>
      </c>
      <c r="D98" s="4">
        <f>IF($C98="","",IF($C98&lt;=44,"25-44",IF($C98&lt;=64,"45-64","65-80")))</f>
        <v/>
      </c>
    </row>
    <row r="99">
      <c r="A99" t="n">
        <v>3098</v>
      </c>
      <c r="D99" s="4">
        <f>IF($C99="","",IF($C99&lt;=44,"25-44",IF($C99&lt;=64,"45-64","65-80")))</f>
        <v/>
      </c>
    </row>
    <row r="100">
      <c r="A100" t="n">
        <v>3099</v>
      </c>
      <c r="D100" s="4">
        <f>IF($C100="","",IF($C100&lt;=44,"25-44",IF($C100&lt;=64,"45-64","65-80")))</f>
        <v/>
      </c>
    </row>
    <row r="101">
      <c r="A101" t="n">
        <v>3100</v>
      </c>
      <c r="D101" s="4">
        <f>IF($C101="","",IF($C101&lt;=44,"25-44",IF($C101&lt;=64,"45-64","65-80")))</f>
        <v/>
      </c>
    </row>
    <row r="102">
      <c r="A102" t="n">
        <v>3101</v>
      </c>
      <c r="D102" s="4">
        <f>IF($C102="","",IF($C102&lt;=44,"25-44",IF($C102&lt;=64,"45-64","65-80")))</f>
        <v/>
      </c>
    </row>
    <row r="103">
      <c r="A103" t="n">
        <v>3102</v>
      </c>
      <c r="D103" s="4">
        <f>IF($C103="","",IF($C103&lt;=44,"25-44",IF($C103&lt;=64,"45-64","65-80")))</f>
        <v/>
      </c>
    </row>
    <row r="104">
      <c r="A104" t="n">
        <v>3103</v>
      </c>
      <c r="D104" s="4">
        <f>IF($C104="","",IF($C104&lt;=44,"25-44",IF($C104&lt;=64,"45-64","65-80")))</f>
        <v/>
      </c>
    </row>
    <row r="105">
      <c r="A105" t="n">
        <v>3104</v>
      </c>
      <c r="D105" s="4">
        <f>IF($C105="","",IF($C105&lt;=44,"25-44",IF($C105&lt;=64,"45-64","65-80")))</f>
        <v/>
      </c>
    </row>
    <row r="106">
      <c r="A106" t="n">
        <v>3105</v>
      </c>
      <c r="D106" s="4">
        <f>IF($C106="","",IF($C106&lt;=44,"25-44",IF($C106&lt;=64,"45-64","65-80")))</f>
        <v/>
      </c>
    </row>
    <row r="107">
      <c r="A107" t="n">
        <v>3106</v>
      </c>
      <c r="D107" s="4">
        <f>IF($C107="","",IF($C107&lt;=44,"25-44",IF($C107&lt;=64,"45-64","65-80")))</f>
        <v/>
      </c>
    </row>
    <row r="108">
      <c r="A108" t="n">
        <v>3107</v>
      </c>
      <c r="D108" s="4">
        <f>IF($C108="","",IF($C108&lt;=44,"25-44",IF($C108&lt;=64,"45-64","65-80")))</f>
        <v/>
      </c>
    </row>
    <row r="109">
      <c r="A109" t="n">
        <v>3108</v>
      </c>
      <c r="D109" s="4">
        <f>IF($C109="","",IF($C109&lt;=44,"25-44",IF($C109&lt;=64,"45-64","65-80")))</f>
        <v/>
      </c>
    </row>
    <row r="110">
      <c r="A110" t="n">
        <v>3109</v>
      </c>
      <c r="D110" s="4">
        <f>IF($C110="","",IF($C110&lt;=44,"25-44",IF($C110&lt;=64,"45-64","65-80")))</f>
        <v/>
      </c>
    </row>
    <row r="111">
      <c r="A111" t="n">
        <v>3110</v>
      </c>
      <c r="D111" s="4">
        <f>IF($C111="","",IF($C111&lt;=44,"25-44",IF($C111&lt;=64,"45-64","65-80")))</f>
        <v/>
      </c>
    </row>
    <row r="112">
      <c r="A112" t="n">
        <v>3111</v>
      </c>
      <c r="D112" s="4">
        <f>IF($C112="","",IF($C112&lt;=44,"25-44",IF($C112&lt;=64,"45-64","65-80")))</f>
        <v/>
      </c>
    </row>
    <row r="113">
      <c r="A113" t="n">
        <v>3112</v>
      </c>
      <c r="D113" s="4">
        <f>IF($C113="","",IF($C113&lt;=44,"25-44",IF($C113&lt;=64,"45-64","65-80")))</f>
        <v/>
      </c>
    </row>
    <row r="114">
      <c r="A114" t="n">
        <v>3113</v>
      </c>
      <c r="D114" s="4">
        <f>IF($C114="","",IF($C114&lt;=44,"25-44",IF($C114&lt;=64,"45-64","65-80")))</f>
        <v/>
      </c>
    </row>
    <row r="115">
      <c r="A115" t="n">
        <v>3114</v>
      </c>
      <c r="D115" s="4">
        <f>IF($C115="","",IF($C115&lt;=44,"25-44",IF($C115&lt;=64,"45-64","65-80")))</f>
        <v/>
      </c>
    </row>
    <row r="116">
      <c r="A116" t="n">
        <v>3115</v>
      </c>
      <c r="D116" s="4">
        <f>IF($C116="","",IF($C116&lt;=44,"25-44",IF($C116&lt;=64,"45-64","65-80")))</f>
        <v/>
      </c>
    </row>
    <row r="117">
      <c r="A117" t="n">
        <v>3116</v>
      </c>
      <c r="D117" s="4">
        <f>IF($C117="","",IF($C117&lt;=44,"25-44",IF($C117&lt;=64,"45-64","65-80")))</f>
        <v/>
      </c>
    </row>
    <row r="118">
      <c r="A118" t="n">
        <v>3117</v>
      </c>
      <c r="D118" s="4">
        <f>IF($C118="","",IF($C118&lt;=44,"25-44",IF($C118&lt;=64,"45-64","65-80")))</f>
        <v/>
      </c>
    </row>
    <row r="119">
      <c r="A119" t="n">
        <v>3118</v>
      </c>
      <c r="D119" s="4">
        <f>IF($C119="","",IF($C119&lt;=44,"25-44",IF($C119&lt;=64,"45-64","65-80")))</f>
        <v/>
      </c>
    </row>
    <row r="120">
      <c r="A120" t="n">
        <v>3119</v>
      </c>
      <c r="D120" s="4">
        <f>IF($C120="","",IF($C120&lt;=44,"25-44",IF($C120&lt;=64,"45-64","65-80")))</f>
        <v/>
      </c>
    </row>
    <row r="121">
      <c r="A121" t="n">
        <v>3120</v>
      </c>
      <c r="D121" s="4">
        <f>IF($C121="","",IF($C121&lt;=44,"25-44",IF($C121&lt;=64,"45-64","65-80")))</f>
        <v/>
      </c>
    </row>
  </sheetData>
  <dataValidations count="5">
    <dataValidation sqref="E2:E121" showDropDown="0" showInputMessage="0" showErrorMessage="1" allowBlank="1" type="list">
      <formula1>"M,F,Other,NA"</formula1>
    </dataValidation>
    <dataValidation sqref="F2:F121" showDropDown="0" showInputMessage="0" showErrorMessage="1" allowBlank="1" type="list">
      <formula1>"Primary,Secondary,Tertiary,Postgrad"</formula1>
    </dataValidation>
    <dataValidation sqref="H2:H121" showDropDown="0" showInputMessage="0" showErrorMessage="1" allowBlank="1" type="list">
      <formula1>"Yes,No,Unknown"</formula1>
    </dataValidation>
    <dataValidation sqref="K2:K121" showDropDown="0" showInputMessage="0" showErrorMessage="1" allowBlank="1" type="list">
      <formula1>"TRUE,FALSE"</formula1>
    </dataValidation>
    <dataValidation sqref="L2:L121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Participant_ID</t>
        </is>
      </c>
      <c r="B1" s="3" t="inlineStr">
        <is>
          <t>Session_No</t>
        </is>
      </c>
      <c r="C1" s="3" t="inlineStr">
        <is>
          <t>Session_Date</t>
        </is>
      </c>
      <c r="D1" s="3" t="inlineStr">
        <is>
          <t>Duration_Min</t>
        </is>
      </c>
      <c r="E1" s="3" t="inlineStr">
        <is>
          <t>Distance_m</t>
        </is>
      </c>
      <c r="F1" s="3" t="inlineStr">
        <is>
          <t>Coins</t>
        </is>
      </c>
      <c r="G1" s="3" t="inlineStr">
        <is>
          <t>Obstacles_Hit</t>
        </is>
      </c>
      <c r="H1" s="3" t="inlineStr">
        <is>
          <t>Lives_Lost</t>
        </is>
      </c>
      <c r="I1" s="3" t="inlineStr">
        <is>
          <t>Avg_Balance_pct</t>
        </is>
      </c>
      <c r="J1" s="3" t="inlineStr">
        <is>
          <t>Max_Speed</t>
        </is>
      </c>
      <c r="K1" s="3" t="inlineStr">
        <is>
          <t>AI_DiffMult</t>
        </is>
      </c>
      <c r="L1" s="3" t="inlineStr">
        <is>
          <t>Reached_GameOver</t>
        </is>
      </c>
      <c r="M1" s="3" t="inlineStr">
        <is>
          <t>Post_FRA_Index</t>
        </is>
      </c>
      <c r="N1" s="3" t="inlineStr">
        <is>
          <t>Notes</t>
        </is>
      </c>
    </row>
  </sheetData>
  <dataValidations count="1">
    <dataValidation sqref="L2:L120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Participant_ID</t>
        </is>
      </c>
      <c r="B1" s="3" t="inlineStr">
        <is>
          <t>Session_No</t>
        </is>
      </c>
      <c r="C1" s="3" t="inlineStr">
        <is>
          <t>Play_Time_s</t>
        </is>
      </c>
      <c r="D1" s="3" t="inlineStr">
        <is>
          <t>Old_DiffMult</t>
        </is>
      </c>
      <c r="E1" s="3" t="inlineStr">
        <is>
          <t>New_DiffMult</t>
        </is>
      </c>
      <c r="F1" s="3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Participant_ID</t>
        </is>
      </c>
      <c r="B1" s="3" t="inlineStr">
        <is>
          <t>Q4_Date</t>
        </is>
      </c>
      <c r="C1" s="3" t="inlineStr">
        <is>
          <t>Q1_AI_Difficulty</t>
        </is>
      </c>
      <c r="D1" s="3" t="inlineStr">
        <is>
          <t>Q2_Persistence</t>
        </is>
      </c>
      <c r="E1" s="3" t="inlineStr">
        <is>
          <t>Q3_Features</t>
        </is>
      </c>
      <c r="F1" s="3" t="inlineStr">
        <is>
          <t>Q4_Enjoyment</t>
        </is>
      </c>
      <c r="G1" s="3" t="inlineStr">
        <is>
          <t>Q5_SelfEfficacy</t>
        </is>
      </c>
      <c r="H1" s="3" t="inlineStr">
        <is>
          <t>Q6_LearnReframe</t>
        </is>
      </c>
      <c r="I1" s="3" t="inlineStr">
        <is>
          <t>Q7_CoordFrame</t>
        </is>
      </c>
      <c r="J1" s="3" t="inlineStr">
        <is>
          <t>Q8_ReturnRecommend</t>
        </is>
      </c>
      <c r="K1" s="3" t="inlineStr">
        <is>
          <t>Q9_LikedMost</t>
        </is>
      </c>
      <c r="L1" s="3" t="inlineStr">
        <is>
          <t>Q9_WouldChange</t>
        </is>
      </c>
    </row>
  </sheetData>
  <dataValidations count="1">
    <dataValidation sqref="C2:J121" showDropDown="0" showInputMessage="0" showErrorMessage="1" allowBlank="1" error="Likert items must be 1-7 (set Config if using a 5-point scale)" type="whole" operator="between">
      <formula1>1</formula1>
      <formula2>7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21" customWidth="1" min="4" max="4"/>
    <col width="12" customWidth="1" min="5" max="5"/>
    <col width="16" customWidth="1" min="6" max="6"/>
    <col width="30" customWidth="1" min="7" max="7"/>
  </cols>
  <sheetData>
    <row r="1">
      <c r="A1" s="3" t="inlineStr">
        <is>
          <t>Participant_ID</t>
        </is>
      </c>
      <c r="B1" s="3" t="inlineStr">
        <is>
          <t>Staff_Dropout_Observed</t>
        </is>
      </c>
      <c r="C1" s="3" t="inlineStr">
        <is>
          <t>Dropout_Date</t>
        </is>
      </c>
      <c r="D1" s="3" t="inlineStr">
        <is>
          <t>Staff_Return_Observed</t>
        </is>
      </c>
      <c r="E1" s="3" t="inlineStr">
        <is>
          <t>Return_Date</t>
        </is>
      </c>
      <c r="F1" s="3" t="inlineStr">
        <is>
          <t>Observer_Initials</t>
        </is>
      </c>
      <c r="G1" s="3" t="inlineStr">
        <is>
          <t>Notes</t>
        </is>
      </c>
    </row>
    <row r="2">
      <c r="A2">
        <f>ENTRY_Participants!$A2</f>
        <v/>
      </c>
    </row>
    <row r="3">
      <c r="A3">
        <f>ENTRY_Participants!$A3</f>
        <v/>
      </c>
    </row>
    <row r="4">
      <c r="A4">
        <f>ENTRY_Participants!$A4</f>
        <v/>
      </c>
    </row>
    <row r="5">
      <c r="A5">
        <f>ENTRY_Participants!$A5</f>
        <v/>
      </c>
    </row>
    <row r="6">
      <c r="A6">
        <f>ENTRY_Participants!$A6</f>
        <v/>
      </c>
    </row>
    <row r="7">
      <c r="A7">
        <f>ENTRY_Participants!$A7</f>
        <v/>
      </c>
    </row>
    <row r="8">
      <c r="A8">
        <f>ENTRY_Participants!$A8</f>
        <v/>
      </c>
    </row>
    <row r="9">
      <c r="A9">
        <f>ENTRY_Participants!$A9</f>
        <v/>
      </c>
    </row>
    <row r="10">
      <c r="A10">
        <f>ENTRY_Participants!$A10</f>
        <v/>
      </c>
    </row>
    <row r="11">
      <c r="A11">
        <f>ENTRY_Participants!$A11</f>
        <v/>
      </c>
    </row>
    <row r="12">
      <c r="A12">
        <f>ENTRY_Participants!$A12</f>
        <v/>
      </c>
    </row>
    <row r="13">
      <c r="A13">
        <f>ENTRY_Participants!$A13</f>
        <v/>
      </c>
    </row>
    <row r="14">
      <c r="A14">
        <f>ENTRY_Participants!$A14</f>
        <v/>
      </c>
    </row>
    <row r="15">
      <c r="A15">
        <f>ENTRY_Participants!$A15</f>
        <v/>
      </c>
    </row>
    <row r="16">
      <c r="A16">
        <f>ENTRY_Participants!$A16</f>
        <v/>
      </c>
    </row>
    <row r="17">
      <c r="A17">
        <f>ENTRY_Participants!$A17</f>
        <v/>
      </c>
    </row>
    <row r="18">
      <c r="A18">
        <f>ENTRY_Participants!$A18</f>
        <v/>
      </c>
    </row>
    <row r="19">
      <c r="A19">
        <f>ENTRY_Participants!$A19</f>
        <v/>
      </c>
    </row>
    <row r="20">
      <c r="A20">
        <f>ENTRY_Participants!$A20</f>
        <v/>
      </c>
    </row>
    <row r="21">
      <c r="A21">
        <f>ENTRY_Participants!$A21</f>
        <v/>
      </c>
    </row>
    <row r="22">
      <c r="A22">
        <f>ENTRY_Participants!$A22</f>
        <v/>
      </c>
    </row>
    <row r="23">
      <c r="A23">
        <f>ENTRY_Participants!$A23</f>
        <v/>
      </c>
    </row>
    <row r="24">
      <c r="A24">
        <f>ENTRY_Participants!$A24</f>
        <v/>
      </c>
    </row>
    <row r="25">
      <c r="A25">
        <f>ENTRY_Participants!$A25</f>
        <v/>
      </c>
    </row>
    <row r="26">
      <c r="A26">
        <f>ENTRY_Participants!$A26</f>
        <v/>
      </c>
    </row>
    <row r="27">
      <c r="A27">
        <f>ENTRY_Participants!$A27</f>
        <v/>
      </c>
    </row>
    <row r="28">
      <c r="A28">
        <f>ENTRY_Participants!$A28</f>
        <v/>
      </c>
    </row>
    <row r="29">
      <c r="A29">
        <f>ENTRY_Participants!$A29</f>
        <v/>
      </c>
    </row>
    <row r="30">
      <c r="A30">
        <f>ENTRY_Participants!$A30</f>
        <v/>
      </c>
    </row>
    <row r="31">
      <c r="A31">
        <f>ENTRY_Participants!$A31</f>
        <v/>
      </c>
    </row>
    <row r="32">
      <c r="A32">
        <f>ENTRY_Participants!$A32</f>
        <v/>
      </c>
    </row>
    <row r="33">
      <c r="A33">
        <f>ENTRY_Participants!$A33</f>
        <v/>
      </c>
    </row>
    <row r="34">
      <c r="A34">
        <f>ENTRY_Participants!$A34</f>
        <v/>
      </c>
    </row>
    <row r="35">
      <c r="A35">
        <f>ENTRY_Participants!$A35</f>
        <v/>
      </c>
    </row>
    <row r="36">
      <c r="A36">
        <f>ENTRY_Participants!$A36</f>
        <v/>
      </c>
    </row>
    <row r="37">
      <c r="A37">
        <f>ENTRY_Participants!$A37</f>
        <v/>
      </c>
    </row>
    <row r="38">
      <c r="A38">
        <f>ENTRY_Participants!$A38</f>
        <v/>
      </c>
    </row>
    <row r="39">
      <c r="A39">
        <f>ENTRY_Participants!$A39</f>
        <v/>
      </c>
    </row>
    <row r="40">
      <c r="A40">
        <f>ENTRY_Participants!$A40</f>
        <v/>
      </c>
    </row>
    <row r="41">
      <c r="A41">
        <f>ENTRY_Participants!$A41</f>
        <v/>
      </c>
    </row>
    <row r="42">
      <c r="A42">
        <f>ENTRY_Participants!$A42</f>
        <v/>
      </c>
    </row>
    <row r="43">
      <c r="A43">
        <f>ENTRY_Participants!$A43</f>
        <v/>
      </c>
    </row>
    <row r="44">
      <c r="A44">
        <f>ENTRY_Participants!$A44</f>
        <v/>
      </c>
    </row>
    <row r="45">
      <c r="A45">
        <f>ENTRY_Participants!$A45</f>
        <v/>
      </c>
    </row>
    <row r="46">
      <c r="A46">
        <f>ENTRY_Participants!$A46</f>
        <v/>
      </c>
    </row>
    <row r="47">
      <c r="A47">
        <f>ENTRY_Participants!$A47</f>
        <v/>
      </c>
    </row>
    <row r="48">
      <c r="A48">
        <f>ENTRY_Participants!$A48</f>
        <v/>
      </c>
    </row>
    <row r="49">
      <c r="A49">
        <f>ENTRY_Participants!$A49</f>
        <v/>
      </c>
    </row>
    <row r="50">
      <c r="A50">
        <f>ENTRY_Participants!$A50</f>
        <v/>
      </c>
    </row>
    <row r="51">
      <c r="A51">
        <f>ENTRY_Participants!$A51</f>
        <v/>
      </c>
    </row>
    <row r="52">
      <c r="A52">
        <f>ENTRY_Participants!$A52</f>
        <v/>
      </c>
    </row>
    <row r="53">
      <c r="A53">
        <f>ENTRY_Participants!$A53</f>
        <v/>
      </c>
    </row>
    <row r="54">
      <c r="A54">
        <f>ENTRY_Participants!$A54</f>
        <v/>
      </c>
    </row>
    <row r="55">
      <c r="A55">
        <f>ENTRY_Participants!$A55</f>
        <v/>
      </c>
    </row>
    <row r="56">
      <c r="A56">
        <f>ENTRY_Participants!$A56</f>
        <v/>
      </c>
    </row>
    <row r="57">
      <c r="A57">
        <f>ENTRY_Participants!$A57</f>
        <v/>
      </c>
    </row>
    <row r="58">
      <c r="A58">
        <f>ENTRY_Participants!$A58</f>
        <v/>
      </c>
    </row>
    <row r="59">
      <c r="A59">
        <f>ENTRY_Participants!$A59</f>
        <v/>
      </c>
    </row>
    <row r="60">
      <c r="A60">
        <f>ENTRY_Participants!$A60</f>
        <v/>
      </c>
    </row>
    <row r="61">
      <c r="A61">
        <f>ENTRY_Participants!$A61</f>
        <v/>
      </c>
    </row>
    <row r="62">
      <c r="A62">
        <f>ENTRY_Participants!$A62</f>
        <v/>
      </c>
    </row>
    <row r="63">
      <c r="A63">
        <f>ENTRY_Participants!$A63</f>
        <v/>
      </c>
    </row>
    <row r="64">
      <c r="A64">
        <f>ENTRY_Participants!$A64</f>
        <v/>
      </c>
    </row>
    <row r="65">
      <c r="A65">
        <f>ENTRY_Participants!$A65</f>
        <v/>
      </c>
    </row>
    <row r="66">
      <c r="A66">
        <f>ENTRY_Participants!$A66</f>
        <v/>
      </c>
    </row>
    <row r="67">
      <c r="A67">
        <f>ENTRY_Participants!$A67</f>
        <v/>
      </c>
    </row>
    <row r="68">
      <c r="A68">
        <f>ENTRY_Participants!$A68</f>
        <v/>
      </c>
    </row>
    <row r="69">
      <c r="A69">
        <f>ENTRY_Participants!$A69</f>
        <v/>
      </c>
    </row>
    <row r="70">
      <c r="A70">
        <f>ENTRY_Participants!$A70</f>
        <v/>
      </c>
    </row>
    <row r="71">
      <c r="A71">
        <f>ENTRY_Participants!$A71</f>
        <v/>
      </c>
    </row>
    <row r="72">
      <c r="A72">
        <f>ENTRY_Participants!$A72</f>
        <v/>
      </c>
    </row>
    <row r="73">
      <c r="A73">
        <f>ENTRY_Participants!$A73</f>
        <v/>
      </c>
    </row>
    <row r="74">
      <c r="A74">
        <f>ENTRY_Participants!$A74</f>
        <v/>
      </c>
    </row>
    <row r="75">
      <c r="A75">
        <f>ENTRY_Participants!$A75</f>
        <v/>
      </c>
    </row>
    <row r="76">
      <c r="A76">
        <f>ENTRY_Participants!$A76</f>
        <v/>
      </c>
    </row>
    <row r="77">
      <c r="A77">
        <f>ENTRY_Participants!$A77</f>
        <v/>
      </c>
    </row>
    <row r="78">
      <c r="A78">
        <f>ENTRY_Participants!$A78</f>
        <v/>
      </c>
    </row>
    <row r="79">
      <c r="A79">
        <f>ENTRY_Participants!$A79</f>
        <v/>
      </c>
    </row>
    <row r="80">
      <c r="A80">
        <f>ENTRY_Participants!$A80</f>
        <v/>
      </c>
    </row>
    <row r="81">
      <c r="A81">
        <f>ENTRY_Participants!$A81</f>
        <v/>
      </c>
    </row>
    <row r="82">
      <c r="A82">
        <f>ENTRY_Participants!$A82</f>
        <v/>
      </c>
    </row>
    <row r="83">
      <c r="A83">
        <f>ENTRY_Participants!$A83</f>
        <v/>
      </c>
    </row>
    <row r="84">
      <c r="A84">
        <f>ENTRY_Participants!$A84</f>
        <v/>
      </c>
    </row>
    <row r="85">
      <c r="A85">
        <f>ENTRY_Participants!$A85</f>
        <v/>
      </c>
    </row>
    <row r="86">
      <c r="A86">
        <f>ENTRY_Participants!$A86</f>
        <v/>
      </c>
    </row>
    <row r="87">
      <c r="A87">
        <f>ENTRY_Participants!$A87</f>
        <v/>
      </c>
    </row>
    <row r="88">
      <c r="A88">
        <f>ENTRY_Participants!$A88</f>
        <v/>
      </c>
    </row>
    <row r="89">
      <c r="A89">
        <f>ENTRY_Participants!$A89</f>
        <v/>
      </c>
    </row>
    <row r="90">
      <c r="A90">
        <f>ENTRY_Participants!$A90</f>
        <v/>
      </c>
    </row>
    <row r="91">
      <c r="A91">
        <f>ENTRY_Participants!$A91</f>
        <v/>
      </c>
    </row>
    <row r="92">
      <c r="A92">
        <f>ENTRY_Participants!$A92</f>
        <v/>
      </c>
    </row>
    <row r="93">
      <c r="A93">
        <f>ENTRY_Participants!$A93</f>
        <v/>
      </c>
    </row>
    <row r="94">
      <c r="A94">
        <f>ENTRY_Participants!$A94</f>
        <v/>
      </c>
    </row>
    <row r="95">
      <c r="A95">
        <f>ENTRY_Participants!$A95</f>
        <v/>
      </c>
    </row>
    <row r="96">
      <c r="A96">
        <f>ENTRY_Participants!$A96</f>
        <v/>
      </c>
    </row>
    <row r="97">
      <c r="A97">
        <f>ENTRY_Participants!$A97</f>
        <v/>
      </c>
    </row>
    <row r="98">
      <c r="A98">
        <f>ENTRY_Participants!$A98</f>
        <v/>
      </c>
    </row>
    <row r="99">
      <c r="A99">
        <f>ENTRY_Participants!$A99</f>
        <v/>
      </c>
    </row>
    <row r="100">
      <c r="A100">
        <f>ENTRY_Participants!$A100</f>
        <v/>
      </c>
    </row>
    <row r="101">
      <c r="A101">
        <f>ENTRY_Participants!$A101</f>
        <v/>
      </c>
    </row>
    <row r="102">
      <c r="A102">
        <f>ENTRY_Participants!$A102</f>
        <v/>
      </c>
    </row>
    <row r="103">
      <c r="A103">
        <f>ENTRY_Participants!$A103</f>
        <v/>
      </c>
    </row>
    <row r="104">
      <c r="A104">
        <f>ENTRY_Participants!$A104</f>
        <v/>
      </c>
    </row>
    <row r="105">
      <c r="A105">
        <f>ENTRY_Participants!$A105</f>
        <v/>
      </c>
    </row>
    <row r="106">
      <c r="A106">
        <f>ENTRY_Participants!$A106</f>
        <v/>
      </c>
    </row>
    <row r="107">
      <c r="A107">
        <f>ENTRY_Participants!$A107</f>
        <v/>
      </c>
    </row>
    <row r="108">
      <c r="A108">
        <f>ENTRY_Participants!$A108</f>
        <v/>
      </c>
    </row>
    <row r="109">
      <c r="A109">
        <f>ENTRY_Participants!$A109</f>
        <v/>
      </c>
    </row>
    <row r="110">
      <c r="A110">
        <f>ENTRY_Participants!$A110</f>
        <v/>
      </c>
    </row>
    <row r="111">
      <c r="A111">
        <f>ENTRY_Participants!$A111</f>
        <v/>
      </c>
    </row>
    <row r="112">
      <c r="A112">
        <f>ENTRY_Participants!$A112</f>
        <v/>
      </c>
    </row>
    <row r="113">
      <c r="A113">
        <f>ENTRY_Participants!$A113</f>
        <v/>
      </c>
    </row>
    <row r="114">
      <c r="A114">
        <f>ENTRY_Participants!$A114</f>
        <v/>
      </c>
    </row>
    <row r="115">
      <c r="A115">
        <f>ENTRY_Participants!$A115</f>
        <v/>
      </c>
    </row>
    <row r="116">
      <c r="A116">
        <f>ENTRY_Participants!$A116</f>
        <v/>
      </c>
    </row>
    <row r="117">
      <c r="A117">
        <f>ENTRY_Participants!$A117</f>
        <v/>
      </c>
    </row>
    <row r="118">
      <c r="A118">
        <f>ENTRY_Participants!$A118</f>
        <v/>
      </c>
    </row>
    <row r="119">
      <c r="A119">
        <f>ENTRY_Participants!$A119</f>
        <v/>
      </c>
    </row>
    <row r="120">
      <c r="A120">
        <f>ENTRY_Participants!$A120</f>
        <v/>
      </c>
    </row>
    <row r="121">
      <c r="A121">
        <f>ENTRY_Participants!$A121</f>
        <v/>
      </c>
    </row>
  </sheetData>
  <dataValidations count="1">
    <dataValidation sqref="B2:B121 D2:D12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4" customWidth="1" min="4" max="4"/>
    <col width="26" customWidth="1" min="5" max="5"/>
    <col width="22" customWidth="1" min="6" max="6"/>
    <col width="21" customWidth="1" min="7" max="7"/>
    <col width="20" customWidth="1" min="8" max="8"/>
    <col width="19" customWidth="1" min="9" max="9"/>
    <col width="21" customWidth="1" min="10" max="10"/>
    <col width="13" customWidth="1" min="11" max="11"/>
    <col width="17" customWidth="1" min="12" max="12"/>
    <col width="17" customWidth="1" min="13" max="13"/>
    <col width="17" customWidth="1" min="14" max="14"/>
    <col width="15" customWidth="1" min="15" max="15"/>
    <col width="16" customWidth="1" min="16" max="16"/>
  </cols>
  <sheetData>
    <row r="1">
      <c r="A1" s="3" t="inlineStr">
        <is>
          <t>Participant_ID</t>
        </is>
      </c>
      <c r="B1" s="3" t="inlineStr">
        <is>
          <t>Sessions_Total</t>
        </is>
      </c>
      <c r="C1" s="3" t="inlineStr">
        <is>
          <t>Completed_Session1</t>
        </is>
      </c>
      <c r="D1" s="3" t="inlineStr">
        <is>
          <t>First_Stint (formula approx)</t>
        </is>
      </c>
      <c r="E1" s="3" t="inlineStr">
        <is>
          <t>Telemetry_InSession_Retention</t>
        </is>
      </c>
      <c r="F1" s="3" t="inlineStr">
        <is>
          <t>Telemetry_Dropout_Signal</t>
        </is>
      </c>
      <c r="G1" s="3" t="inlineStr">
        <is>
          <t>Staff_Dropout_Observed</t>
        </is>
      </c>
      <c r="H1" s="3" t="inlineStr">
        <is>
          <t>Staff_Return_Observed</t>
        </is>
      </c>
      <c r="I1" s="3" t="inlineStr">
        <is>
          <t>FINAL_Initial_Dropout</t>
        </is>
      </c>
      <c r="J1" s="3" t="inlineStr">
        <is>
          <t>FINAL_Voluntary_Return</t>
        </is>
      </c>
      <c r="K1" s="3" t="inlineStr">
        <is>
          <t>Coord_Endorse</t>
        </is>
      </c>
      <c r="L1" s="3" t="inlineStr">
        <is>
          <t>Regular_Use_Intent</t>
        </is>
      </c>
      <c r="M1" s="3" t="inlineStr">
        <is>
          <t>Last_Post_FRA_Index</t>
        </is>
      </c>
      <c r="N1" s="3" t="inlineStr">
        <is>
          <t>Post_minus_Pre_FRA</t>
        </is>
      </c>
      <c r="O1" s="3" t="inlineStr">
        <is>
          <t>Script_First_Stint</t>
        </is>
      </c>
      <c r="P1" s="3" t="inlineStr">
        <is>
          <t>Script_Stint_Return</t>
        </is>
      </c>
    </row>
    <row r="2">
      <c r="A2">
        <f>ENTRY_Participants!$A2</f>
        <v/>
      </c>
      <c r="B2" s="4">
        <f>COUNTIF(RAW_Sessions!$A$2:$A$1201,ENTRY_Participants!$A2)</f>
        <v/>
      </c>
      <c r="C2" s="4">
        <f>IF(COUNTIFS(RAW_Sessions!$A$2:$A$1201,ENTRY_Participants!$A2,RAW_Sessions!$B$2:$B$1201,1)&gt;0,TRUE,FALSE)</f>
        <v/>
      </c>
      <c r="D2" s="4">
        <f>IF(B2=0,0,COUNTIFS(RAW_Sessions!$A$2:$A$1201,ENTRY_Participants!$A2,RAW_Sessions!$C$2:$C$1201,"&lt;="&amp;MINIFS(RAW_Sessions!$C$2:$C$1201,RAW_Sessions!$A$2:$A$1201,ENTRY_Participants!$A2)+RETURN_GAP_DAYS*FIVE_ATTEMPTS))</f>
        <v/>
      </c>
      <c r="E2" s="4">
        <f>IF(B2=0,FALSE,COUNTIFS(RAW_Sessions!$A$2:$A$1201,ENTRY_Participants!$A2,RAW_Sessions!$B$2:$B$1201,"&lt;="&amp;FIVE_ATTEMPTS)&gt;=FIVE_ATTEMPTS)</f>
        <v/>
      </c>
      <c r="F2" s="4">
        <f>IF(B2=0,FALSE,NOT(E2))</f>
        <v/>
      </c>
      <c r="G2" s="4">
        <f>IF(ENTRY_Observations!$B2="","",ENTRY_Observations!$B2)</f>
        <v/>
      </c>
      <c r="H2" s="4">
        <f>IF(ENTRY_Observations!$D2="","",ENTRY_Observations!$D2)</f>
        <v/>
      </c>
      <c r="I2" s="4">
        <f>IF(G2&lt;&gt;"",G2,F2)</f>
        <v/>
      </c>
      <c r="J2" s="4">
        <f>IF(H2&lt;&gt;"",H2,IF(I2=FALSE,FALSE,P2))</f>
        <v/>
      </c>
      <c r="K2" s="4">
        <f>IF(COUNTIF(RAW_Questionnaire!$A$2:$A$121,ENTRY_Participants!$A2)=0,"",IF(SUMIFS(RAW_Questionnaire!$I$2:$I$121,RAW_Questionnaire!$A$2:$A$121,ENTRY_Participants!$A2)&gt;=ENDORSE_THRESHOLD,TRUE,FALSE))</f>
        <v/>
      </c>
      <c r="L2" s="4">
        <f>IF(COUNTIF(RAW_Questionnaire!$A$2:$A$121,ENTRY_Participants!$A2)=0,"",IF(SUMIFS(RAW_Questionnaire!$J$2:$J$121,RAW_Questionnaire!$A$2:$A$121,ENTRY_Participants!$A2)&gt;=INTENT_THRESHOLD,TRUE,FALSE))</f>
        <v/>
      </c>
      <c r="M2" s="4">
        <f>IFERROR(LOOKUP(2,1/((RAW_Sessions!$A$2:$A$1201=ENTRY_Participants!$A2)*(RAW_Sessions!$M$2:$M$1201&lt;&gt;"")),RAW_Sessions!$M$2:$M$1201),"")</f>
        <v/>
      </c>
      <c r="N2" s="4">
        <f>IF(OR(M2="",ENTRY_Participants!$I2=""),"",M2-ENTRY_Participants!$I2)</f>
        <v/>
      </c>
    </row>
    <row r="3">
      <c r="A3">
        <f>ENTRY_Participants!$A3</f>
        <v/>
      </c>
      <c r="B3" s="4">
        <f>COUNTIF(RAW_Sessions!$A$2:$A$1201,ENTRY_Participants!$A3)</f>
        <v/>
      </c>
      <c r="C3" s="4">
        <f>IF(COUNTIFS(RAW_Sessions!$A$2:$A$1201,ENTRY_Participants!$A3,RAW_Sessions!$B$2:$B$1201,1)&gt;0,TRUE,FALSE)</f>
        <v/>
      </c>
      <c r="D3" s="4">
        <f>IF(B3=0,0,COUNTIFS(RAW_Sessions!$A$2:$A$1201,ENTRY_Participants!$A3,RAW_Sessions!$C$2:$C$1201,"&lt;="&amp;MINIFS(RAW_Sessions!$C$2:$C$1201,RAW_Sessions!$A$2:$A$1201,ENTRY_Participants!$A3)+RETURN_GAP_DAYS*FIVE_ATTEMPTS))</f>
        <v/>
      </c>
      <c r="E3" s="4">
        <f>IF(B3=0,FALSE,COUNTIFS(RAW_Sessions!$A$2:$A$1201,ENTRY_Participants!$A3,RAW_Sessions!$B$2:$B$1201,"&lt;="&amp;FIVE_ATTEMPTS)&gt;=FIVE_ATTEMPTS)</f>
        <v/>
      </c>
      <c r="F3" s="4">
        <f>IF(B3=0,FALSE,NOT(E3))</f>
        <v/>
      </c>
      <c r="G3" s="4">
        <f>IF(ENTRY_Observations!$B3="","",ENTRY_Observations!$B3)</f>
        <v/>
      </c>
      <c r="H3" s="4">
        <f>IF(ENTRY_Observations!$D3="","",ENTRY_Observations!$D3)</f>
        <v/>
      </c>
      <c r="I3" s="4">
        <f>IF(G3&lt;&gt;"",G3,F3)</f>
        <v/>
      </c>
      <c r="J3" s="4">
        <f>IF(H3&lt;&gt;"",H3,IF(I3=FALSE,FALSE,P3))</f>
        <v/>
      </c>
      <c r="K3" s="4">
        <f>IF(COUNTIF(RAW_Questionnaire!$A$2:$A$121,ENTRY_Participants!$A3)=0,"",IF(SUMIFS(RAW_Questionnaire!$I$2:$I$121,RAW_Questionnaire!$A$2:$A$121,ENTRY_Participants!$A3)&gt;=ENDORSE_THRESHOLD,TRUE,FALSE))</f>
        <v/>
      </c>
      <c r="L3" s="4">
        <f>IF(COUNTIF(RAW_Questionnaire!$A$2:$A$121,ENTRY_Participants!$A3)=0,"",IF(SUMIFS(RAW_Questionnaire!$J$2:$J$121,RAW_Questionnaire!$A$2:$A$121,ENTRY_Participants!$A3)&gt;=INTENT_THRESHOLD,TRUE,FALSE))</f>
        <v/>
      </c>
      <c r="M3" s="4">
        <f>IFERROR(LOOKUP(2,1/((RAW_Sessions!$A$2:$A$1201=ENTRY_Participants!$A3)*(RAW_Sessions!$M$2:$M$1201&lt;&gt;"")),RAW_Sessions!$M$2:$M$1201),"")</f>
        <v/>
      </c>
      <c r="N3" s="4">
        <f>IF(OR(M3="",ENTRY_Participants!$I3=""),"",M3-ENTRY_Participants!$I3)</f>
        <v/>
      </c>
    </row>
    <row r="4">
      <c r="A4">
        <f>ENTRY_Participants!$A4</f>
        <v/>
      </c>
      <c r="B4" s="4">
        <f>COUNTIF(RAW_Sessions!$A$2:$A$1201,ENTRY_Participants!$A4)</f>
        <v/>
      </c>
      <c r="C4" s="4">
        <f>IF(COUNTIFS(RAW_Sessions!$A$2:$A$1201,ENTRY_Participants!$A4,RAW_Sessions!$B$2:$B$1201,1)&gt;0,TRUE,FALSE)</f>
        <v/>
      </c>
      <c r="D4" s="4">
        <f>IF(B4=0,0,COUNTIFS(RAW_Sessions!$A$2:$A$1201,ENTRY_Participants!$A4,RAW_Sessions!$C$2:$C$1201,"&lt;="&amp;MINIFS(RAW_Sessions!$C$2:$C$1201,RAW_Sessions!$A$2:$A$1201,ENTRY_Participants!$A4)+RETURN_GAP_DAYS*FIVE_ATTEMPTS))</f>
        <v/>
      </c>
      <c r="E4" s="4">
        <f>IF(B4=0,FALSE,COUNTIFS(RAW_Sessions!$A$2:$A$1201,ENTRY_Participants!$A4,RAW_Sessions!$B$2:$B$1201,"&lt;="&amp;FIVE_ATTEMPTS)&gt;=FIVE_ATTEMPTS)</f>
        <v/>
      </c>
      <c r="F4" s="4">
        <f>IF(B4=0,FALSE,NOT(E4))</f>
        <v/>
      </c>
      <c r="G4" s="4">
        <f>IF(ENTRY_Observations!$B4="","",ENTRY_Observations!$B4)</f>
        <v/>
      </c>
      <c r="H4" s="4">
        <f>IF(ENTRY_Observations!$D4="","",ENTRY_Observations!$D4)</f>
        <v/>
      </c>
      <c r="I4" s="4">
        <f>IF(G4&lt;&gt;"",G4,F4)</f>
        <v/>
      </c>
      <c r="J4" s="4">
        <f>IF(H4&lt;&gt;"",H4,IF(I4=FALSE,FALSE,P4))</f>
        <v/>
      </c>
      <c r="K4" s="4">
        <f>IF(COUNTIF(RAW_Questionnaire!$A$2:$A$121,ENTRY_Participants!$A4)=0,"",IF(SUMIFS(RAW_Questionnaire!$I$2:$I$121,RAW_Questionnaire!$A$2:$A$121,ENTRY_Participants!$A4)&gt;=ENDORSE_THRESHOLD,TRUE,FALSE))</f>
        <v/>
      </c>
      <c r="L4" s="4">
        <f>IF(COUNTIF(RAW_Questionnaire!$A$2:$A$121,ENTRY_Participants!$A4)=0,"",IF(SUMIFS(RAW_Questionnaire!$J$2:$J$121,RAW_Questionnaire!$A$2:$A$121,ENTRY_Participants!$A4)&gt;=INTENT_THRESHOLD,TRUE,FALSE))</f>
        <v/>
      </c>
      <c r="M4" s="4">
        <f>IFERROR(LOOKUP(2,1/((RAW_Sessions!$A$2:$A$1201=ENTRY_Participants!$A4)*(RAW_Sessions!$M$2:$M$1201&lt;&gt;"")),RAW_Sessions!$M$2:$M$1201),"")</f>
        <v/>
      </c>
      <c r="N4" s="4">
        <f>IF(OR(M4="",ENTRY_Participants!$I4=""),"",M4-ENTRY_Participants!$I4)</f>
        <v/>
      </c>
    </row>
    <row r="5">
      <c r="A5">
        <f>ENTRY_Participants!$A5</f>
        <v/>
      </c>
      <c r="B5" s="4">
        <f>COUNTIF(RAW_Sessions!$A$2:$A$1201,ENTRY_Participants!$A5)</f>
        <v/>
      </c>
      <c r="C5" s="4">
        <f>IF(COUNTIFS(RAW_Sessions!$A$2:$A$1201,ENTRY_Participants!$A5,RAW_Sessions!$B$2:$B$1201,1)&gt;0,TRUE,FALSE)</f>
        <v/>
      </c>
      <c r="D5" s="4">
        <f>IF(B5=0,0,COUNTIFS(RAW_Sessions!$A$2:$A$1201,ENTRY_Participants!$A5,RAW_Sessions!$C$2:$C$1201,"&lt;="&amp;MINIFS(RAW_Sessions!$C$2:$C$1201,RAW_Sessions!$A$2:$A$1201,ENTRY_Participants!$A5)+RETURN_GAP_DAYS*FIVE_ATTEMPTS))</f>
        <v/>
      </c>
      <c r="E5" s="4">
        <f>IF(B5=0,FALSE,COUNTIFS(RAW_Sessions!$A$2:$A$1201,ENTRY_Participants!$A5,RAW_Sessions!$B$2:$B$1201,"&lt;="&amp;FIVE_ATTEMPTS)&gt;=FIVE_ATTEMPTS)</f>
        <v/>
      </c>
      <c r="F5" s="4">
        <f>IF(B5=0,FALSE,NOT(E5))</f>
        <v/>
      </c>
      <c r="G5" s="4">
        <f>IF(ENTRY_Observations!$B5="","",ENTRY_Observations!$B5)</f>
        <v/>
      </c>
      <c r="H5" s="4">
        <f>IF(ENTRY_Observations!$D5="","",ENTRY_Observations!$D5)</f>
        <v/>
      </c>
      <c r="I5" s="4">
        <f>IF(G5&lt;&gt;"",G5,F5)</f>
        <v/>
      </c>
      <c r="J5" s="4">
        <f>IF(H5&lt;&gt;"",H5,IF(I5=FALSE,FALSE,P5))</f>
        <v/>
      </c>
      <c r="K5" s="4">
        <f>IF(COUNTIF(RAW_Questionnaire!$A$2:$A$121,ENTRY_Participants!$A5)=0,"",IF(SUMIFS(RAW_Questionnaire!$I$2:$I$121,RAW_Questionnaire!$A$2:$A$121,ENTRY_Participants!$A5)&gt;=ENDORSE_THRESHOLD,TRUE,FALSE))</f>
        <v/>
      </c>
      <c r="L5" s="4">
        <f>IF(COUNTIF(RAW_Questionnaire!$A$2:$A$121,ENTRY_Participants!$A5)=0,"",IF(SUMIFS(RAW_Questionnaire!$J$2:$J$121,RAW_Questionnaire!$A$2:$A$121,ENTRY_Participants!$A5)&gt;=INTENT_THRESHOLD,TRUE,FALSE))</f>
        <v/>
      </c>
      <c r="M5" s="4">
        <f>IFERROR(LOOKUP(2,1/((RAW_Sessions!$A$2:$A$1201=ENTRY_Participants!$A5)*(RAW_Sessions!$M$2:$M$1201&lt;&gt;"")),RAW_Sessions!$M$2:$M$1201),"")</f>
        <v/>
      </c>
      <c r="N5" s="4">
        <f>IF(OR(M5="",ENTRY_Participants!$I5=""),"",M5-ENTRY_Participants!$I5)</f>
        <v/>
      </c>
    </row>
    <row r="6">
      <c r="A6">
        <f>ENTRY_Participants!$A6</f>
        <v/>
      </c>
      <c r="B6" s="4">
        <f>COUNTIF(RAW_Sessions!$A$2:$A$1201,ENTRY_Participants!$A6)</f>
        <v/>
      </c>
      <c r="C6" s="4">
        <f>IF(COUNTIFS(RAW_Sessions!$A$2:$A$1201,ENTRY_Participants!$A6,RAW_Sessions!$B$2:$B$1201,1)&gt;0,TRUE,FALSE)</f>
        <v/>
      </c>
      <c r="D6" s="4">
        <f>IF(B6=0,0,COUNTIFS(RAW_Sessions!$A$2:$A$1201,ENTRY_Participants!$A6,RAW_Sessions!$C$2:$C$1201,"&lt;="&amp;MINIFS(RAW_Sessions!$C$2:$C$1201,RAW_Sessions!$A$2:$A$1201,ENTRY_Participants!$A6)+RETURN_GAP_DAYS*FIVE_ATTEMPTS))</f>
        <v/>
      </c>
      <c r="E6" s="4">
        <f>IF(B6=0,FALSE,COUNTIFS(RAW_Sessions!$A$2:$A$1201,ENTRY_Participants!$A6,RAW_Sessions!$B$2:$B$1201,"&lt;="&amp;FIVE_ATTEMPTS)&gt;=FIVE_ATTEMPTS)</f>
        <v/>
      </c>
      <c r="F6" s="4">
        <f>IF(B6=0,FALSE,NOT(E6))</f>
        <v/>
      </c>
      <c r="G6" s="4">
        <f>IF(ENTRY_Observations!$B6="","",ENTRY_Observations!$B6)</f>
        <v/>
      </c>
      <c r="H6" s="4">
        <f>IF(ENTRY_Observations!$D6="","",ENTRY_Observations!$D6)</f>
        <v/>
      </c>
      <c r="I6" s="4">
        <f>IF(G6&lt;&gt;"",G6,F6)</f>
        <v/>
      </c>
      <c r="J6" s="4">
        <f>IF(H6&lt;&gt;"",H6,IF(I6=FALSE,FALSE,P6))</f>
        <v/>
      </c>
      <c r="K6" s="4">
        <f>IF(COUNTIF(RAW_Questionnaire!$A$2:$A$121,ENTRY_Participants!$A6)=0,"",IF(SUMIFS(RAW_Questionnaire!$I$2:$I$121,RAW_Questionnaire!$A$2:$A$121,ENTRY_Participants!$A6)&gt;=ENDORSE_THRESHOLD,TRUE,FALSE))</f>
        <v/>
      </c>
      <c r="L6" s="4">
        <f>IF(COUNTIF(RAW_Questionnaire!$A$2:$A$121,ENTRY_Participants!$A6)=0,"",IF(SUMIFS(RAW_Questionnaire!$J$2:$J$121,RAW_Questionnaire!$A$2:$A$121,ENTRY_Participants!$A6)&gt;=INTENT_THRESHOLD,TRUE,FALSE))</f>
        <v/>
      </c>
      <c r="M6" s="4">
        <f>IFERROR(LOOKUP(2,1/((RAW_Sessions!$A$2:$A$1201=ENTRY_Participants!$A6)*(RAW_Sessions!$M$2:$M$1201&lt;&gt;"")),RAW_Sessions!$M$2:$M$1201),"")</f>
        <v/>
      </c>
      <c r="N6" s="4">
        <f>IF(OR(M6="",ENTRY_Participants!$I6=""),"",M6-ENTRY_Participants!$I6)</f>
        <v/>
      </c>
    </row>
    <row r="7">
      <c r="A7">
        <f>ENTRY_Participants!$A7</f>
        <v/>
      </c>
      <c r="B7" s="4">
        <f>COUNTIF(RAW_Sessions!$A$2:$A$1201,ENTRY_Participants!$A7)</f>
        <v/>
      </c>
      <c r="C7" s="4">
        <f>IF(COUNTIFS(RAW_Sessions!$A$2:$A$1201,ENTRY_Participants!$A7,RAW_Sessions!$B$2:$B$1201,1)&gt;0,TRUE,FALSE)</f>
        <v/>
      </c>
      <c r="D7" s="4">
        <f>IF(B7=0,0,COUNTIFS(RAW_Sessions!$A$2:$A$1201,ENTRY_Participants!$A7,RAW_Sessions!$C$2:$C$1201,"&lt;="&amp;MINIFS(RAW_Sessions!$C$2:$C$1201,RAW_Sessions!$A$2:$A$1201,ENTRY_Participants!$A7)+RETURN_GAP_DAYS*FIVE_ATTEMPTS))</f>
        <v/>
      </c>
      <c r="E7" s="4">
        <f>IF(B7=0,FALSE,COUNTIFS(RAW_Sessions!$A$2:$A$1201,ENTRY_Participants!$A7,RAW_Sessions!$B$2:$B$1201,"&lt;="&amp;FIVE_ATTEMPTS)&gt;=FIVE_ATTEMPTS)</f>
        <v/>
      </c>
      <c r="F7" s="4">
        <f>IF(B7=0,FALSE,NOT(E7))</f>
        <v/>
      </c>
      <c r="G7" s="4">
        <f>IF(ENTRY_Observations!$B7="","",ENTRY_Observations!$B7)</f>
        <v/>
      </c>
      <c r="H7" s="4">
        <f>IF(ENTRY_Observations!$D7="","",ENTRY_Observations!$D7)</f>
        <v/>
      </c>
      <c r="I7" s="4">
        <f>IF(G7&lt;&gt;"",G7,F7)</f>
        <v/>
      </c>
      <c r="J7" s="4">
        <f>IF(H7&lt;&gt;"",H7,IF(I7=FALSE,FALSE,P7))</f>
        <v/>
      </c>
      <c r="K7" s="4">
        <f>IF(COUNTIF(RAW_Questionnaire!$A$2:$A$121,ENTRY_Participants!$A7)=0,"",IF(SUMIFS(RAW_Questionnaire!$I$2:$I$121,RAW_Questionnaire!$A$2:$A$121,ENTRY_Participants!$A7)&gt;=ENDORSE_THRESHOLD,TRUE,FALSE))</f>
        <v/>
      </c>
      <c r="L7" s="4">
        <f>IF(COUNTIF(RAW_Questionnaire!$A$2:$A$121,ENTRY_Participants!$A7)=0,"",IF(SUMIFS(RAW_Questionnaire!$J$2:$J$121,RAW_Questionnaire!$A$2:$A$121,ENTRY_Participants!$A7)&gt;=INTENT_THRESHOLD,TRUE,FALSE))</f>
        <v/>
      </c>
      <c r="M7" s="4">
        <f>IFERROR(LOOKUP(2,1/((RAW_Sessions!$A$2:$A$1201=ENTRY_Participants!$A7)*(RAW_Sessions!$M$2:$M$1201&lt;&gt;"")),RAW_Sessions!$M$2:$M$1201),"")</f>
        <v/>
      </c>
      <c r="N7" s="4">
        <f>IF(OR(M7="",ENTRY_Participants!$I7=""),"",M7-ENTRY_Participants!$I7)</f>
        <v/>
      </c>
    </row>
    <row r="8">
      <c r="A8">
        <f>ENTRY_Participants!$A8</f>
        <v/>
      </c>
      <c r="B8" s="4">
        <f>COUNTIF(RAW_Sessions!$A$2:$A$1201,ENTRY_Participants!$A8)</f>
        <v/>
      </c>
      <c r="C8" s="4">
        <f>IF(COUNTIFS(RAW_Sessions!$A$2:$A$1201,ENTRY_Participants!$A8,RAW_Sessions!$B$2:$B$1201,1)&gt;0,TRUE,FALSE)</f>
        <v/>
      </c>
      <c r="D8" s="4">
        <f>IF(B8=0,0,COUNTIFS(RAW_Sessions!$A$2:$A$1201,ENTRY_Participants!$A8,RAW_Sessions!$C$2:$C$1201,"&lt;="&amp;MINIFS(RAW_Sessions!$C$2:$C$1201,RAW_Sessions!$A$2:$A$1201,ENTRY_Participants!$A8)+RETURN_GAP_DAYS*FIVE_ATTEMPTS))</f>
        <v/>
      </c>
      <c r="E8" s="4">
        <f>IF(B8=0,FALSE,COUNTIFS(RAW_Sessions!$A$2:$A$1201,ENTRY_Participants!$A8,RAW_Sessions!$B$2:$B$1201,"&lt;="&amp;FIVE_ATTEMPTS)&gt;=FIVE_ATTEMPTS)</f>
        <v/>
      </c>
      <c r="F8" s="4">
        <f>IF(B8=0,FALSE,NOT(E8))</f>
        <v/>
      </c>
      <c r="G8" s="4">
        <f>IF(ENTRY_Observations!$B8="","",ENTRY_Observations!$B8)</f>
        <v/>
      </c>
      <c r="H8" s="4">
        <f>IF(ENTRY_Observations!$D8="","",ENTRY_Observations!$D8)</f>
        <v/>
      </c>
      <c r="I8" s="4">
        <f>IF(G8&lt;&gt;"",G8,F8)</f>
        <v/>
      </c>
      <c r="J8" s="4">
        <f>IF(H8&lt;&gt;"",H8,IF(I8=FALSE,FALSE,P8))</f>
        <v/>
      </c>
      <c r="K8" s="4">
        <f>IF(COUNTIF(RAW_Questionnaire!$A$2:$A$121,ENTRY_Participants!$A8)=0,"",IF(SUMIFS(RAW_Questionnaire!$I$2:$I$121,RAW_Questionnaire!$A$2:$A$121,ENTRY_Participants!$A8)&gt;=ENDORSE_THRESHOLD,TRUE,FALSE))</f>
        <v/>
      </c>
      <c r="L8" s="4">
        <f>IF(COUNTIF(RAW_Questionnaire!$A$2:$A$121,ENTRY_Participants!$A8)=0,"",IF(SUMIFS(RAW_Questionnaire!$J$2:$J$121,RAW_Questionnaire!$A$2:$A$121,ENTRY_Participants!$A8)&gt;=INTENT_THRESHOLD,TRUE,FALSE))</f>
        <v/>
      </c>
      <c r="M8" s="4">
        <f>IFERROR(LOOKUP(2,1/((RAW_Sessions!$A$2:$A$1201=ENTRY_Participants!$A8)*(RAW_Sessions!$M$2:$M$1201&lt;&gt;"")),RAW_Sessions!$M$2:$M$1201),"")</f>
        <v/>
      </c>
      <c r="N8" s="4">
        <f>IF(OR(M8="",ENTRY_Participants!$I8=""),"",M8-ENTRY_Participants!$I8)</f>
        <v/>
      </c>
    </row>
    <row r="9">
      <c r="A9">
        <f>ENTRY_Participants!$A9</f>
        <v/>
      </c>
      <c r="B9" s="4">
        <f>COUNTIF(RAW_Sessions!$A$2:$A$1201,ENTRY_Participants!$A9)</f>
        <v/>
      </c>
      <c r="C9" s="4">
        <f>IF(COUNTIFS(RAW_Sessions!$A$2:$A$1201,ENTRY_Participants!$A9,RAW_Sessions!$B$2:$B$1201,1)&gt;0,TRUE,FALSE)</f>
        <v/>
      </c>
      <c r="D9" s="4">
        <f>IF(B9=0,0,COUNTIFS(RAW_Sessions!$A$2:$A$1201,ENTRY_Participants!$A9,RAW_Sessions!$C$2:$C$1201,"&lt;="&amp;MINIFS(RAW_Sessions!$C$2:$C$1201,RAW_Sessions!$A$2:$A$1201,ENTRY_Participants!$A9)+RETURN_GAP_DAYS*FIVE_ATTEMPTS))</f>
        <v/>
      </c>
      <c r="E9" s="4">
        <f>IF(B9=0,FALSE,COUNTIFS(RAW_Sessions!$A$2:$A$1201,ENTRY_Participants!$A9,RAW_Sessions!$B$2:$B$1201,"&lt;="&amp;FIVE_ATTEMPTS)&gt;=FIVE_ATTEMPTS)</f>
        <v/>
      </c>
      <c r="F9" s="4">
        <f>IF(B9=0,FALSE,NOT(E9))</f>
        <v/>
      </c>
      <c r="G9" s="4">
        <f>IF(ENTRY_Observations!$B9="","",ENTRY_Observations!$B9)</f>
        <v/>
      </c>
      <c r="H9" s="4">
        <f>IF(ENTRY_Observations!$D9="","",ENTRY_Observations!$D9)</f>
        <v/>
      </c>
      <c r="I9" s="4">
        <f>IF(G9&lt;&gt;"",G9,F9)</f>
        <v/>
      </c>
      <c r="J9" s="4">
        <f>IF(H9&lt;&gt;"",H9,IF(I9=FALSE,FALSE,P9))</f>
        <v/>
      </c>
      <c r="K9" s="4">
        <f>IF(COUNTIF(RAW_Questionnaire!$A$2:$A$121,ENTRY_Participants!$A9)=0,"",IF(SUMIFS(RAW_Questionnaire!$I$2:$I$121,RAW_Questionnaire!$A$2:$A$121,ENTRY_Participants!$A9)&gt;=ENDORSE_THRESHOLD,TRUE,FALSE))</f>
        <v/>
      </c>
      <c r="L9" s="4">
        <f>IF(COUNTIF(RAW_Questionnaire!$A$2:$A$121,ENTRY_Participants!$A9)=0,"",IF(SUMIFS(RAW_Questionnaire!$J$2:$J$121,RAW_Questionnaire!$A$2:$A$121,ENTRY_Participants!$A9)&gt;=INTENT_THRESHOLD,TRUE,FALSE))</f>
        <v/>
      </c>
      <c r="M9" s="4">
        <f>IFERROR(LOOKUP(2,1/((RAW_Sessions!$A$2:$A$1201=ENTRY_Participants!$A9)*(RAW_Sessions!$M$2:$M$1201&lt;&gt;"")),RAW_Sessions!$M$2:$M$1201),"")</f>
        <v/>
      </c>
      <c r="N9" s="4">
        <f>IF(OR(M9="",ENTRY_Participants!$I9=""),"",M9-ENTRY_Participants!$I9)</f>
        <v/>
      </c>
    </row>
    <row r="10">
      <c r="A10">
        <f>ENTRY_Participants!$A10</f>
        <v/>
      </c>
      <c r="B10" s="4">
        <f>COUNTIF(RAW_Sessions!$A$2:$A$1201,ENTRY_Participants!$A10)</f>
        <v/>
      </c>
      <c r="C10" s="4">
        <f>IF(COUNTIFS(RAW_Sessions!$A$2:$A$1201,ENTRY_Participants!$A10,RAW_Sessions!$B$2:$B$1201,1)&gt;0,TRUE,FALSE)</f>
        <v/>
      </c>
      <c r="D10" s="4">
        <f>IF(B10=0,0,COUNTIFS(RAW_Sessions!$A$2:$A$1201,ENTRY_Participants!$A10,RAW_Sessions!$C$2:$C$1201,"&lt;="&amp;MINIFS(RAW_Sessions!$C$2:$C$1201,RAW_Sessions!$A$2:$A$1201,ENTRY_Participants!$A10)+RETURN_GAP_DAYS*FIVE_ATTEMPTS))</f>
        <v/>
      </c>
      <c r="E10" s="4">
        <f>IF(B10=0,FALSE,COUNTIFS(RAW_Sessions!$A$2:$A$1201,ENTRY_Participants!$A10,RAW_Sessions!$B$2:$B$1201,"&lt;="&amp;FIVE_ATTEMPTS)&gt;=FIVE_ATTEMPTS)</f>
        <v/>
      </c>
      <c r="F10" s="4">
        <f>IF(B10=0,FALSE,NOT(E10))</f>
        <v/>
      </c>
      <c r="G10" s="4">
        <f>IF(ENTRY_Observations!$B10="","",ENTRY_Observations!$B10)</f>
        <v/>
      </c>
      <c r="H10" s="4">
        <f>IF(ENTRY_Observations!$D10="","",ENTRY_Observations!$D10)</f>
        <v/>
      </c>
      <c r="I10" s="4">
        <f>IF(G10&lt;&gt;"",G10,F10)</f>
        <v/>
      </c>
      <c r="J10" s="4">
        <f>IF(H10&lt;&gt;"",H10,IF(I10=FALSE,FALSE,P10))</f>
        <v/>
      </c>
      <c r="K10" s="4">
        <f>IF(COUNTIF(RAW_Questionnaire!$A$2:$A$121,ENTRY_Participants!$A10)=0,"",IF(SUMIFS(RAW_Questionnaire!$I$2:$I$121,RAW_Questionnaire!$A$2:$A$121,ENTRY_Participants!$A10)&gt;=ENDORSE_THRESHOLD,TRUE,FALSE))</f>
        <v/>
      </c>
      <c r="L10" s="4">
        <f>IF(COUNTIF(RAW_Questionnaire!$A$2:$A$121,ENTRY_Participants!$A10)=0,"",IF(SUMIFS(RAW_Questionnaire!$J$2:$J$121,RAW_Questionnaire!$A$2:$A$121,ENTRY_Participants!$A10)&gt;=INTENT_THRESHOLD,TRUE,FALSE))</f>
        <v/>
      </c>
      <c r="M10" s="4">
        <f>IFERROR(LOOKUP(2,1/((RAW_Sessions!$A$2:$A$1201=ENTRY_Participants!$A10)*(RAW_Sessions!$M$2:$M$1201&lt;&gt;"")),RAW_Sessions!$M$2:$M$1201),"")</f>
        <v/>
      </c>
      <c r="N10" s="4">
        <f>IF(OR(M10="",ENTRY_Participants!$I10=""),"",M10-ENTRY_Participants!$I10)</f>
        <v/>
      </c>
    </row>
    <row r="11">
      <c r="A11">
        <f>ENTRY_Participants!$A11</f>
        <v/>
      </c>
      <c r="B11" s="4">
        <f>COUNTIF(RAW_Sessions!$A$2:$A$1201,ENTRY_Participants!$A11)</f>
        <v/>
      </c>
      <c r="C11" s="4">
        <f>IF(COUNTIFS(RAW_Sessions!$A$2:$A$1201,ENTRY_Participants!$A11,RAW_Sessions!$B$2:$B$1201,1)&gt;0,TRUE,FALSE)</f>
        <v/>
      </c>
      <c r="D11" s="4">
        <f>IF(B11=0,0,COUNTIFS(RAW_Sessions!$A$2:$A$1201,ENTRY_Participants!$A11,RAW_Sessions!$C$2:$C$1201,"&lt;="&amp;MINIFS(RAW_Sessions!$C$2:$C$1201,RAW_Sessions!$A$2:$A$1201,ENTRY_Participants!$A11)+RETURN_GAP_DAYS*FIVE_ATTEMPTS))</f>
        <v/>
      </c>
      <c r="E11" s="4">
        <f>IF(B11=0,FALSE,COUNTIFS(RAW_Sessions!$A$2:$A$1201,ENTRY_Participants!$A11,RAW_Sessions!$B$2:$B$1201,"&lt;="&amp;FIVE_ATTEMPTS)&gt;=FIVE_ATTEMPTS)</f>
        <v/>
      </c>
      <c r="F11" s="4">
        <f>IF(B11=0,FALSE,NOT(E11))</f>
        <v/>
      </c>
      <c r="G11" s="4">
        <f>IF(ENTRY_Observations!$B11="","",ENTRY_Observations!$B11)</f>
        <v/>
      </c>
      <c r="H11" s="4">
        <f>IF(ENTRY_Observations!$D11="","",ENTRY_Observations!$D11)</f>
        <v/>
      </c>
      <c r="I11" s="4">
        <f>IF(G11&lt;&gt;"",G11,F11)</f>
        <v/>
      </c>
      <c r="J11" s="4">
        <f>IF(H11&lt;&gt;"",H11,IF(I11=FALSE,FALSE,P11))</f>
        <v/>
      </c>
      <c r="K11" s="4">
        <f>IF(COUNTIF(RAW_Questionnaire!$A$2:$A$121,ENTRY_Participants!$A11)=0,"",IF(SUMIFS(RAW_Questionnaire!$I$2:$I$121,RAW_Questionnaire!$A$2:$A$121,ENTRY_Participants!$A11)&gt;=ENDORSE_THRESHOLD,TRUE,FALSE))</f>
        <v/>
      </c>
      <c r="L11" s="4">
        <f>IF(COUNTIF(RAW_Questionnaire!$A$2:$A$121,ENTRY_Participants!$A11)=0,"",IF(SUMIFS(RAW_Questionnaire!$J$2:$J$121,RAW_Questionnaire!$A$2:$A$121,ENTRY_Participants!$A11)&gt;=INTENT_THRESHOLD,TRUE,FALSE))</f>
        <v/>
      </c>
      <c r="M11" s="4">
        <f>IFERROR(LOOKUP(2,1/((RAW_Sessions!$A$2:$A$1201=ENTRY_Participants!$A11)*(RAW_Sessions!$M$2:$M$1201&lt;&gt;"")),RAW_Sessions!$M$2:$M$1201),"")</f>
        <v/>
      </c>
      <c r="N11" s="4">
        <f>IF(OR(M11="",ENTRY_Participants!$I11=""),"",M11-ENTRY_Participants!$I11)</f>
        <v/>
      </c>
    </row>
    <row r="12">
      <c r="A12">
        <f>ENTRY_Participants!$A12</f>
        <v/>
      </c>
      <c r="B12" s="4">
        <f>COUNTIF(RAW_Sessions!$A$2:$A$1201,ENTRY_Participants!$A12)</f>
        <v/>
      </c>
      <c r="C12" s="4">
        <f>IF(COUNTIFS(RAW_Sessions!$A$2:$A$1201,ENTRY_Participants!$A12,RAW_Sessions!$B$2:$B$1201,1)&gt;0,TRUE,FALSE)</f>
        <v/>
      </c>
      <c r="D12" s="4">
        <f>IF(B12=0,0,COUNTIFS(RAW_Sessions!$A$2:$A$1201,ENTRY_Participants!$A12,RAW_Sessions!$C$2:$C$1201,"&lt;="&amp;MINIFS(RAW_Sessions!$C$2:$C$1201,RAW_Sessions!$A$2:$A$1201,ENTRY_Participants!$A12)+RETURN_GAP_DAYS*FIVE_ATTEMPTS))</f>
        <v/>
      </c>
      <c r="E12" s="4">
        <f>IF(B12=0,FALSE,COUNTIFS(RAW_Sessions!$A$2:$A$1201,ENTRY_Participants!$A12,RAW_Sessions!$B$2:$B$1201,"&lt;="&amp;FIVE_ATTEMPTS)&gt;=FIVE_ATTEMPTS)</f>
        <v/>
      </c>
      <c r="F12" s="4">
        <f>IF(B12=0,FALSE,NOT(E12))</f>
        <v/>
      </c>
      <c r="G12" s="4">
        <f>IF(ENTRY_Observations!$B12="","",ENTRY_Observations!$B12)</f>
        <v/>
      </c>
      <c r="H12" s="4">
        <f>IF(ENTRY_Observations!$D12="","",ENTRY_Observations!$D12)</f>
        <v/>
      </c>
      <c r="I12" s="4">
        <f>IF(G12&lt;&gt;"",G12,F12)</f>
        <v/>
      </c>
      <c r="J12" s="4">
        <f>IF(H12&lt;&gt;"",H12,IF(I12=FALSE,FALSE,P12))</f>
        <v/>
      </c>
      <c r="K12" s="4">
        <f>IF(COUNTIF(RAW_Questionnaire!$A$2:$A$121,ENTRY_Participants!$A12)=0,"",IF(SUMIFS(RAW_Questionnaire!$I$2:$I$121,RAW_Questionnaire!$A$2:$A$121,ENTRY_Participants!$A12)&gt;=ENDORSE_THRESHOLD,TRUE,FALSE))</f>
        <v/>
      </c>
      <c r="L12" s="4">
        <f>IF(COUNTIF(RAW_Questionnaire!$A$2:$A$121,ENTRY_Participants!$A12)=0,"",IF(SUMIFS(RAW_Questionnaire!$J$2:$J$121,RAW_Questionnaire!$A$2:$A$121,ENTRY_Participants!$A12)&gt;=INTENT_THRESHOLD,TRUE,FALSE))</f>
        <v/>
      </c>
      <c r="M12" s="4">
        <f>IFERROR(LOOKUP(2,1/((RAW_Sessions!$A$2:$A$1201=ENTRY_Participants!$A12)*(RAW_Sessions!$M$2:$M$1201&lt;&gt;"")),RAW_Sessions!$M$2:$M$1201),"")</f>
        <v/>
      </c>
      <c r="N12" s="4">
        <f>IF(OR(M12="",ENTRY_Participants!$I12=""),"",M12-ENTRY_Participants!$I12)</f>
        <v/>
      </c>
    </row>
    <row r="13">
      <c r="A13">
        <f>ENTRY_Participants!$A13</f>
        <v/>
      </c>
      <c r="B13" s="4">
        <f>COUNTIF(RAW_Sessions!$A$2:$A$1201,ENTRY_Participants!$A13)</f>
        <v/>
      </c>
      <c r="C13" s="4">
        <f>IF(COUNTIFS(RAW_Sessions!$A$2:$A$1201,ENTRY_Participants!$A13,RAW_Sessions!$B$2:$B$1201,1)&gt;0,TRUE,FALSE)</f>
        <v/>
      </c>
      <c r="D13" s="4">
        <f>IF(B13=0,0,COUNTIFS(RAW_Sessions!$A$2:$A$1201,ENTRY_Participants!$A13,RAW_Sessions!$C$2:$C$1201,"&lt;="&amp;MINIFS(RAW_Sessions!$C$2:$C$1201,RAW_Sessions!$A$2:$A$1201,ENTRY_Participants!$A13)+RETURN_GAP_DAYS*FIVE_ATTEMPTS))</f>
        <v/>
      </c>
      <c r="E13" s="4">
        <f>IF(B13=0,FALSE,COUNTIFS(RAW_Sessions!$A$2:$A$1201,ENTRY_Participants!$A13,RAW_Sessions!$B$2:$B$1201,"&lt;="&amp;FIVE_ATTEMPTS)&gt;=FIVE_ATTEMPTS)</f>
        <v/>
      </c>
      <c r="F13" s="4">
        <f>IF(B13=0,FALSE,NOT(E13))</f>
        <v/>
      </c>
      <c r="G13" s="4">
        <f>IF(ENTRY_Observations!$B13="","",ENTRY_Observations!$B13)</f>
        <v/>
      </c>
      <c r="H13" s="4">
        <f>IF(ENTRY_Observations!$D13="","",ENTRY_Observations!$D13)</f>
        <v/>
      </c>
      <c r="I13" s="4">
        <f>IF(G13&lt;&gt;"",G13,F13)</f>
        <v/>
      </c>
      <c r="J13" s="4">
        <f>IF(H13&lt;&gt;"",H13,IF(I13=FALSE,FALSE,P13))</f>
        <v/>
      </c>
      <c r="K13" s="4">
        <f>IF(COUNTIF(RAW_Questionnaire!$A$2:$A$121,ENTRY_Participants!$A13)=0,"",IF(SUMIFS(RAW_Questionnaire!$I$2:$I$121,RAW_Questionnaire!$A$2:$A$121,ENTRY_Participants!$A13)&gt;=ENDORSE_THRESHOLD,TRUE,FALSE))</f>
        <v/>
      </c>
      <c r="L13" s="4">
        <f>IF(COUNTIF(RAW_Questionnaire!$A$2:$A$121,ENTRY_Participants!$A13)=0,"",IF(SUMIFS(RAW_Questionnaire!$J$2:$J$121,RAW_Questionnaire!$A$2:$A$121,ENTRY_Participants!$A13)&gt;=INTENT_THRESHOLD,TRUE,FALSE))</f>
        <v/>
      </c>
      <c r="M13" s="4">
        <f>IFERROR(LOOKUP(2,1/((RAW_Sessions!$A$2:$A$1201=ENTRY_Participants!$A13)*(RAW_Sessions!$M$2:$M$1201&lt;&gt;"")),RAW_Sessions!$M$2:$M$1201),"")</f>
        <v/>
      </c>
      <c r="N13" s="4">
        <f>IF(OR(M13="",ENTRY_Participants!$I13=""),"",M13-ENTRY_Participants!$I13)</f>
        <v/>
      </c>
    </row>
    <row r="14">
      <c r="A14">
        <f>ENTRY_Participants!$A14</f>
        <v/>
      </c>
      <c r="B14" s="4">
        <f>COUNTIF(RAW_Sessions!$A$2:$A$1201,ENTRY_Participants!$A14)</f>
        <v/>
      </c>
      <c r="C14" s="4">
        <f>IF(COUNTIFS(RAW_Sessions!$A$2:$A$1201,ENTRY_Participants!$A14,RAW_Sessions!$B$2:$B$1201,1)&gt;0,TRUE,FALSE)</f>
        <v/>
      </c>
      <c r="D14" s="4">
        <f>IF(B14=0,0,COUNTIFS(RAW_Sessions!$A$2:$A$1201,ENTRY_Participants!$A14,RAW_Sessions!$C$2:$C$1201,"&lt;="&amp;MINIFS(RAW_Sessions!$C$2:$C$1201,RAW_Sessions!$A$2:$A$1201,ENTRY_Participants!$A14)+RETURN_GAP_DAYS*FIVE_ATTEMPTS))</f>
        <v/>
      </c>
      <c r="E14" s="4">
        <f>IF(B14=0,FALSE,COUNTIFS(RAW_Sessions!$A$2:$A$1201,ENTRY_Participants!$A14,RAW_Sessions!$B$2:$B$1201,"&lt;="&amp;FIVE_ATTEMPTS)&gt;=FIVE_ATTEMPTS)</f>
        <v/>
      </c>
      <c r="F14" s="4">
        <f>IF(B14=0,FALSE,NOT(E14))</f>
        <v/>
      </c>
      <c r="G14" s="4">
        <f>IF(ENTRY_Observations!$B14="","",ENTRY_Observations!$B14)</f>
        <v/>
      </c>
      <c r="H14" s="4">
        <f>IF(ENTRY_Observations!$D14="","",ENTRY_Observations!$D14)</f>
        <v/>
      </c>
      <c r="I14" s="4">
        <f>IF(G14&lt;&gt;"",G14,F14)</f>
        <v/>
      </c>
      <c r="J14" s="4">
        <f>IF(H14&lt;&gt;"",H14,IF(I14=FALSE,FALSE,P14))</f>
        <v/>
      </c>
      <c r="K14" s="4">
        <f>IF(COUNTIF(RAW_Questionnaire!$A$2:$A$121,ENTRY_Participants!$A14)=0,"",IF(SUMIFS(RAW_Questionnaire!$I$2:$I$121,RAW_Questionnaire!$A$2:$A$121,ENTRY_Participants!$A14)&gt;=ENDORSE_THRESHOLD,TRUE,FALSE))</f>
        <v/>
      </c>
      <c r="L14" s="4">
        <f>IF(COUNTIF(RAW_Questionnaire!$A$2:$A$121,ENTRY_Participants!$A14)=0,"",IF(SUMIFS(RAW_Questionnaire!$J$2:$J$121,RAW_Questionnaire!$A$2:$A$121,ENTRY_Participants!$A14)&gt;=INTENT_THRESHOLD,TRUE,FALSE))</f>
        <v/>
      </c>
      <c r="M14" s="4">
        <f>IFERROR(LOOKUP(2,1/((RAW_Sessions!$A$2:$A$1201=ENTRY_Participants!$A14)*(RAW_Sessions!$M$2:$M$1201&lt;&gt;"")),RAW_Sessions!$M$2:$M$1201),"")</f>
        <v/>
      </c>
      <c r="N14" s="4">
        <f>IF(OR(M14="",ENTRY_Participants!$I14=""),"",M14-ENTRY_Participants!$I14)</f>
        <v/>
      </c>
    </row>
    <row r="15">
      <c r="A15">
        <f>ENTRY_Participants!$A15</f>
        <v/>
      </c>
      <c r="B15" s="4">
        <f>COUNTIF(RAW_Sessions!$A$2:$A$1201,ENTRY_Participants!$A15)</f>
        <v/>
      </c>
      <c r="C15" s="4">
        <f>IF(COUNTIFS(RAW_Sessions!$A$2:$A$1201,ENTRY_Participants!$A15,RAW_Sessions!$B$2:$B$1201,1)&gt;0,TRUE,FALSE)</f>
        <v/>
      </c>
      <c r="D15" s="4">
        <f>IF(B15=0,0,COUNTIFS(RAW_Sessions!$A$2:$A$1201,ENTRY_Participants!$A15,RAW_Sessions!$C$2:$C$1201,"&lt;="&amp;MINIFS(RAW_Sessions!$C$2:$C$1201,RAW_Sessions!$A$2:$A$1201,ENTRY_Participants!$A15)+RETURN_GAP_DAYS*FIVE_ATTEMPTS))</f>
        <v/>
      </c>
      <c r="E15" s="4">
        <f>IF(B15=0,FALSE,COUNTIFS(RAW_Sessions!$A$2:$A$1201,ENTRY_Participants!$A15,RAW_Sessions!$B$2:$B$1201,"&lt;="&amp;FIVE_ATTEMPTS)&gt;=FIVE_ATTEMPTS)</f>
        <v/>
      </c>
      <c r="F15" s="4">
        <f>IF(B15=0,FALSE,NOT(E15))</f>
        <v/>
      </c>
      <c r="G15" s="4">
        <f>IF(ENTRY_Observations!$B15="","",ENTRY_Observations!$B15)</f>
        <v/>
      </c>
      <c r="H15" s="4">
        <f>IF(ENTRY_Observations!$D15="","",ENTRY_Observations!$D15)</f>
        <v/>
      </c>
      <c r="I15" s="4">
        <f>IF(G15&lt;&gt;"",G15,F15)</f>
        <v/>
      </c>
      <c r="J15" s="4">
        <f>IF(H15&lt;&gt;"",H15,IF(I15=FALSE,FALSE,P15))</f>
        <v/>
      </c>
      <c r="K15" s="4">
        <f>IF(COUNTIF(RAW_Questionnaire!$A$2:$A$121,ENTRY_Participants!$A15)=0,"",IF(SUMIFS(RAW_Questionnaire!$I$2:$I$121,RAW_Questionnaire!$A$2:$A$121,ENTRY_Participants!$A15)&gt;=ENDORSE_THRESHOLD,TRUE,FALSE))</f>
        <v/>
      </c>
      <c r="L15" s="4">
        <f>IF(COUNTIF(RAW_Questionnaire!$A$2:$A$121,ENTRY_Participants!$A15)=0,"",IF(SUMIFS(RAW_Questionnaire!$J$2:$J$121,RAW_Questionnaire!$A$2:$A$121,ENTRY_Participants!$A15)&gt;=INTENT_THRESHOLD,TRUE,FALSE))</f>
        <v/>
      </c>
      <c r="M15" s="4">
        <f>IFERROR(LOOKUP(2,1/((RAW_Sessions!$A$2:$A$1201=ENTRY_Participants!$A15)*(RAW_Sessions!$M$2:$M$1201&lt;&gt;"")),RAW_Sessions!$M$2:$M$1201),"")</f>
        <v/>
      </c>
      <c r="N15" s="4">
        <f>IF(OR(M15="",ENTRY_Participants!$I15=""),"",M15-ENTRY_Participants!$I15)</f>
        <v/>
      </c>
    </row>
    <row r="16">
      <c r="A16">
        <f>ENTRY_Participants!$A16</f>
        <v/>
      </c>
      <c r="B16" s="4">
        <f>COUNTIF(RAW_Sessions!$A$2:$A$1201,ENTRY_Participants!$A16)</f>
        <v/>
      </c>
      <c r="C16" s="4">
        <f>IF(COUNTIFS(RAW_Sessions!$A$2:$A$1201,ENTRY_Participants!$A16,RAW_Sessions!$B$2:$B$1201,1)&gt;0,TRUE,FALSE)</f>
        <v/>
      </c>
      <c r="D16" s="4">
        <f>IF(B16=0,0,COUNTIFS(RAW_Sessions!$A$2:$A$1201,ENTRY_Participants!$A16,RAW_Sessions!$C$2:$C$1201,"&lt;="&amp;MINIFS(RAW_Sessions!$C$2:$C$1201,RAW_Sessions!$A$2:$A$1201,ENTRY_Participants!$A16)+RETURN_GAP_DAYS*FIVE_ATTEMPTS))</f>
        <v/>
      </c>
      <c r="E16" s="4">
        <f>IF(B16=0,FALSE,COUNTIFS(RAW_Sessions!$A$2:$A$1201,ENTRY_Participants!$A16,RAW_Sessions!$B$2:$B$1201,"&lt;="&amp;FIVE_ATTEMPTS)&gt;=FIVE_ATTEMPTS)</f>
        <v/>
      </c>
      <c r="F16" s="4">
        <f>IF(B16=0,FALSE,NOT(E16))</f>
        <v/>
      </c>
      <c r="G16" s="4">
        <f>IF(ENTRY_Observations!$B16="","",ENTRY_Observations!$B16)</f>
        <v/>
      </c>
      <c r="H16" s="4">
        <f>IF(ENTRY_Observations!$D16="","",ENTRY_Observations!$D16)</f>
        <v/>
      </c>
      <c r="I16" s="4">
        <f>IF(G16&lt;&gt;"",G16,F16)</f>
        <v/>
      </c>
      <c r="J16" s="4">
        <f>IF(H16&lt;&gt;"",H16,IF(I16=FALSE,FALSE,P16))</f>
        <v/>
      </c>
      <c r="K16" s="4">
        <f>IF(COUNTIF(RAW_Questionnaire!$A$2:$A$121,ENTRY_Participants!$A16)=0,"",IF(SUMIFS(RAW_Questionnaire!$I$2:$I$121,RAW_Questionnaire!$A$2:$A$121,ENTRY_Participants!$A16)&gt;=ENDORSE_THRESHOLD,TRUE,FALSE))</f>
        <v/>
      </c>
      <c r="L16" s="4">
        <f>IF(COUNTIF(RAW_Questionnaire!$A$2:$A$121,ENTRY_Participants!$A16)=0,"",IF(SUMIFS(RAW_Questionnaire!$J$2:$J$121,RAW_Questionnaire!$A$2:$A$121,ENTRY_Participants!$A16)&gt;=INTENT_THRESHOLD,TRUE,FALSE))</f>
        <v/>
      </c>
      <c r="M16" s="4">
        <f>IFERROR(LOOKUP(2,1/((RAW_Sessions!$A$2:$A$1201=ENTRY_Participants!$A16)*(RAW_Sessions!$M$2:$M$1201&lt;&gt;"")),RAW_Sessions!$M$2:$M$1201),"")</f>
        <v/>
      </c>
      <c r="N16" s="4">
        <f>IF(OR(M16="",ENTRY_Participants!$I16=""),"",M16-ENTRY_Participants!$I16)</f>
        <v/>
      </c>
    </row>
    <row r="17">
      <c r="A17">
        <f>ENTRY_Participants!$A17</f>
        <v/>
      </c>
      <c r="B17" s="4">
        <f>COUNTIF(RAW_Sessions!$A$2:$A$1201,ENTRY_Participants!$A17)</f>
        <v/>
      </c>
      <c r="C17" s="4">
        <f>IF(COUNTIFS(RAW_Sessions!$A$2:$A$1201,ENTRY_Participants!$A17,RAW_Sessions!$B$2:$B$1201,1)&gt;0,TRUE,FALSE)</f>
        <v/>
      </c>
      <c r="D17" s="4">
        <f>IF(B17=0,0,COUNTIFS(RAW_Sessions!$A$2:$A$1201,ENTRY_Participants!$A17,RAW_Sessions!$C$2:$C$1201,"&lt;="&amp;MINIFS(RAW_Sessions!$C$2:$C$1201,RAW_Sessions!$A$2:$A$1201,ENTRY_Participants!$A17)+RETURN_GAP_DAYS*FIVE_ATTEMPTS))</f>
        <v/>
      </c>
      <c r="E17" s="4">
        <f>IF(B17=0,FALSE,COUNTIFS(RAW_Sessions!$A$2:$A$1201,ENTRY_Participants!$A17,RAW_Sessions!$B$2:$B$1201,"&lt;="&amp;FIVE_ATTEMPTS)&gt;=FIVE_ATTEMPTS)</f>
        <v/>
      </c>
      <c r="F17" s="4">
        <f>IF(B17=0,FALSE,NOT(E17))</f>
        <v/>
      </c>
      <c r="G17" s="4">
        <f>IF(ENTRY_Observations!$B17="","",ENTRY_Observations!$B17)</f>
        <v/>
      </c>
      <c r="H17" s="4">
        <f>IF(ENTRY_Observations!$D17="","",ENTRY_Observations!$D17)</f>
        <v/>
      </c>
      <c r="I17" s="4">
        <f>IF(G17&lt;&gt;"",G17,F17)</f>
        <v/>
      </c>
      <c r="J17" s="4">
        <f>IF(H17&lt;&gt;"",H17,IF(I17=FALSE,FALSE,P17))</f>
        <v/>
      </c>
      <c r="K17" s="4">
        <f>IF(COUNTIF(RAW_Questionnaire!$A$2:$A$121,ENTRY_Participants!$A17)=0,"",IF(SUMIFS(RAW_Questionnaire!$I$2:$I$121,RAW_Questionnaire!$A$2:$A$121,ENTRY_Participants!$A17)&gt;=ENDORSE_THRESHOLD,TRUE,FALSE))</f>
        <v/>
      </c>
      <c r="L17" s="4">
        <f>IF(COUNTIF(RAW_Questionnaire!$A$2:$A$121,ENTRY_Participants!$A17)=0,"",IF(SUMIFS(RAW_Questionnaire!$J$2:$J$121,RAW_Questionnaire!$A$2:$A$121,ENTRY_Participants!$A17)&gt;=INTENT_THRESHOLD,TRUE,FALSE))</f>
        <v/>
      </c>
      <c r="M17" s="4">
        <f>IFERROR(LOOKUP(2,1/((RAW_Sessions!$A$2:$A$1201=ENTRY_Participants!$A17)*(RAW_Sessions!$M$2:$M$1201&lt;&gt;"")),RAW_Sessions!$M$2:$M$1201),"")</f>
        <v/>
      </c>
      <c r="N17" s="4">
        <f>IF(OR(M17="",ENTRY_Participants!$I17=""),"",M17-ENTRY_Participants!$I17)</f>
        <v/>
      </c>
    </row>
    <row r="18">
      <c r="A18">
        <f>ENTRY_Participants!$A18</f>
        <v/>
      </c>
      <c r="B18" s="4">
        <f>COUNTIF(RAW_Sessions!$A$2:$A$1201,ENTRY_Participants!$A18)</f>
        <v/>
      </c>
      <c r="C18" s="4">
        <f>IF(COUNTIFS(RAW_Sessions!$A$2:$A$1201,ENTRY_Participants!$A18,RAW_Sessions!$B$2:$B$1201,1)&gt;0,TRUE,FALSE)</f>
        <v/>
      </c>
      <c r="D18" s="4">
        <f>IF(B18=0,0,COUNTIFS(RAW_Sessions!$A$2:$A$1201,ENTRY_Participants!$A18,RAW_Sessions!$C$2:$C$1201,"&lt;="&amp;MINIFS(RAW_Sessions!$C$2:$C$1201,RAW_Sessions!$A$2:$A$1201,ENTRY_Participants!$A18)+RETURN_GAP_DAYS*FIVE_ATTEMPTS))</f>
        <v/>
      </c>
      <c r="E18" s="4">
        <f>IF(B18=0,FALSE,COUNTIFS(RAW_Sessions!$A$2:$A$1201,ENTRY_Participants!$A18,RAW_Sessions!$B$2:$B$1201,"&lt;="&amp;FIVE_ATTEMPTS)&gt;=FIVE_ATTEMPTS)</f>
        <v/>
      </c>
      <c r="F18" s="4">
        <f>IF(B18=0,FALSE,NOT(E18))</f>
        <v/>
      </c>
      <c r="G18" s="4">
        <f>IF(ENTRY_Observations!$B18="","",ENTRY_Observations!$B18)</f>
        <v/>
      </c>
      <c r="H18" s="4">
        <f>IF(ENTRY_Observations!$D18="","",ENTRY_Observations!$D18)</f>
        <v/>
      </c>
      <c r="I18" s="4">
        <f>IF(G18&lt;&gt;"",G18,F18)</f>
        <v/>
      </c>
      <c r="J18" s="4">
        <f>IF(H18&lt;&gt;"",H18,IF(I18=FALSE,FALSE,P18))</f>
        <v/>
      </c>
      <c r="K18" s="4">
        <f>IF(COUNTIF(RAW_Questionnaire!$A$2:$A$121,ENTRY_Participants!$A18)=0,"",IF(SUMIFS(RAW_Questionnaire!$I$2:$I$121,RAW_Questionnaire!$A$2:$A$121,ENTRY_Participants!$A18)&gt;=ENDORSE_THRESHOLD,TRUE,FALSE))</f>
        <v/>
      </c>
      <c r="L18" s="4">
        <f>IF(COUNTIF(RAW_Questionnaire!$A$2:$A$121,ENTRY_Participants!$A18)=0,"",IF(SUMIFS(RAW_Questionnaire!$J$2:$J$121,RAW_Questionnaire!$A$2:$A$121,ENTRY_Participants!$A18)&gt;=INTENT_THRESHOLD,TRUE,FALSE))</f>
        <v/>
      </c>
      <c r="M18" s="4">
        <f>IFERROR(LOOKUP(2,1/((RAW_Sessions!$A$2:$A$1201=ENTRY_Participants!$A18)*(RAW_Sessions!$M$2:$M$1201&lt;&gt;"")),RAW_Sessions!$M$2:$M$1201),"")</f>
        <v/>
      </c>
      <c r="N18" s="4">
        <f>IF(OR(M18="",ENTRY_Participants!$I18=""),"",M18-ENTRY_Participants!$I18)</f>
        <v/>
      </c>
    </row>
    <row r="19">
      <c r="A19">
        <f>ENTRY_Participants!$A19</f>
        <v/>
      </c>
      <c r="B19" s="4">
        <f>COUNTIF(RAW_Sessions!$A$2:$A$1201,ENTRY_Participants!$A19)</f>
        <v/>
      </c>
      <c r="C19" s="4">
        <f>IF(COUNTIFS(RAW_Sessions!$A$2:$A$1201,ENTRY_Participants!$A19,RAW_Sessions!$B$2:$B$1201,1)&gt;0,TRUE,FALSE)</f>
        <v/>
      </c>
      <c r="D19" s="4">
        <f>IF(B19=0,0,COUNTIFS(RAW_Sessions!$A$2:$A$1201,ENTRY_Participants!$A19,RAW_Sessions!$C$2:$C$1201,"&lt;="&amp;MINIFS(RAW_Sessions!$C$2:$C$1201,RAW_Sessions!$A$2:$A$1201,ENTRY_Participants!$A19)+RETURN_GAP_DAYS*FIVE_ATTEMPTS))</f>
        <v/>
      </c>
      <c r="E19" s="4">
        <f>IF(B19=0,FALSE,COUNTIFS(RAW_Sessions!$A$2:$A$1201,ENTRY_Participants!$A19,RAW_Sessions!$B$2:$B$1201,"&lt;="&amp;FIVE_ATTEMPTS)&gt;=FIVE_ATTEMPTS)</f>
        <v/>
      </c>
      <c r="F19" s="4">
        <f>IF(B19=0,FALSE,NOT(E19))</f>
        <v/>
      </c>
      <c r="G19" s="4">
        <f>IF(ENTRY_Observations!$B19="","",ENTRY_Observations!$B19)</f>
        <v/>
      </c>
      <c r="H19" s="4">
        <f>IF(ENTRY_Observations!$D19="","",ENTRY_Observations!$D19)</f>
        <v/>
      </c>
      <c r="I19" s="4">
        <f>IF(G19&lt;&gt;"",G19,F19)</f>
        <v/>
      </c>
      <c r="J19" s="4">
        <f>IF(H19&lt;&gt;"",H19,IF(I19=FALSE,FALSE,P19))</f>
        <v/>
      </c>
      <c r="K19" s="4">
        <f>IF(COUNTIF(RAW_Questionnaire!$A$2:$A$121,ENTRY_Participants!$A19)=0,"",IF(SUMIFS(RAW_Questionnaire!$I$2:$I$121,RAW_Questionnaire!$A$2:$A$121,ENTRY_Participants!$A19)&gt;=ENDORSE_THRESHOLD,TRUE,FALSE))</f>
        <v/>
      </c>
      <c r="L19" s="4">
        <f>IF(COUNTIF(RAW_Questionnaire!$A$2:$A$121,ENTRY_Participants!$A19)=0,"",IF(SUMIFS(RAW_Questionnaire!$J$2:$J$121,RAW_Questionnaire!$A$2:$A$121,ENTRY_Participants!$A19)&gt;=INTENT_THRESHOLD,TRUE,FALSE))</f>
        <v/>
      </c>
      <c r="M19" s="4">
        <f>IFERROR(LOOKUP(2,1/((RAW_Sessions!$A$2:$A$1201=ENTRY_Participants!$A19)*(RAW_Sessions!$M$2:$M$1201&lt;&gt;"")),RAW_Sessions!$M$2:$M$1201),"")</f>
        <v/>
      </c>
      <c r="N19" s="4">
        <f>IF(OR(M19="",ENTRY_Participants!$I19=""),"",M19-ENTRY_Participants!$I19)</f>
        <v/>
      </c>
    </row>
    <row r="20">
      <c r="A20">
        <f>ENTRY_Participants!$A20</f>
        <v/>
      </c>
      <c r="B20" s="4">
        <f>COUNTIF(RAW_Sessions!$A$2:$A$1201,ENTRY_Participants!$A20)</f>
        <v/>
      </c>
      <c r="C20" s="4">
        <f>IF(COUNTIFS(RAW_Sessions!$A$2:$A$1201,ENTRY_Participants!$A20,RAW_Sessions!$B$2:$B$1201,1)&gt;0,TRUE,FALSE)</f>
        <v/>
      </c>
      <c r="D20" s="4">
        <f>IF(B20=0,0,COUNTIFS(RAW_Sessions!$A$2:$A$1201,ENTRY_Participants!$A20,RAW_Sessions!$C$2:$C$1201,"&lt;="&amp;MINIFS(RAW_Sessions!$C$2:$C$1201,RAW_Sessions!$A$2:$A$1201,ENTRY_Participants!$A20)+RETURN_GAP_DAYS*FIVE_ATTEMPTS))</f>
        <v/>
      </c>
      <c r="E20" s="4">
        <f>IF(B20=0,FALSE,COUNTIFS(RAW_Sessions!$A$2:$A$1201,ENTRY_Participants!$A20,RAW_Sessions!$B$2:$B$1201,"&lt;="&amp;FIVE_ATTEMPTS)&gt;=FIVE_ATTEMPTS)</f>
        <v/>
      </c>
      <c r="F20" s="4">
        <f>IF(B20=0,FALSE,NOT(E20))</f>
        <v/>
      </c>
      <c r="G20" s="4">
        <f>IF(ENTRY_Observations!$B20="","",ENTRY_Observations!$B20)</f>
        <v/>
      </c>
      <c r="H20" s="4">
        <f>IF(ENTRY_Observations!$D20="","",ENTRY_Observations!$D20)</f>
        <v/>
      </c>
      <c r="I20" s="4">
        <f>IF(G20&lt;&gt;"",G20,F20)</f>
        <v/>
      </c>
      <c r="J20" s="4">
        <f>IF(H20&lt;&gt;"",H20,IF(I20=FALSE,FALSE,P20))</f>
        <v/>
      </c>
      <c r="K20" s="4">
        <f>IF(COUNTIF(RAW_Questionnaire!$A$2:$A$121,ENTRY_Participants!$A20)=0,"",IF(SUMIFS(RAW_Questionnaire!$I$2:$I$121,RAW_Questionnaire!$A$2:$A$121,ENTRY_Participants!$A20)&gt;=ENDORSE_THRESHOLD,TRUE,FALSE))</f>
        <v/>
      </c>
      <c r="L20" s="4">
        <f>IF(COUNTIF(RAW_Questionnaire!$A$2:$A$121,ENTRY_Participants!$A20)=0,"",IF(SUMIFS(RAW_Questionnaire!$J$2:$J$121,RAW_Questionnaire!$A$2:$A$121,ENTRY_Participants!$A20)&gt;=INTENT_THRESHOLD,TRUE,FALSE))</f>
        <v/>
      </c>
      <c r="M20" s="4">
        <f>IFERROR(LOOKUP(2,1/((RAW_Sessions!$A$2:$A$1201=ENTRY_Participants!$A20)*(RAW_Sessions!$M$2:$M$1201&lt;&gt;"")),RAW_Sessions!$M$2:$M$1201),"")</f>
        <v/>
      </c>
      <c r="N20" s="4">
        <f>IF(OR(M20="",ENTRY_Participants!$I20=""),"",M20-ENTRY_Participants!$I20)</f>
        <v/>
      </c>
    </row>
    <row r="21">
      <c r="A21">
        <f>ENTRY_Participants!$A21</f>
        <v/>
      </c>
      <c r="B21" s="4">
        <f>COUNTIF(RAW_Sessions!$A$2:$A$1201,ENTRY_Participants!$A21)</f>
        <v/>
      </c>
      <c r="C21" s="4">
        <f>IF(COUNTIFS(RAW_Sessions!$A$2:$A$1201,ENTRY_Participants!$A21,RAW_Sessions!$B$2:$B$1201,1)&gt;0,TRUE,FALSE)</f>
        <v/>
      </c>
      <c r="D21" s="4">
        <f>IF(B21=0,0,COUNTIFS(RAW_Sessions!$A$2:$A$1201,ENTRY_Participants!$A21,RAW_Sessions!$C$2:$C$1201,"&lt;="&amp;MINIFS(RAW_Sessions!$C$2:$C$1201,RAW_Sessions!$A$2:$A$1201,ENTRY_Participants!$A21)+RETURN_GAP_DAYS*FIVE_ATTEMPTS))</f>
        <v/>
      </c>
      <c r="E21" s="4">
        <f>IF(B21=0,FALSE,COUNTIFS(RAW_Sessions!$A$2:$A$1201,ENTRY_Participants!$A21,RAW_Sessions!$B$2:$B$1201,"&lt;="&amp;FIVE_ATTEMPTS)&gt;=FIVE_ATTEMPTS)</f>
        <v/>
      </c>
      <c r="F21" s="4">
        <f>IF(B21=0,FALSE,NOT(E21))</f>
        <v/>
      </c>
      <c r="G21" s="4">
        <f>IF(ENTRY_Observations!$B21="","",ENTRY_Observations!$B21)</f>
        <v/>
      </c>
      <c r="H21" s="4">
        <f>IF(ENTRY_Observations!$D21="","",ENTRY_Observations!$D21)</f>
        <v/>
      </c>
      <c r="I21" s="4">
        <f>IF(G21&lt;&gt;"",G21,F21)</f>
        <v/>
      </c>
      <c r="J21" s="4">
        <f>IF(H21&lt;&gt;"",H21,IF(I21=FALSE,FALSE,P21))</f>
        <v/>
      </c>
      <c r="K21" s="4">
        <f>IF(COUNTIF(RAW_Questionnaire!$A$2:$A$121,ENTRY_Participants!$A21)=0,"",IF(SUMIFS(RAW_Questionnaire!$I$2:$I$121,RAW_Questionnaire!$A$2:$A$121,ENTRY_Participants!$A21)&gt;=ENDORSE_THRESHOLD,TRUE,FALSE))</f>
        <v/>
      </c>
      <c r="L21" s="4">
        <f>IF(COUNTIF(RAW_Questionnaire!$A$2:$A$121,ENTRY_Participants!$A21)=0,"",IF(SUMIFS(RAW_Questionnaire!$J$2:$J$121,RAW_Questionnaire!$A$2:$A$121,ENTRY_Participants!$A21)&gt;=INTENT_THRESHOLD,TRUE,FALSE))</f>
        <v/>
      </c>
      <c r="M21" s="4">
        <f>IFERROR(LOOKUP(2,1/((RAW_Sessions!$A$2:$A$1201=ENTRY_Participants!$A21)*(RAW_Sessions!$M$2:$M$1201&lt;&gt;"")),RAW_Sessions!$M$2:$M$1201),"")</f>
        <v/>
      </c>
      <c r="N21" s="4">
        <f>IF(OR(M21="",ENTRY_Participants!$I21=""),"",M21-ENTRY_Participants!$I21)</f>
        <v/>
      </c>
    </row>
    <row r="22">
      <c r="A22">
        <f>ENTRY_Participants!$A22</f>
        <v/>
      </c>
      <c r="B22" s="4">
        <f>COUNTIF(RAW_Sessions!$A$2:$A$1201,ENTRY_Participants!$A22)</f>
        <v/>
      </c>
      <c r="C22" s="4">
        <f>IF(COUNTIFS(RAW_Sessions!$A$2:$A$1201,ENTRY_Participants!$A22,RAW_Sessions!$B$2:$B$1201,1)&gt;0,TRUE,FALSE)</f>
        <v/>
      </c>
      <c r="D22" s="4">
        <f>IF(B22=0,0,COUNTIFS(RAW_Sessions!$A$2:$A$1201,ENTRY_Participants!$A22,RAW_Sessions!$C$2:$C$1201,"&lt;="&amp;MINIFS(RAW_Sessions!$C$2:$C$1201,RAW_Sessions!$A$2:$A$1201,ENTRY_Participants!$A22)+RETURN_GAP_DAYS*FIVE_ATTEMPTS))</f>
        <v/>
      </c>
      <c r="E22" s="4">
        <f>IF(B22=0,FALSE,COUNTIFS(RAW_Sessions!$A$2:$A$1201,ENTRY_Participants!$A22,RAW_Sessions!$B$2:$B$1201,"&lt;="&amp;FIVE_ATTEMPTS)&gt;=FIVE_ATTEMPTS)</f>
        <v/>
      </c>
      <c r="F22" s="4">
        <f>IF(B22=0,FALSE,NOT(E22))</f>
        <v/>
      </c>
      <c r="G22" s="4">
        <f>IF(ENTRY_Observations!$B22="","",ENTRY_Observations!$B22)</f>
        <v/>
      </c>
      <c r="H22" s="4">
        <f>IF(ENTRY_Observations!$D22="","",ENTRY_Observations!$D22)</f>
        <v/>
      </c>
      <c r="I22" s="4">
        <f>IF(G22&lt;&gt;"",G22,F22)</f>
        <v/>
      </c>
      <c r="J22" s="4">
        <f>IF(H22&lt;&gt;"",H22,IF(I22=FALSE,FALSE,P22))</f>
        <v/>
      </c>
      <c r="K22" s="4">
        <f>IF(COUNTIF(RAW_Questionnaire!$A$2:$A$121,ENTRY_Participants!$A22)=0,"",IF(SUMIFS(RAW_Questionnaire!$I$2:$I$121,RAW_Questionnaire!$A$2:$A$121,ENTRY_Participants!$A22)&gt;=ENDORSE_THRESHOLD,TRUE,FALSE))</f>
        <v/>
      </c>
      <c r="L22" s="4">
        <f>IF(COUNTIF(RAW_Questionnaire!$A$2:$A$121,ENTRY_Participants!$A22)=0,"",IF(SUMIFS(RAW_Questionnaire!$J$2:$J$121,RAW_Questionnaire!$A$2:$A$121,ENTRY_Participants!$A22)&gt;=INTENT_THRESHOLD,TRUE,FALSE))</f>
        <v/>
      </c>
      <c r="M22" s="4">
        <f>IFERROR(LOOKUP(2,1/((RAW_Sessions!$A$2:$A$1201=ENTRY_Participants!$A22)*(RAW_Sessions!$M$2:$M$1201&lt;&gt;"")),RAW_Sessions!$M$2:$M$1201),"")</f>
        <v/>
      </c>
      <c r="N22" s="4">
        <f>IF(OR(M22="",ENTRY_Participants!$I22=""),"",M22-ENTRY_Participants!$I22)</f>
        <v/>
      </c>
    </row>
    <row r="23">
      <c r="A23">
        <f>ENTRY_Participants!$A23</f>
        <v/>
      </c>
      <c r="B23" s="4">
        <f>COUNTIF(RAW_Sessions!$A$2:$A$1201,ENTRY_Participants!$A23)</f>
        <v/>
      </c>
      <c r="C23" s="4">
        <f>IF(COUNTIFS(RAW_Sessions!$A$2:$A$1201,ENTRY_Participants!$A23,RAW_Sessions!$B$2:$B$1201,1)&gt;0,TRUE,FALSE)</f>
        <v/>
      </c>
      <c r="D23" s="4">
        <f>IF(B23=0,0,COUNTIFS(RAW_Sessions!$A$2:$A$1201,ENTRY_Participants!$A23,RAW_Sessions!$C$2:$C$1201,"&lt;="&amp;MINIFS(RAW_Sessions!$C$2:$C$1201,RAW_Sessions!$A$2:$A$1201,ENTRY_Participants!$A23)+RETURN_GAP_DAYS*FIVE_ATTEMPTS))</f>
        <v/>
      </c>
      <c r="E23" s="4">
        <f>IF(B23=0,FALSE,COUNTIFS(RAW_Sessions!$A$2:$A$1201,ENTRY_Participants!$A23,RAW_Sessions!$B$2:$B$1201,"&lt;="&amp;FIVE_ATTEMPTS)&gt;=FIVE_ATTEMPTS)</f>
        <v/>
      </c>
      <c r="F23" s="4">
        <f>IF(B23=0,FALSE,NOT(E23))</f>
        <v/>
      </c>
      <c r="G23" s="4">
        <f>IF(ENTRY_Observations!$B23="","",ENTRY_Observations!$B23)</f>
        <v/>
      </c>
      <c r="H23" s="4">
        <f>IF(ENTRY_Observations!$D23="","",ENTRY_Observations!$D23)</f>
        <v/>
      </c>
      <c r="I23" s="4">
        <f>IF(G23&lt;&gt;"",G23,F23)</f>
        <v/>
      </c>
      <c r="J23" s="4">
        <f>IF(H23&lt;&gt;"",H23,IF(I23=FALSE,FALSE,P23))</f>
        <v/>
      </c>
      <c r="K23" s="4">
        <f>IF(COUNTIF(RAW_Questionnaire!$A$2:$A$121,ENTRY_Participants!$A23)=0,"",IF(SUMIFS(RAW_Questionnaire!$I$2:$I$121,RAW_Questionnaire!$A$2:$A$121,ENTRY_Participants!$A23)&gt;=ENDORSE_THRESHOLD,TRUE,FALSE))</f>
        <v/>
      </c>
      <c r="L23" s="4">
        <f>IF(COUNTIF(RAW_Questionnaire!$A$2:$A$121,ENTRY_Participants!$A23)=0,"",IF(SUMIFS(RAW_Questionnaire!$J$2:$J$121,RAW_Questionnaire!$A$2:$A$121,ENTRY_Participants!$A23)&gt;=INTENT_THRESHOLD,TRUE,FALSE))</f>
        <v/>
      </c>
      <c r="M23" s="4">
        <f>IFERROR(LOOKUP(2,1/((RAW_Sessions!$A$2:$A$1201=ENTRY_Participants!$A23)*(RAW_Sessions!$M$2:$M$1201&lt;&gt;"")),RAW_Sessions!$M$2:$M$1201),"")</f>
        <v/>
      </c>
      <c r="N23" s="4">
        <f>IF(OR(M23="",ENTRY_Participants!$I23=""),"",M23-ENTRY_Participants!$I23)</f>
        <v/>
      </c>
    </row>
    <row r="24">
      <c r="A24">
        <f>ENTRY_Participants!$A24</f>
        <v/>
      </c>
      <c r="B24" s="4">
        <f>COUNTIF(RAW_Sessions!$A$2:$A$1201,ENTRY_Participants!$A24)</f>
        <v/>
      </c>
      <c r="C24" s="4">
        <f>IF(COUNTIFS(RAW_Sessions!$A$2:$A$1201,ENTRY_Participants!$A24,RAW_Sessions!$B$2:$B$1201,1)&gt;0,TRUE,FALSE)</f>
        <v/>
      </c>
      <c r="D24" s="4">
        <f>IF(B24=0,0,COUNTIFS(RAW_Sessions!$A$2:$A$1201,ENTRY_Participants!$A24,RAW_Sessions!$C$2:$C$1201,"&lt;="&amp;MINIFS(RAW_Sessions!$C$2:$C$1201,RAW_Sessions!$A$2:$A$1201,ENTRY_Participants!$A24)+RETURN_GAP_DAYS*FIVE_ATTEMPTS))</f>
        <v/>
      </c>
      <c r="E24" s="4">
        <f>IF(B24=0,FALSE,COUNTIFS(RAW_Sessions!$A$2:$A$1201,ENTRY_Participants!$A24,RAW_Sessions!$B$2:$B$1201,"&lt;="&amp;FIVE_ATTEMPTS)&gt;=FIVE_ATTEMPTS)</f>
        <v/>
      </c>
      <c r="F24" s="4">
        <f>IF(B24=0,FALSE,NOT(E24))</f>
        <v/>
      </c>
      <c r="G24" s="4">
        <f>IF(ENTRY_Observations!$B24="","",ENTRY_Observations!$B24)</f>
        <v/>
      </c>
      <c r="H24" s="4">
        <f>IF(ENTRY_Observations!$D24="","",ENTRY_Observations!$D24)</f>
        <v/>
      </c>
      <c r="I24" s="4">
        <f>IF(G24&lt;&gt;"",G24,F24)</f>
        <v/>
      </c>
      <c r="J24" s="4">
        <f>IF(H24&lt;&gt;"",H24,IF(I24=FALSE,FALSE,P24))</f>
        <v/>
      </c>
      <c r="K24" s="4">
        <f>IF(COUNTIF(RAW_Questionnaire!$A$2:$A$121,ENTRY_Participants!$A24)=0,"",IF(SUMIFS(RAW_Questionnaire!$I$2:$I$121,RAW_Questionnaire!$A$2:$A$121,ENTRY_Participants!$A24)&gt;=ENDORSE_THRESHOLD,TRUE,FALSE))</f>
        <v/>
      </c>
      <c r="L24" s="4">
        <f>IF(COUNTIF(RAW_Questionnaire!$A$2:$A$121,ENTRY_Participants!$A24)=0,"",IF(SUMIFS(RAW_Questionnaire!$J$2:$J$121,RAW_Questionnaire!$A$2:$A$121,ENTRY_Participants!$A24)&gt;=INTENT_THRESHOLD,TRUE,FALSE))</f>
        <v/>
      </c>
      <c r="M24" s="4">
        <f>IFERROR(LOOKUP(2,1/((RAW_Sessions!$A$2:$A$1201=ENTRY_Participants!$A24)*(RAW_Sessions!$M$2:$M$1201&lt;&gt;"")),RAW_Sessions!$M$2:$M$1201),"")</f>
        <v/>
      </c>
      <c r="N24" s="4">
        <f>IF(OR(M24="",ENTRY_Participants!$I24=""),"",M24-ENTRY_Participants!$I24)</f>
        <v/>
      </c>
    </row>
    <row r="25">
      <c r="A25">
        <f>ENTRY_Participants!$A25</f>
        <v/>
      </c>
      <c r="B25" s="4">
        <f>COUNTIF(RAW_Sessions!$A$2:$A$1201,ENTRY_Participants!$A25)</f>
        <v/>
      </c>
      <c r="C25" s="4">
        <f>IF(COUNTIFS(RAW_Sessions!$A$2:$A$1201,ENTRY_Participants!$A25,RAW_Sessions!$B$2:$B$1201,1)&gt;0,TRUE,FALSE)</f>
        <v/>
      </c>
      <c r="D25" s="4">
        <f>IF(B25=0,0,COUNTIFS(RAW_Sessions!$A$2:$A$1201,ENTRY_Participants!$A25,RAW_Sessions!$C$2:$C$1201,"&lt;="&amp;MINIFS(RAW_Sessions!$C$2:$C$1201,RAW_Sessions!$A$2:$A$1201,ENTRY_Participants!$A25)+RETURN_GAP_DAYS*FIVE_ATTEMPTS))</f>
        <v/>
      </c>
      <c r="E25" s="4">
        <f>IF(B25=0,FALSE,COUNTIFS(RAW_Sessions!$A$2:$A$1201,ENTRY_Participants!$A25,RAW_Sessions!$B$2:$B$1201,"&lt;="&amp;FIVE_ATTEMPTS)&gt;=FIVE_ATTEMPTS)</f>
        <v/>
      </c>
      <c r="F25" s="4">
        <f>IF(B25=0,FALSE,NOT(E25))</f>
        <v/>
      </c>
      <c r="G25" s="4">
        <f>IF(ENTRY_Observations!$B25="","",ENTRY_Observations!$B25)</f>
        <v/>
      </c>
      <c r="H25" s="4">
        <f>IF(ENTRY_Observations!$D25="","",ENTRY_Observations!$D25)</f>
        <v/>
      </c>
      <c r="I25" s="4">
        <f>IF(G25&lt;&gt;"",G25,F25)</f>
        <v/>
      </c>
      <c r="J25" s="4">
        <f>IF(H25&lt;&gt;"",H25,IF(I25=FALSE,FALSE,P25))</f>
        <v/>
      </c>
      <c r="K25" s="4">
        <f>IF(COUNTIF(RAW_Questionnaire!$A$2:$A$121,ENTRY_Participants!$A25)=0,"",IF(SUMIFS(RAW_Questionnaire!$I$2:$I$121,RAW_Questionnaire!$A$2:$A$121,ENTRY_Participants!$A25)&gt;=ENDORSE_THRESHOLD,TRUE,FALSE))</f>
        <v/>
      </c>
      <c r="L25" s="4">
        <f>IF(COUNTIF(RAW_Questionnaire!$A$2:$A$121,ENTRY_Participants!$A25)=0,"",IF(SUMIFS(RAW_Questionnaire!$J$2:$J$121,RAW_Questionnaire!$A$2:$A$121,ENTRY_Participants!$A25)&gt;=INTENT_THRESHOLD,TRUE,FALSE))</f>
        <v/>
      </c>
      <c r="M25" s="4">
        <f>IFERROR(LOOKUP(2,1/((RAW_Sessions!$A$2:$A$1201=ENTRY_Participants!$A25)*(RAW_Sessions!$M$2:$M$1201&lt;&gt;"")),RAW_Sessions!$M$2:$M$1201),"")</f>
        <v/>
      </c>
      <c r="N25" s="4">
        <f>IF(OR(M25="",ENTRY_Participants!$I25=""),"",M25-ENTRY_Participants!$I25)</f>
        <v/>
      </c>
    </row>
    <row r="26">
      <c r="A26">
        <f>ENTRY_Participants!$A26</f>
        <v/>
      </c>
      <c r="B26" s="4">
        <f>COUNTIF(RAW_Sessions!$A$2:$A$1201,ENTRY_Participants!$A26)</f>
        <v/>
      </c>
      <c r="C26" s="4">
        <f>IF(COUNTIFS(RAW_Sessions!$A$2:$A$1201,ENTRY_Participants!$A26,RAW_Sessions!$B$2:$B$1201,1)&gt;0,TRUE,FALSE)</f>
        <v/>
      </c>
      <c r="D26" s="4">
        <f>IF(B26=0,0,COUNTIFS(RAW_Sessions!$A$2:$A$1201,ENTRY_Participants!$A26,RAW_Sessions!$C$2:$C$1201,"&lt;="&amp;MINIFS(RAW_Sessions!$C$2:$C$1201,RAW_Sessions!$A$2:$A$1201,ENTRY_Participants!$A26)+RETURN_GAP_DAYS*FIVE_ATTEMPTS))</f>
        <v/>
      </c>
      <c r="E26" s="4">
        <f>IF(B26=0,FALSE,COUNTIFS(RAW_Sessions!$A$2:$A$1201,ENTRY_Participants!$A26,RAW_Sessions!$B$2:$B$1201,"&lt;="&amp;FIVE_ATTEMPTS)&gt;=FIVE_ATTEMPTS)</f>
        <v/>
      </c>
      <c r="F26" s="4">
        <f>IF(B26=0,FALSE,NOT(E26))</f>
        <v/>
      </c>
      <c r="G26" s="4">
        <f>IF(ENTRY_Observations!$B26="","",ENTRY_Observations!$B26)</f>
        <v/>
      </c>
      <c r="H26" s="4">
        <f>IF(ENTRY_Observations!$D26="","",ENTRY_Observations!$D26)</f>
        <v/>
      </c>
      <c r="I26" s="4">
        <f>IF(G26&lt;&gt;"",G26,F26)</f>
        <v/>
      </c>
      <c r="J26" s="4">
        <f>IF(H26&lt;&gt;"",H26,IF(I26=FALSE,FALSE,P26))</f>
        <v/>
      </c>
      <c r="K26" s="4">
        <f>IF(COUNTIF(RAW_Questionnaire!$A$2:$A$121,ENTRY_Participants!$A26)=0,"",IF(SUMIFS(RAW_Questionnaire!$I$2:$I$121,RAW_Questionnaire!$A$2:$A$121,ENTRY_Participants!$A26)&gt;=ENDORSE_THRESHOLD,TRUE,FALSE))</f>
        <v/>
      </c>
      <c r="L26" s="4">
        <f>IF(COUNTIF(RAW_Questionnaire!$A$2:$A$121,ENTRY_Participants!$A26)=0,"",IF(SUMIFS(RAW_Questionnaire!$J$2:$J$121,RAW_Questionnaire!$A$2:$A$121,ENTRY_Participants!$A26)&gt;=INTENT_THRESHOLD,TRUE,FALSE))</f>
        <v/>
      </c>
      <c r="M26" s="4">
        <f>IFERROR(LOOKUP(2,1/((RAW_Sessions!$A$2:$A$1201=ENTRY_Participants!$A26)*(RAW_Sessions!$M$2:$M$1201&lt;&gt;"")),RAW_Sessions!$M$2:$M$1201),"")</f>
        <v/>
      </c>
      <c r="N26" s="4">
        <f>IF(OR(M26="",ENTRY_Participants!$I26=""),"",M26-ENTRY_Participants!$I26)</f>
        <v/>
      </c>
    </row>
    <row r="27">
      <c r="A27">
        <f>ENTRY_Participants!$A27</f>
        <v/>
      </c>
      <c r="B27" s="4">
        <f>COUNTIF(RAW_Sessions!$A$2:$A$1201,ENTRY_Participants!$A27)</f>
        <v/>
      </c>
      <c r="C27" s="4">
        <f>IF(COUNTIFS(RAW_Sessions!$A$2:$A$1201,ENTRY_Participants!$A27,RAW_Sessions!$B$2:$B$1201,1)&gt;0,TRUE,FALSE)</f>
        <v/>
      </c>
      <c r="D27" s="4">
        <f>IF(B27=0,0,COUNTIFS(RAW_Sessions!$A$2:$A$1201,ENTRY_Participants!$A27,RAW_Sessions!$C$2:$C$1201,"&lt;="&amp;MINIFS(RAW_Sessions!$C$2:$C$1201,RAW_Sessions!$A$2:$A$1201,ENTRY_Participants!$A27)+RETURN_GAP_DAYS*FIVE_ATTEMPTS))</f>
        <v/>
      </c>
      <c r="E27" s="4">
        <f>IF(B27=0,FALSE,COUNTIFS(RAW_Sessions!$A$2:$A$1201,ENTRY_Participants!$A27,RAW_Sessions!$B$2:$B$1201,"&lt;="&amp;FIVE_ATTEMPTS)&gt;=FIVE_ATTEMPTS)</f>
        <v/>
      </c>
      <c r="F27" s="4">
        <f>IF(B27=0,FALSE,NOT(E27))</f>
        <v/>
      </c>
      <c r="G27" s="4">
        <f>IF(ENTRY_Observations!$B27="","",ENTRY_Observations!$B27)</f>
        <v/>
      </c>
      <c r="H27" s="4">
        <f>IF(ENTRY_Observations!$D27="","",ENTRY_Observations!$D27)</f>
        <v/>
      </c>
      <c r="I27" s="4">
        <f>IF(G27&lt;&gt;"",G27,F27)</f>
        <v/>
      </c>
      <c r="J27" s="4">
        <f>IF(H27&lt;&gt;"",H27,IF(I27=FALSE,FALSE,P27))</f>
        <v/>
      </c>
      <c r="K27" s="4">
        <f>IF(COUNTIF(RAW_Questionnaire!$A$2:$A$121,ENTRY_Participants!$A27)=0,"",IF(SUMIFS(RAW_Questionnaire!$I$2:$I$121,RAW_Questionnaire!$A$2:$A$121,ENTRY_Participants!$A27)&gt;=ENDORSE_THRESHOLD,TRUE,FALSE))</f>
        <v/>
      </c>
      <c r="L27" s="4">
        <f>IF(COUNTIF(RAW_Questionnaire!$A$2:$A$121,ENTRY_Participants!$A27)=0,"",IF(SUMIFS(RAW_Questionnaire!$J$2:$J$121,RAW_Questionnaire!$A$2:$A$121,ENTRY_Participants!$A27)&gt;=INTENT_THRESHOLD,TRUE,FALSE))</f>
        <v/>
      </c>
      <c r="M27" s="4">
        <f>IFERROR(LOOKUP(2,1/((RAW_Sessions!$A$2:$A$1201=ENTRY_Participants!$A27)*(RAW_Sessions!$M$2:$M$1201&lt;&gt;"")),RAW_Sessions!$M$2:$M$1201),"")</f>
        <v/>
      </c>
      <c r="N27" s="4">
        <f>IF(OR(M27="",ENTRY_Participants!$I27=""),"",M27-ENTRY_Participants!$I27)</f>
        <v/>
      </c>
    </row>
    <row r="28">
      <c r="A28">
        <f>ENTRY_Participants!$A28</f>
        <v/>
      </c>
      <c r="B28" s="4">
        <f>COUNTIF(RAW_Sessions!$A$2:$A$1201,ENTRY_Participants!$A28)</f>
        <v/>
      </c>
      <c r="C28" s="4">
        <f>IF(COUNTIFS(RAW_Sessions!$A$2:$A$1201,ENTRY_Participants!$A28,RAW_Sessions!$B$2:$B$1201,1)&gt;0,TRUE,FALSE)</f>
        <v/>
      </c>
      <c r="D28" s="4">
        <f>IF(B28=0,0,COUNTIFS(RAW_Sessions!$A$2:$A$1201,ENTRY_Participants!$A28,RAW_Sessions!$C$2:$C$1201,"&lt;="&amp;MINIFS(RAW_Sessions!$C$2:$C$1201,RAW_Sessions!$A$2:$A$1201,ENTRY_Participants!$A28)+RETURN_GAP_DAYS*FIVE_ATTEMPTS))</f>
        <v/>
      </c>
      <c r="E28" s="4">
        <f>IF(B28=0,FALSE,COUNTIFS(RAW_Sessions!$A$2:$A$1201,ENTRY_Participants!$A28,RAW_Sessions!$B$2:$B$1201,"&lt;="&amp;FIVE_ATTEMPTS)&gt;=FIVE_ATTEMPTS)</f>
        <v/>
      </c>
      <c r="F28" s="4">
        <f>IF(B28=0,FALSE,NOT(E28))</f>
        <v/>
      </c>
      <c r="G28" s="4">
        <f>IF(ENTRY_Observations!$B28="","",ENTRY_Observations!$B28)</f>
        <v/>
      </c>
      <c r="H28" s="4">
        <f>IF(ENTRY_Observations!$D28="","",ENTRY_Observations!$D28)</f>
        <v/>
      </c>
      <c r="I28" s="4">
        <f>IF(G28&lt;&gt;"",G28,F28)</f>
        <v/>
      </c>
      <c r="J28" s="4">
        <f>IF(H28&lt;&gt;"",H28,IF(I28=FALSE,FALSE,P28))</f>
        <v/>
      </c>
      <c r="K28" s="4">
        <f>IF(COUNTIF(RAW_Questionnaire!$A$2:$A$121,ENTRY_Participants!$A28)=0,"",IF(SUMIFS(RAW_Questionnaire!$I$2:$I$121,RAW_Questionnaire!$A$2:$A$121,ENTRY_Participants!$A28)&gt;=ENDORSE_THRESHOLD,TRUE,FALSE))</f>
        <v/>
      </c>
      <c r="L28" s="4">
        <f>IF(COUNTIF(RAW_Questionnaire!$A$2:$A$121,ENTRY_Participants!$A28)=0,"",IF(SUMIFS(RAW_Questionnaire!$J$2:$J$121,RAW_Questionnaire!$A$2:$A$121,ENTRY_Participants!$A28)&gt;=INTENT_THRESHOLD,TRUE,FALSE))</f>
        <v/>
      </c>
      <c r="M28" s="4">
        <f>IFERROR(LOOKUP(2,1/((RAW_Sessions!$A$2:$A$1201=ENTRY_Participants!$A28)*(RAW_Sessions!$M$2:$M$1201&lt;&gt;"")),RAW_Sessions!$M$2:$M$1201),"")</f>
        <v/>
      </c>
      <c r="N28" s="4">
        <f>IF(OR(M28="",ENTRY_Participants!$I28=""),"",M28-ENTRY_Participants!$I28)</f>
        <v/>
      </c>
    </row>
    <row r="29">
      <c r="A29">
        <f>ENTRY_Participants!$A29</f>
        <v/>
      </c>
      <c r="B29" s="4">
        <f>COUNTIF(RAW_Sessions!$A$2:$A$1201,ENTRY_Participants!$A29)</f>
        <v/>
      </c>
      <c r="C29" s="4">
        <f>IF(COUNTIFS(RAW_Sessions!$A$2:$A$1201,ENTRY_Participants!$A29,RAW_Sessions!$B$2:$B$1201,1)&gt;0,TRUE,FALSE)</f>
        <v/>
      </c>
      <c r="D29" s="4">
        <f>IF(B29=0,0,COUNTIFS(RAW_Sessions!$A$2:$A$1201,ENTRY_Participants!$A29,RAW_Sessions!$C$2:$C$1201,"&lt;="&amp;MINIFS(RAW_Sessions!$C$2:$C$1201,RAW_Sessions!$A$2:$A$1201,ENTRY_Participants!$A29)+RETURN_GAP_DAYS*FIVE_ATTEMPTS))</f>
        <v/>
      </c>
      <c r="E29" s="4">
        <f>IF(B29=0,FALSE,COUNTIFS(RAW_Sessions!$A$2:$A$1201,ENTRY_Participants!$A29,RAW_Sessions!$B$2:$B$1201,"&lt;="&amp;FIVE_ATTEMPTS)&gt;=FIVE_ATTEMPTS)</f>
        <v/>
      </c>
      <c r="F29" s="4">
        <f>IF(B29=0,FALSE,NOT(E29))</f>
        <v/>
      </c>
      <c r="G29" s="4">
        <f>IF(ENTRY_Observations!$B29="","",ENTRY_Observations!$B29)</f>
        <v/>
      </c>
      <c r="H29" s="4">
        <f>IF(ENTRY_Observations!$D29="","",ENTRY_Observations!$D29)</f>
        <v/>
      </c>
      <c r="I29" s="4">
        <f>IF(G29&lt;&gt;"",G29,F29)</f>
        <v/>
      </c>
      <c r="J29" s="4">
        <f>IF(H29&lt;&gt;"",H29,IF(I29=FALSE,FALSE,P29))</f>
        <v/>
      </c>
      <c r="K29" s="4">
        <f>IF(COUNTIF(RAW_Questionnaire!$A$2:$A$121,ENTRY_Participants!$A29)=0,"",IF(SUMIFS(RAW_Questionnaire!$I$2:$I$121,RAW_Questionnaire!$A$2:$A$121,ENTRY_Participants!$A29)&gt;=ENDORSE_THRESHOLD,TRUE,FALSE))</f>
        <v/>
      </c>
      <c r="L29" s="4">
        <f>IF(COUNTIF(RAW_Questionnaire!$A$2:$A$121,ENTRY_Participants!$A29)=0,"",IF(SUMIFS(RAW_Questionnaire!$J$2:$J$121,RAW_Questionnaire!$A$2:$A$121,ENTRY_Participants!$A29)&gt;=INTENT_THRESHOLD,TRUE,FALSE))</f>
        <v/>
      </c>
      <c r="M29" s="4">
        <f>IFERROR(LOOKUP(2,1/((RAW_Sessions!$A$2:$A$1201=ENTRY_Participants!$A29)*(RAW_Sessions!$M$2:$M$1201&lt;&gt;"")),RAW_Sessions!$M$2:$M$1201),"")</f>
        <v/>
      </c>
      <c r="N29" s="4">
        <f>IF(OR(M29="",ENTRY_Participants!$I29=""),"",M29-ENTRY_Participants!$I29)</f>
        <v/>
      </c>
    </row>
    <row r="30">
      <c r="A30">
        <f>ENTRY_Participants!$A30</f>
        <v/>
      </c>
      <c r="B30" s="4">
        <f>COUNTIF(RAW_Sessions!$A$2:$A$1201,ENTRY_Participants!$A30)</f>
        <v/>
      </c>
      <c r="C30" s="4">
        <f>IF(COUNTIFS(RAW_Sessions!$A$2:$A$1201,ENTRY_Participants!$A30,RAW_Sessions!$B$2:$B$1201,1)&gt;0,TRUE,FALSE)</f>
        <v/>
      </c>
      <c r="D30" s="4">
        <f>IF(B30=0,0,COUNTIFS(RAW_Sessions!$A$2:$A$1201,ENTRY_Participants!$A30,RAW_Sessions!$C$2:$C$1201,"&lt;="&amp;MINIFS(RAW_Sessions!$C$2:$C$1201,RAW_Sessions!$A$2:$A$1201,ENTRY_Participants!$A30)+RETURN_GAP_DAYS*FIVE_ATTEMPTS))</f>
        <v/>
      </c>
      <c r="E30" s="4">
        <f>IF(B30=0,FALSE,COUNTIFS(RAW_Sessions!$A$2:$A$1201,ENTRY_Participants!$A30,RAW_Sessions!$B$2:$B$1201,"&lt;="&amp;FIVE_ATTEMPTS)&gt;=FIVE_ATTEMPTS)</f>
        <v/>
      </c>
      <c r="F30" s="4">
        <f>IF(B30=0,FALSE,NOT(E30))</f>
        <v/>
      </c>
      <c r="G30" s="4">
        <f>IF(ENTRY_Observations!$B30="","",ENTRY_Observations!$B30)</f>
        <v/>
      </c>
      <c r="H30" s="4">
        <f>IF(ENTRY_Observations!$D30="","",ENTRY_Observations!$D30)</f>
        <v/>
      </c>
      <c r="I30" s="4">
        <f>IF(G30&lt;&gt;"",G30,F30)</f>
        <v/>
      </c>
      <c r="J30" s="4">
        <f>IF(H30&lt;&gt;"",H30,IF(I30=FALSE,FALSE,P30))</f>
        <v/>
      </c>
      <c r="K30" s="4">
        <f>IF(COUNTIF(RAW_Questionnaire!$A$2:$A$121,ENTRY_Participants!$A30)=0,"",IF(SUMIFS(RAW_Questionnaire!$I$2:$I$121,RAW_Questionnaire!$A$2:$A$121,ENTRY_Participants!$A30)&gt;=ENDORSE_THRESHOLD,TRUE,FALSE))</f>
        <v/>
      </c>
      <c r="L30" s="4">
        <f>IF(COUNTIF(RAW_Questionnaire!$A$2:$A$121,ENTRY_Participants!$A30)=0,"",IF(SUMIFS(RAW_Questionnaire!$J$2:$J$121,RAW_Questionnaire!$A$2:$A$121,ENTRY_Participants!$A30)&gt;=INTENT_THRESHOLD,TRUE,FALSE))</f>
        <v/>
      </c>
      <c r="M30" s="4">
        <f>IFERROR(LOOKUP(2,1/((RAW_Sessions!$A$2:$A$1201=ENTRY_Participants!$A30)*(RAW_Sessions!$M$2:$M$1201&lt;&gt;"")),RAW_Sessions!$M$2:$M$1201),"")</f>
        <v/>
      </c>
      <c r="N30" s="4">
        <f>IF(OR(M30="",ENTRY_Participants!$I30=""),"",M30-ENTRY_Participants!$I30)</f>
        <v/>
      </c>
    </row>
    <row r="31">
      <c r="A31">
        <f>ENTRY_Participants!$A31</f>
        <v/>
      </c>
      <c r="B31" s="4">
        <f>COUNTIF(RAW_Sessions!$A$2:$A$1201,ENTRY_Participants!$A31)</f>
        <v/>
      </c>
      <c r="C31" s="4">
        <f>IF(COUNTIFS(RAW_Sessions!$A$2:$A$1201,ENTRY_Participants!$A31,RAW_Sessions!$B$2:$B$1201,1)&gt;0,TRUE,FALSE)</f>
        <v/>
      </c>
      <c r="D31" s="4">
        <f>IF(B31=0,0,COUNTIFS(RAW_Sessions!$A$2:$A$1201,ENTRY_Participants!$A31,RAW_Sessions!$C$2:$C$1201,"&lt;="&amp;MINIFS(RAW_Sessions!$C$2:$C$1201,RAW_Sessions!$A$2:$A$1201,ENTRY_Participants!$A31)+RETURN_GAP_DAYS*FIVE_ATTEMPTS))</f>
        <v/>
      </c>
      <c r="E31" s="4">
        <f>IF(B31=0,FALSE,COUNTIFS(RAW_Sessions!$A$2:$A$1201,ENTRY_Participants!$A31,RAW_Sessions!$B$2:$B$1201,"&lt;="&amp;FIVE_ATTEMPTS)&gt;=FIVE_ATTEMPTS)</f>
        <v/>
      </c>
      <c r="F31" s="4">
        <f>IF(B31=0,FALSE,NOT(E31))</f>
        <v/>
      </c>
      <c r="G31" s="4">
        <f>IF(ENTRY_Observations!$B31="","",ENTRY_Observations!$B31)</f>
        <v/>
      </c>
      <c r="H31" s="4">
        <f>IF(ENTRY_Observations!$D31="","",ENTRY_Observations!$D31)</f>
        <v/>
      </c>
      <c r="I31" s="4">
        <f>IF(G31&lt;&gt;"",G31,F31)</f>
        <v/>
      </c>
      <c r="J31" s="4">
        <f>IF(H31&lt;&gt;"",H31,IF(I31=FALSE,FALSE,P31))</f>
        <v/>
      </c>
      <c r="K31" s="4">
        <f>IF(COUNTIF(RAW_Questionnaire!$A$2:$A$121,ENTRY_Participants!$A31)=0,"",IF(SUMIFS(RAW_Questionnaire!$I$2:$I$121,RAW_Questionnaire!$A$2:$A$121,ENTRY_Participants!$A31)&gt;=ENDORSE_THRESHOLD,TRUE,FALSE))</f>
        <v/>
      </c>
      <c r="L31" s="4">
        <f>IF(COUNTIF(RAW_Questionnaire!$A$2:$A$121,ENTRY_Participants!$A31)=0,"",IF(SUMIFS(RAW_Questionnaire!$J$2:$J$121,RAW_Questionnaire!$A$2:$A$121,ENTRY_Participants!$A31)&gt;=INTENT_THRESHOLD,TRUE,FALSE))</f>
        <v/>
      </c>
      <c r="M31" s="4">
        <f>IFERROR(LOOKUP(2,1/((RAW_Sessions!$A$2:$A$1201=ENTRY_Participants!$A31)*(RAW_Sessions!$M$2:$M$1201&lt;&gt;"")),RAW_Sessions!$M$2:$M$1201),"")</f>
        <v/>
      </c>
      <c r="N31" s="4">
        <f>IF(OR(M31="",ENTRY_Participants!$I31=""),"",M31-ENTRY_Participants!$I31)</f>
        <v/>
      </c>
    </row>
    <row r="32">
      <c r="A32">
        <f>ENTRY_Participants!$A32</f>
        <v/>
      </c>
      <c r="B32" s="4">
        <f>COUNTIF(RAW_Sessions!$A$2:$A$1201,ENTRY_Participants!$A32)</f>
        <v/>
      </c>
      <c r="C32" s="4">
        <f>IF(COUNTIFS(RAW_Sessions!$A$2:$A$1201,ENTRY_Participants!$A32,RAW_Sessions!$B$2:$B$1201,1)&gt;0,TRUE,FALSE)</f>
        <v/>
      </c>
      <c r="D32" s="4">
        <f>IF(B32=0,0,COUNTIFS(RAW_Sessions!$A$2:$A$1201,ENTRY_Participants!$A32,RAW_Sessions!$C$2:$C$1201,"&lt;="&amp;MINIFS(RAW_Sessions!$C$2:$C$1201,RAW_Sessions!$A$2:$A$1201,ENTRY_Participants!$A32)+RETURN_GAP_DAYS*FIVE_ATTEMPTS))</f>
        <v/>
      </c>
      <c r="E32" s="4">
        <f>IF(B32=0,FALSE,COUNTIFS(RAW_Sessions!$A$2:$A$1201,ENTRY_Participants!$A32,RAW_Sessions!$B$2:$B$1201,"&lt;="&amp;FIVE_ATTEMPTS)&gt;=FIVE_ATTEMPTS)</f>
        <v/>
      </c>
      <c r="F32" s="4">
        <f>IF(B32=0,FALSE,NOT(E32))</f>
        <v/>
      </c>
      <c r="G32" s="4">
        <f>IF(ENTRY_Observations!$B32="","",ENTRY_Observations!$B32)</f>
        <v/>
      </c>
      <c r="H32" s="4">
        <f>IF(ENTRY_Observations!$D32="","",ENTRY_Observations!$D32)</f>
        <v/>
      </c>
      <c r="I32" s="4">
        <f>IF(G32&lt;&gt;"",G32,F32)</f>
        <v/>
      </c>
      <c r="J32" s="4">
        <f>IF(H32&lt;&gt;"",H32,IF(I32=FALSE,FALSE,P32))</f>
        <v/>
      </c>
      <c r="K32" s="4">
        <f>IF(COUNTIF(RAW_Questionnaire!$A$2:$A$121,ENTRY_Participants!$A32)=0,"",IF(SUMIFS(RAW_Questionnaire!$I$2:$I$121,RAW_Questionnaire!$A$2:$A$121,ENTRY_Participants!$A32)&gt;=ENDORSE_THRESHOLD,TRUE,FALSE))</f>
        <v/>
      </c>
      <c r="L32" s="4">
        <f>IF(COUNTIF(RAW_Questionnaire!$A$2:$A$121,ENTRY_Participants!$A32)=0,"",IF(SUMIFS(RAW_Questionnaire!$J$2:$J$121,RAW_Questionnaire!$A$2:$A$121,ENTRY_Participants!$A32)&gt;=INTENT_THRESHOLD,TRUE,FALSE))</f>
        <v/>
      </c>
      <c r="M32" s="4">
        <f>IFERROR(LOOKUP(2,1/((RAW_Sessions!$A$2:$A$1201=ENTRY_Participants!$A32)*(RAW_Sessions!$M$2:$M$1201&lt;&gt;"")),RAW_Sessions!$M$2:$M$1201),"")</f>
        <v/>
      </c>
      <c r="N32" s="4">
        <f>IF(OR(M32="",ENTRY_Participants!$I32=""),"",M32-ENTRY_Participants!$I32)</f>
        <v/>
      </c>
    </row>
    <row r="33">
      <c r="A33">
        <f>ENTRY_Participants!$A33</f>
        <v/>
      </c>
      <c r="B33" s="4">
        <f>COUNTIF(RAW_Sessions!$A$2:$A$1201,ENTRY_Participants!$A33)</f>
        <v/>
      </c>
      <c r="C33" s="4">
        <f>IF(COUNTIFS(RAW_Sessions!$A$2:$A$1201,ENTRY_Participants!$A33,RAW_Sessions!$B$2:$B$1201,1)&gt;0,TRUE,FALSE)</f>
        <v/>
      </c>
      <c r="D33" s="4">
        <f>IF(B33=0,0,COUNTIFS(RAW_Sessions!$A$2:$A$1201,ENTRY_Participants!$A33,RAW_Sessions!$C$2:$C$1201,"&lt;="&amp;MINIFS(RAW_Sessions!$C$2:$C$1201,RAW_Sessions!$A$2:$A$1201,ENTRY_Participants!$A33)+RETURN_GAP_DAYS*FIVE_ATTEMPTS))</f>
        <v/>
      </c>
      <c r="E33" s="4">
        <f>IF(B33=0,FALSE,COUNTIFS(RAW_Sessions!$A$2:$A$1201,ENTRY_Participants!$A33,RAW_Sessions!$B$2:$B$1201,"&lt;="&amp;FIVE_ATTEMPTS)&gt;=FIVE_ATTEMPTS)</f>
        <v/>
      </c>
      <c r="F33" s="4">
        <f>IF(B33=0,FALSE,NOT(E33))</f>
        <v/>
      </c>
      <c r="G33" s="4">
        <f>IF(ENTRY_Observations!$B33="","",ENTRY_Observations!$B33)</f>
        <v/>
      </c>
      <c r="H33" s="4">
        <f>IF(ENTRY_Observations!$D33="","",ENTRY_Observations!$D33)</f>
        <v/>
      </c>
      <c r="I33" s="4">
        <f>IF(G33&lt;&gt;"",G33,F33)</f>
        <v/>
      </c>
      <c r="J33" s="4">
        <f>IF(H33&lt;&gt;"",H33,IF(I33=FALSE,FALSE,P33))</f>
        <v/>
      </c>
      <c r="K33" s="4">
        <f>IF(COUNTIF(RAW_Questionnaire!$A$2:$A$121,ENTRY_Participants!$A33)=0,"",IF(SUMIFS(RAW_Questionnaire!$I$2:$I$121,RAW_Questionnaire!$A$2:$A$121,ENTRY_Participants!$A33)&gt;=ENDORSE_THRESHOLD,TRUE,FALSE))</f>
        <v/>
      </c>
      <c r="L33" s="4">
        <f>IF(COUNTIF(RAW_Questionnaire!$A$2:$A$121,ENTRY_Participants!$A33)=0,"",IF(SUMIFS(RAW_Questionnaire!$J$2:$J$121,RAW_Questionnaire!$A$2:$A$121,ENTRY_Participants!$A33)&gt;=INTENT_THRESHOLD,TRUE,FALSE))</f>
        <v/>
      </c>
      <c r="M33" s="4">
        <f>IFERROR(LOOKUP(2,1/((RAW_Sessions!$A$2:$A$1201=ENTRY_Participants!$A33)*(RAW_Sessions!$M$2:$M$1201&lt;&gt;"")),RAW_Sessions!$M$2:$M$1201),"")</f>
        <v/>
      </c>
      <c r="N33" s="4">
        <f>IF(OR(M33="",ENTRY_Participants!$I33=""),"",M33-ENTRY_Participants!$I33)</f>
        <v/>
      </c>
    </row>
    <row r="34">
      <c r="A34">
        <f>ENTRY_Participants!$A34</f>
        <v/>
      </c>
      <c r="B34" s="4">
        <f>COUNTIF(RAW_Sessions!$A$2:$A$1201,ENTRY_Participants!$A34)</f>
        <v/>
      </c>
      <c r="C34" s="4">
        <f>IF(COUNTIFS(RAW_Sessions!$A$2:$A$1201,ENTRY_Participants!$A34,RAW_Sessions!$B$2:$B$1201,1)&gt;0,TRUE,FALSE)</f>
        <v/>
      </c>
      <c r="D34" s="4">
        <f>IF(B34=0,0,COUNTIFS(RAW_Sessions!$A$2:$A$1201,ENTRY_Participants!$A34,RAW_Sessions!$C$2:$C$1201,"&lt;="&amp;MINIFS(RAW_Sessions!$C$2:$C$1201,RAW_Sessions!$A$2:$A$1201,ENTRY_Participants!$A34)+RETURN_GAP_DAYS*FIVE_ATTEMPTS))</f>
        <v/>
      </c>
      <c r="E34" s="4">
        <f>IF(B34=0,FALSE,COUNTIFS(RAW_Sessions!$A$2:$A$1201,ENTRY_Participants!$A34,RAW_Sessions!$B$2:$B$1201,"&lt;="&amp;FIVE_ATTEMPTS)&gt;=FIVE_ATTEMPTS)</f>
        <v/>
      </c>
      <c r="F34" s="4">
        <f>IF(B34=0,FALSE,NOT(E34))</f>
        <v/>
      </c>
      <c r="G34" s="4">
        <f>IF(ENTRY_Observations!$B34="","",ENTRY_Observations!$B34)</f>
        <v/>
      </c>
      <c r="H34" s="4">
        <f>IF(ENTRY_Observations!$D34="","",ENTRY_Observations!$D34)</f>
        <v/>
      </c>
      <c r="I34" s="4">
        <f>IF(G34&lt;&gt;"",G34,F34)</f>
        <v/>
      </c>
      <c r="J34" s="4">
        <f>IF(H34&lt;&gt;"",H34,IF(I34=FALSE,FALSE,P34))</f>
        <v/>
      </c>
      <c r="K34" s="4">
        <f>IF(COUNTIF(RAW_Questionnaire!$A$2:$A$121,ENTRY_Participants!$A34)=0,"",IF(SUMIFS(RAW_Questionnaire!$I$2:$I$121,RAW_Questionnaire!$A$2:$A$121,ENTRY_Participants!$A34)&gt;=ENDORSE_THRESHOLD,TRUE,FALSE))</f>
        <v/>
      </c>
      <c r="L34" s="4">
        <f>IF(COUNTIF(RAW_Questionnaire!$A$2:$A$121,ENTRY_Participants!$A34)=0,"",IF(SUMIFS(RAW_Questionnaire!$J$2:$J$121,RAW_Questionnaire!$A$2:$A$121,ENTRY_Participants!$A34)&gt;=INTENT_THRESHOLD,TRUE,FALSE))</f>
        <v/>
      </c>
      <c r="M34" s="4">
        <f>IFERROR(LOOKUP(2,1/((RAW_Sessions!$A$2:$A$1201=ENTRY_Participants!$A34)*(RAW_Sessions!$M$2:$M$1201&lt;&gt;"")),RAW_Sessions!$M$2:$M$1201),"")</f>
        <v/>
      </c>
      <c r="N34" s="4">
        <f>IF(OR(M34="",ENTRY_Participants!$I34=""),"",M34-ENTRY_Participants!$I34)</f>
        <v/>
      </c>
    </row>
    <row r="35">
      <c r="A35">
        <f>ENTRY_Participants!$A35</f>
        <v/>
      </c>
      <c r="B35" s="4">
        <f>COUNTIF(RAW_Sessions!$A$2:$A$1201,ENTRY_Participants!$A35)</f>
        <v/>
      </c>
      <c r="C35" s="4">
        <f>IF(COUNTIFS(RAW_Sessions!$A$2:$A$1201,ENTRY_Participants!$A35,RAW_Sessions!$B$2:$B$1201,1)&gt;0,TRUE,FALSE)</f>
        <v/>
      </c>
      <c r="D35" s="4">
        <f>IF(B35=0,0,COUNTIFS(RAW_Sessions!$A$2:$A$1201,ENTRY_Participants!$A35,RAW_Sessions!$C$2:$C$1201,"&lt;="&amp;MINIFS(RAW_Sessions!$C$2:$C$1201,RAW_Sessions!$A$2:$A$1201,ENTRY_Participants!$A35)+RETURN_GAP_DAYS*FIVE_ATTEMPTS))</f>
        <v/>
      </c>
      <c r="E35" s="4">
        <f>IF(B35=0,FALSE,COUNTIFS(RAW_Sessions!$A$2:$A$1201,ENTRY_Participants!$A35,RAW_Sessions!$B$2:$B$1201,"&lt;="&amp;FIVE_ATTEMPTS)&gt;=FIVE_ATTEMPTS)</f>
        <v/>
      </c>
      <c r="F35" s="4">
        <f>IF(B35=0,FALSE,NOT(E35))</f>
        <v/>
      </c>
      <c r="G35" s="4">
        <f>IF(ENTRY_Observations!$B35="","",ENTRY_Observations!$B35)</f>
        <v/>
      </c>
      <c r="H35" s="4">
        <f>IF(ENTRY_Observations!$D35="","",ENTRY_Observations!$D35)</f>
        <v/>
      </c>
      <c r="I35" s="4">
        <f>IF(G35&lt;&gt;"",G35,F35)</f>
        <v/>
      </c>
      <c r="J35" s="4">
        <f>IF(H35&lt;&gt;"",H35,IF(I35=FALSE,FALSE,P35))</f>
        <v/>
      </c>
      <c r="K35" s="4">
        <f>IF(COUNTIF(RAW_Questionnaire!$A$2:$A$121,ENTRY_Participants!$A35)=0,"",IF(SUMIFS(RAW_Questionnaire!$I$2:$I$121,RAW_Questionnaire!$A$2:$A$121,ENTRY_Participants!$A35)&gt;=ENDORSE_THRESHOLD,TRUE,FALSE))</f>
        <v/>
      </c>
      <c r="L35" s="4">
        <f>IF(COUNTIF(RAW_Questionnaire!$A$2:$A$121,ENTRY_Participants!$A35)=0,"",IF(SUMIFS(RAW_Questionnaire!$J$2:$J$121,RAW_Questionnaire!$A$2:$A$121,ENTRY_Participants!$A35)&gt;=INTENT_THRESHOLD,TRUE,FALSE))</f>
        <v/>
      </c>
      <c r="M35" s="4">
        <f>IFERROR(LOOKUP(2,1/((RAW_Sessions!$A$2:$A$1201=ENTRY_Participants!$A35)*(RAW_Sessions!$M$2:$M$1201&lt;&gt;"")),RAW_Sessions!$M$2:$M$1201),"")</f>
        <v/>
      </c>
      <c r="N35" s="4">
        <f>IF(OR(M35="",ENTRY_Participants!$I35=""),"",M35-ENTRY_Participants!$I35)</f>
        <v/>
      </c>
    </row>
    <row r="36">
      <c r="A36">
        <f>ENTRY_Participants!$A36</f>
        <v/>
      </c>
      <c r="B36" s="4">
        <f>COUNTIF(RAW_Sessions!$A$2:$A$1201,ENTRY_Participants!$A36)</f>
        <v/>
      </c>
      <c r="C36" s="4">
        <f>IF(COUNTIFS(RAW_Sessions!$A$2:$A$1201,ENTRY_Participants!$A36,RAW_Sessions!$B$2:$B$1201,1)&gt;0,TRUE,FALSE)</f>
        <v/>
      </c>
      <c r="D36" s="4">
        <f>IF(B36=0,0,COUNTIFS(RAW_Sessions!$A$2:$A$1201,ENTRY_Participants!$A36,RAW_Sessions!$C$2:$C$1201,"&lt;="&amp;MINIFS(RAW_Sessions!$C$2:$C$1201,RAW_Sessions!$A$2:$A$1201,ENTRY_Participants!$A36)+RETURN_GAP_DAYS*FIVE_ATTEMPTS))</f>
        <v/>
      </c>
      <c r="E36" s="4">
        <f>IF(B36=0,FALSE,COUNTIFS(RAW_Sessions!$A$2:$A$1201,ENTRY_Participants!$A36,RAW_Sessions!$B$2:$B$1201,"&lt;="&amp;FIVE_ATTEMPTS)&gt;=FIVE_ATTEMPTS)</f>
        <v/>
      </c>
      <c r="F36" s="4">
        <f>IF(B36=0,FALSE,NOT(E36))</f>
        <v/>
      </c>
      <c r="G36" s="4">
        <f>IF(ENTRY_Observations!$B36="","",ENTRY_Observations!$B36)</f>
        <v/>
      </c>
      <c r="H36" s="4">
        <f>IF(ENTRY_Observations!$D36="","",ENTRY_Observations!$D36)</f>
        <v/>
      </c>
      <c r="I36" s="4">
        <f>IF(G36&lt;&gt;"",G36,F36)</f>
        <v/>
      </c>
      <c r="J36" s="4">
        <f>IF(H36&lt;&gt;"",H36,IF(I36=FALSE,FALSE,P36))</f>
        <v/>
      </c>
      <c r="K36" s="4">
        <f>IF(COUNTIF(RAW_Questionnaire!$A$2:$A$121,ENTRY_Participants!$A36)=0,"",IF(SUMIFS(RAW_Questionnaire!$I$2:$I$121,RAW_Questionnaire!$A$2:$A$121,ENTRY_Participants!$A36)&gt;=ENDORSE_THRESHOLD,TRUE,FALSE))</f>
        <v/>
      </c>
      <c r="L36" s="4">
        <f>IF(COUNTIF(RAW_Questionnaire!$A$2:$A$121,ENTRY_Participants!$A36)=0,"",IF(SUMIFS(RAW_Questionnaire!$J$2:$J$121,RAW_Questionnaire!$A$2:$A$121,ENTRY_Participants!$A36)&gt;=INTENT_THRESHOLD,TRUE,FALSE))</f>
        <v/>
      </c>
      <c r="M36" s="4">
        <f>IFERROR(LOOKUP(2,1/((RAW_Sessions!$A$2:$A$1201=ENTRY_Participants!$A36)*(RAW_Sessions!$M$2:$M$1201&lt;&gt;"")),RAW_Sessions!$M$2:$M$1201),"")</f>
        <v/>
      </c>
      <c r="N36" s="4">
        <f>IF(OR(M36="",ENTRY_Participants!$I36=""),"",M36-ENTRY_Participants!$I36)</f>
        <v/>
      </c>
    </row>
    <row r="37">
      <c r="A37">
        <f>ENTRY_Participants!$A37</f>
        <v/>
      </c>
      <c r="B37" s="4">
        <f>COUNTIF(RAW_Sessions!$A$2:$A$1201,ENTRY_Participants!$A37)</f>
        <v/>
      </c>
      <c r="C37" s="4">
        <f>IF(COUNTIFS(RAW_Sessions!$A$2:$A$1201,ENTRY_Participants!$A37,RAW_Sessions!$B$2:$B$1201,1)&gt;0,TRUE,FALSE)</f>
        <v/>
      </c>
      <c r="D37" s="4">
        <f>IF(B37=0,0,COUNTIFS(RAW_Sessions!$A$2:$A$1201,ENTRY_Participants!$A37,RAW_Sessions!$C$2:$C$1201,"&lt;="&amp;MINIFS(RAW_Sessions!$C$2:$C$1201,RAW_Sessions!$A$2:$A$1201,ENTRY_Participants!$A37)+RETURN_GAP_DAYS*FIVE_ATTEMPTS))</f>
        <v/>
      </c>
      <c r="E37" s="4">
        <f>IF(B37=0,FALSE,COUNTIFS(RAW_Sessions!$A$2:$A$1201,ENTRY_Participants!$A37,RAW_Sessions!$B$2:$B$1201,"&lt;="&amp;FIVE_ATTEMPTS)&gt;=FIVE_ATTEMPTS)</f>
        <v/>
      </c>
      <c r="F37" s="4">
        <f>IF(B37=0,FALSE,NOT(E37))</f>
        <v/>
      </c>
      <c r="G37" s="4">
        <f>IF(ENTRY_Observations!$B37="","",ENTRY_Observations!$B37)</f>
        <v/>
      </c>
      <c r="H37" s="4">
        <f>IF(ENTRY_Observations!$D37="","",ENTRY_Observations!$D37)</f>
        <v/>
      </c>
      <c r="I37" s="4">
        <f>IF(G37&lt;&gt;"",G37,F37)</f>
        <v/>
      </c>
      <c r="J37" s="4">
        <f>IF(H37&lt;&gt;"",H37,IF(I37=FALSE,FALSE,P37))</f>
        <v/>
      </c>
      <c r="K37" s="4">
        <f>IF(COUNTIF(RAW_Questionnaire!$A$2:$A$121,ENTRY_Participants!$A37)=0,"",IF(SUMIFS(RAW_Questionnaire!$I$2:$I$121,RAW_Questionnaire!$A$2:$A$121,ENTRY_Participants!$A37)&gt;=ENDORSE_THRESHOLD,TRUE,FALSE))</f>
        <v/>
      </c>
      <c r="L37" s="4">
        <f>IF(COUNTIF(RAW_Questionnaire!$A$2:$A$121,ENTRY_Participants!$A37)=0,"",IF(SUMIFS(RAW_Questionnaire!$J$2:$J$121,RAW_Questionnaire!$A$2:$A$121,ENTRY_Participants!$A37)&gt;=INTENT_THRESHOLD,TRUE,FALSE))</f>
        <v/>
      </c>
      <c r="M37" s="4">
        <f>IFERROR(LOOKUP(2,1/((RAW_Sessions!$A$2:$A$1201=ENTRY_Participants!$A37)*(RAW_Sessions!$M$2:$M$1201&lt;&gt;"")),RAW_Sessions!$M$2:$M$1201),"")</f>
        <v/>
      </c>
      <c r="N37" s="4">
        <f>IF(OR(M37="",ENTRY_Participants!$I37=""),"",M37-ENTRY_Participants!$I37)</f>
        <v/>
      </c>
    </row>
    <row r="38">
      <c r="A38">
        <f>ENTRY_Participants!$A38</f>
        <v/>
      </c>
      <c r="B38" s="4">
        <f>COUNTIF(RAW_Sessions!$A$2:$A$1201,ENTRY_Participants!$A38)</f>
        <v/>
      </c>
      <c r="C38" s="4">
        <f>IF(COUNTIFS(RAW_Sessions!$A$2:$A$1201,ENTRY_Participants!$A38,RAW_Sessions!$B$2:$B$1201,1)&gt;0,TRUE,FALSE)</f>
        <v/>
      </c>
      <c r="D38" s="4">
        <f>IF(B38=0,0,COUNTIFS(RAW_Sessions!$A$2:$A$1201,ENTRY_Participants!$A38,RAW_Sessions!$C$2:$C$1201,"&lt;="&amp;MINIFS(RAW_Sessions!$C$2:$C$1201,RAW_Sessions!$A$2:$A$1201,ENTRY_Participants!$A38)+RETURN_GAP_DAYS*FIVE_ATTEMPTS))</f>
        <v/>
      </c>
      <c r="E38" s="4">
        <f>IF(B38=0,FALSE,COUNTIFS(RAW_Sessions!$A$2:$A$1201,ENTRY_Participants!$A38,RAW_Sessions!$B$2:$B$1201,"&lt;="&amp;FIVE_ATTEMPTS)&gt;=FIVE_ATTEMPTS)</f>
        <v/>
      </c>
      <c r="F38" s="4">
        <f>IF(B38=0,FALSE,NOT(E38))</f>
        <v/>
      </c>
      <c r="G38" s="4">
        <f>IF(ENTRY_Observations!$B38="","",ENTRY_Observations!$B38)</f>
        <v/>
      </c>
      <c r="H38" s="4">
        <f>IF(ENTRY_Observations!$D38="","",ENTRY_Observations!$D38)</f>
        <v/>
      </c>
      <c r="I38" s="4">
        <f>IF(G38&lt;&gt;"",G38,F38)</f>
        <v/>
      </c>
      <c r="J38" s="4">
        <f>IF(H38&lt;&gt;"",H38,IF(I38=FALSE,FALSE,P38))</f>
        <v/>
      </c>
      <c r="K38" s="4">
        <f>IF(COUNTIF(RAW_Questionnaire!$A$2:$A$121,ENTRY_Participants!$A38)=0,"",IF(SUMIFS(RAW_Questionnaire!$I$2:$I$121,RAW_Questionnaire!$A$2:$A$121,ENTRY_Participants!$A38)&gt;=ENDORSE_THRESHOLD,TRUE,FALSE))</f>
        <v/>
      </c>
      <c r="L38" s="4">
        <f>IF(COUNTIF(RAW_Questionnaire!$A$2:$A$121,ENTRY_Participants!$A38)=0,"",IF(SUMIFS(RAW_Questionnaire!$J$2:$J$121,RAW_Questionnaire!$A$2:$A$121,ENTRY_Participants!$A38)&gt;=INTENT_THRESHOLD,TRUE,FALSE))</f>
        <v/>
      </c>
      <c r="M38" s="4">
        <f>IFERROR(LOOKUP(2,1/((RAW_Sessions!$A$2:$A$1201=ENTRY_Participants!$A38)*(RAW_Sessions!$M$2:$M$1201&lt;&gt;"")),RAW_Sessions!$M$2:$M$1201),"")</f>
        <v/>
      </c>
      <c r="N38" s="4">
        <f>IF(OR(M38="",ENTRY_Participants!$I38=""),"",M38-ENTRY_Participants!$I38)</f>
        <v/>
      </c>
    </row>
    <row r="39">
      <c r="A39">
        <f>ENTRY_Participants!$A39</f>
        <v/>
      </c>
      <c r="B39" s="4">
        <f>COUNTIF(RAW_Sessions!$A$2:$A$1201,ENTRY_Participants!$A39)</f>
        <v/>
      </c>
      <c r="C39" s="4">
        <f>IF(COUNTIFS(RAW_Sessions!$A$2:$A$1201,ENTRY_Participants!$A39,RAW_Sessions!$B$2:$B$1201,1)&gt;0,TRUE,FALSE)</f>
        <v/>
      </c>
      <c r="D39" s="4">
        <f>IF(B39=0,0,COUNTIFS(RAW_Sessions!$A$2:$A$1201,ENTRY_Participants!$A39,RAW_Sessions!$C$2:$C$1201,"&lt;="&amp;MINIFS(RAW_Sessions!$C$2:$C$1201,RAW_Sessions!$A$2:$A$1201,ENTRY_Participants!$A39)+RETURN_GAP_DAYS*FIVE_ATTEMPTS))</f>
        <v/>
      </c>
      <c r="E39" s="4">
        <f>IF(B39=0,FALSE,COUNTIFS(RAW_Sessions!$A$2:$A$1201,ENTRY_Participants!$A39,RAW_Sessions!$B$2:$B$1201,"&lt;="&amp;FIVE_ATTEMPTS)&gt;=FIVE_ATTEMPTS)</f>
        <v/>
      </c>
      <c r="F39" s="4">
        <f>IF(B39=0,FALSE,NOT(E39))</f>
        <v/>
      </c>
      <c r="G39" s="4">
        <f>IF(ENTRY_Observations!$B39="","",ENTRY_Observations!$B39)</f>
        <v/>
      </c>
      <c r="H39" s="4">
        <f>IF(ENTRY_Observations!$D39="","",ENTRY_Observations!$D39)</f>
        <v/>
      </c>
      <c r="I39" s="4">
        <f>IF(G39&lt;&gt;"",G39,F39)</f>
        <v/>
      </c>
      <c r="J39" s="4">
        <f>IF(H39&lt;&gt;"",H39,IF(I39=FALSE,FALSE,P39))</f>
        <v/>
      </c>
      <c r="K39" s="4">
        <f>IF(COUNTIF(RAW_Questionnaire!$A$2:$A$121,ENTRY_Participants!$A39)=0,"",IF(SUMIFS(RAW_Questionnaire!$I$2:$I$121,RAW_Questionnaire!$A$2:$A$121,ENTRY_Participants!$A39)&gt;=ENDORSE_THRESHOLD,TRUE,FALSE))</f>
        <v/>
      </c>
      <c r="L39" s="4">
        <f>IF(COUNTIF(RAW_Questionnaire!$A$2:$A$121,ENTRY_Participants!$A39)=0,"",IF(SUMIFS(RAW_Questionnaire!$J$2:$J$121,RAW_Questionnaire!$A$2:$A$121,ENTRY_Participants!$A39)&gt;=INTENT_THRESHOLD,TRUE,FALSE))</f>
        <v/>
      </c>
      <c r="M39" s="4">
        <f>IFERROR(LOOKUP(2,1/((RAW_Sessions!$A$2:$A$1201=ENTRY_Participants!$A39)*(RAW_Sessions!$M$2:$M$1201&lt;&gt;"")),RAW_Sessions!$M$2:$M$1201),"")</f>
        <v/>
      </c>
      <c r="N39" s="4">
        <f>IF(OR(M39="",ENTRY_Participants!$I39=""),"",M39-ENTRY_Participants!$I39)</f>
        <v/>
      </c>
    </row>
    <row r="40">
      <c r="A40">
        <f>ENTRY_Participants!$A40</f>
        <v/>
      </c>
      <c r="B40" s="4">
        <f>COUNTIF(RAW_Sessions!$A$2:$A$1201,ENTRY_Participants!$A40)</f>
        <v/>
      </c>
      <c r="C40" s="4">
        <f>IF(COUNTIFS(RAW_Sessions!$A$2:$A$1201,ENTRY_Participants!$A40,RAW_Sessions!$B$2:$B$1201,1)&gt;0,TRUE,FALSE)</f>
        <v/>
      </c>
      <c r="D40" s="4">
        <f>IF(B40=0,0,COUNTIFS(RAW_Sessions!$A$2:$A$1201,ENTRY_Participants!$A40,RAW_Sessions!$C$2:$C$1201,"&lt;="&amp;MINIFS(RAW_Sessions!$C$2:$C$1201,RAW_Sessions!$A$2:$A$1201,ENTRY_Participants!$A40)+RETURN_GAP_DAYS*FIVE_ATTEMPTS))</f>
        <v/>
      </c>
      <c r="E40" s="4">
        <f>IF(B40=0,FALSE,COUNTIFS(RAW_Sessions!$A$2:$A$1201,ENTRY_Participants!$A40,RAW_Sessions!$B$2:$B$1201,"&lt;="&amp;FIVE_ATTEMPTS)&gt;=FIVE_ATTEMPTS)</f>
        <v/>
      </c>
      <c r="F40" s="4">
        <f>IF(B40=0,FALSE,NOT(E40))</f>
        <v/>
      </c>
      <c r="G40" s="4">
        <f>IF(ENTRY_Observations!$B40="","",ENTRY_Observations!$B40)</f>
        <v/>
      </c>
      <c r="H40" s="4">
        <f>IF(ENTRY_Observations!$D40="","",ENTRY_Observations!$D40)</f>
        <v/>
      </c>
      <c r="I40" s="4">
        <f>IF(G40&lt;&gt;"",G40,F40)</f>
        <v/>
      </c>
      <c r="J40" s="4">
        <f>IF(H40&lt;&gt;"",H40,IF(I40=FALSE,FALSE,P40))</f>
        <v/>
      </c>
      <c r="K40" s="4">
        <f>IF(COUNTIF(RAW_Questionnaire!$A$2:$A$121,ENTRY_Participants!$A40)=0,"",IF(SUMIFS(RAW_Questionnaire!$I$2:$I$121,RAW_Questionnaire!$A$2:$A$121,ENTRY_Participants!$A40)&gt;=ENDORSE_THRESHOLD,TRUE,FALSE))</f>
        <v/>
      </c>
      <c r="L40" s="4">
        <f>IF(COUNTIF(RAW_Questionnaire!$A$2:$A$121,ENTRY_Participants!$A40)=0,"",IF(SUMIFS(RAW_Questionnaire!$J$2:$J$121,RAW_Questionnaire!$A$2:$A$121,ENTRY_Participants!$A40)&gt;=INTENT_THRESHOLD,TRUE,FALSE))</f>
        <v/>
      </c>
      <c r="M40" s="4">
        <f>IFERROR(LOOKUP(2,1/((RAW_Sessions!$A$2:$A$1201=ENTRY_Participants!$A40)*(RAW_Sessions!$M$2:$M$1201&lt;&gt;"")),RAW_Sessions!$M$2:$M$1201),"")</f>
        <v/>
      </c>
      <c r="N40" s="4">
        <f>IF(OR(M40="",ENTRY_Participants!$I40=""),"",M40-ENTRY_Participants!$I40)</f>
        <v/>
      </c>
    </row>
    <row r="41">
      <c r="A41">
        <f>ENTRY_Participants!$A41</f>
        <v/>
      </c>
      <c r="B41" s="4">
        <f>COUNTIF(RAW_Sessions!$A$2:$A$1201,ENTRY_Participants!$A41)</f>
        <v/>
      </c>
      <c r="C41" s="4">
        <f>IF(COUNTIFS(RAW_Sessions!$A$2:$A$1201,ENTRY_Participants!$A41,RAW_Sessions!$B$2:$B$1201,1)&gt;0,TRUE,FALSE)</f>
        <v/>
      </c>
      <c r="D41" s="4">
        <f>IF(B41=0,0,COUNTIFS(RAW_Sessions!$A$2:$A$1201,ENTRY_Participants!$A41,RAW_Sessions!$C$2:$C$1201,"&lt;="&amp;MINIFS(RAW_Sessions!$C$2:$C$1201,RAW_Sessions!$A$2:$A$1201,ENTRY_Participants!$A41)+RETURN_GAP_DAYS*FIVE_ATTEMPTS))</f>
        <v/>
      </c>
      <c r="E41" s="4">
        <f>IF(B41=0,FALSE,COUNTIFS(RAW_Sessions!$A$2:$A$1201,ENTRY_Participants!$A41,RAW_Sessions!$B$2:$B$1201,"&lt;="&amp;FIVE_ATTEMPTS)&gt;=FIVE_ATTEMPTS)</f>
        <v/>
      </c>
      <c r="F41" s="4">
        <f>IF(B41=0,FALSE,NOT(E41))</f>
        <v/>
      </c>
      <c r="G41" s="4">
        <f>IF(ENTRY_Observations!$B41="","",ENTRY_Observations!$B41)</f>
        <v/>
      </c>
      <c r="H41" s="4">
        <f>IF(ENTRY_Observations!$D41="","",ENTRY_Observations!$D41)</f>
        <v/>
      </c>
      <c r="I41" s="4">
        <f>IF(G41&lt;&gt;"",G41,F41)</f>
        <v/>
      </c>
      <c r="J41" s="4">
        <f>IF(H41&lt;&gt;"",H41,IF(I41=FALSE,FALSE,P41))</f>
        <v/>
      </c>
      <c r="K41" s="4">
        <f>IF(COUNTIF(RAW_Questionnaire!$A$2:$A$121,ENTRY_Participants!$A41)=0,"",IF(SUMIFS(RAW_Questionnaire!$I$2:$I$121,RAW_Questionnaire!$A$2:$A$121,ENTRY_Participants!$A41)&gt;=ENDORSE_THRESHOLD,TRUE,FALSE))</f>
        <v/>
      </c>
      <c r="L41" s="4">
        <f>IF(COUNTIF(RAW_Questionnaire!$A$2:$A$121,ENTRY_Participants!$A41)=0,"",IF(SUMIFS(RAW_Questionnaire!$J$2:$J$121,RAW_Questionnaire!$A$2:$A$121,ENTRY_Participants!$A41)&gt;=INTENT_THRESHOLD,TRUE,FALSE))</f>
        <v/>
      </c>
      <c r="M41" s="4">
        <f>IFERROR(LOOKUP(2,1/((RAW_Sessions!$A$2:$A$1201=ENTRY_Participants!$A41)*(RAW_Sessions!$M$2:$M$1201&lt;&gt;"")),RAW_Sessions!$M$2:$M$1201),"")</f>
        <v/>
      </c>
      <c r="N41" s="4">
        <f>IF(OR(M41="",ENTRY_Participants!$I41=""),"",M41-ENTRY_Participants!$I41)</f>
        <v/>
      </c>
    </row>
    <row r="42">
      <c r="A42">
        <f>ENTRY_Participants!$A42</f>
        <v/>
      </c>
      <c r="B42" s="4">
        <f>COUNTIF(RAW_Sessions!$A$2:$A$1201,ENTRY_Participants!$A42)</f>
        <v/>
      </c>
      <c r="C42" s="4">
        <f>IF(COUNTIFS(RAW_Sessions!$A$2:$A$1201,ENTRY_Participants!$A42,RAW_Sessions!$B$2:$B$1201,1)&gt;0,TRUE,FALSE)</f>
        <v/>
      </c>
      <c r="D42" s="4">
        <f>IF(B42=0,0,COUNTIFS(RAW_Sessions!$A$2:$A$1201,ENTRY_Participants!$A42,RAW_Sessions!$C$2:$C$1201,"&lt;="&amp;MINIFS(RAW_Sessions!$C$2:$C$1201,RAW_Sessions!$A$2:$A$1201,ENTRY_Participants!$A42)+RETURN_GAP_DAYS*FIVE_ATTEMPTS))</f>
        <v/>
      </c>
      <c r="E42" s="4">
        <f>IF(B42=0,FALSE,COUNTIFS(RAW_Sessions!$A$2:$A$1201,ENTRY_Participants!$A42,RAW_Sessions!$B$2:$B$1201,"&lt;="&amp;FIVE_ATTEMPTS)&gt;=FIVE_ATTEMPTS)</f>
        <v/>
      </c>
      <c r="F42" s="4">
        <f>IF(B42=0,FALSE,NOT(E42))</f>
        <v/>
      </c>
      <c r="G42" s="4">
        <f>IF(ENTRY_Observations!$B42="","",ENTRY_Observations!$B42)</f>
        <v/>
      </c>
      <c r="H42" s="4">
        <f>IF(ENTRY_Observations!$D42="","",ENTRY_Observations!$D42)</f>
        <v/>
      </c>
      <c r="I42" s="4">
        <f>IF(G42&lt;&gt;"",G42,F42)</f>
        <v/>
      </c>
      <c r="J42" s="4">
        <f>IF(H42&lt;&gt;"",H42,IF(I42=FALSE,FALSE,P42))</f>
        <v/>
      </c>
      <c r="K42" s="4">
        <f>IF(COUNTIF(RAW_Questionnaire!$A$2:$A$121,ENTRY_Participants!$A42)=0,"",IF(SUMIFS(RAW_Questionnaire!$I$2:$I$121,RAW_Questionnaire!$A$2:$A$121,ENTRY_Participants!$A42)&gt;=ENDORSE_THRESHOLD,TRUE,FALSE))</f>
        <v/>
      </c>
      <c r="L42" s="4">
        <f>IF(COUNTIF(RAW_Questionnaire!$A$2:$A$121,ENTRY_Participants!$A42)=0,"",IF(SUMIFS(RAW_Questionnaire!$J$2:$J$121,RAW_Questionnaire!$A$2:$A$121,ENTRY_Participants!$A42)&gt;=INTENT_THRESHOLD,TRUE,FALSE))</f>
        <v/>
      </c>
      <c r="M42" s="4">
        <f>IFERROR(LOOKUP(2,1/((RAW_Sessions!$A$2:$A$1201=ENTRY_Participants!$A42)*(RAW_Sessions!$M$2:$M$1201&lt;&gt;"")),RAW_Sessions!$M$2:$M$1201),"")</f>
        <v/>
      </c>
      <c r="N42" s="4">
        <f>IF(OR(M42="",ENTRY_Participants!$I42=""),"",M42-ENTRY_Participants!$I42)</f>
        <v/>
      </c>
    </row>
    <row r="43">
      <c r="A43">
        <f>ENTRY_Participants!$A43</f>
        <v/>
      </c>
      <c r="B43" s="4">
        <f>COUNTIF(RAW_Sessions!$A$2:$A$1201,ENTRY_Participants!$A43)</f>
        <v/>
      </c>
      <c r="C43" s="4">
        <f>IF(COUNTIFS(RAW_Sessions!$A$2:$A$1201,ENTRY_Participants!$A43,RAW_Sessions!$B$2:$B$1201,1)&gt;0,TRUE,FALSE)</f>
        <v/>
      </c>
      <c r="D43" s="4">
        <f>IF(B43=0,0,COUNTIFS(RAW_Sessions!$A$2:$A$1201,ENTRY_Participants!$A43,RAW_Sessions!$C$2:$C$1201,"&lt;="&amp;MINIFS(RAW_Sessions!$C$2:$C$1201,RAW_Sessions!$A$2:$A$1201,ENTRY_Participants!$A43)+RETURN_GAP_DAYS*FIVE_ATTEMPTS))</f>
        <v/>
      </c>
      <c r="E43" s="4">
        <f>IF(B43=0,FALSE,COUNTIFS(RAW_Sessions!$A$2:$A$1201,ENTRY_Participants!$A43,RAW_Sessions!$B$2:$B$1201,"&lt;="&amp;FIVE_ATTEMPTS)&gt;=FIVE_ATTEMPTS)</f>
        <v/>
      </c>
      <c r="F43" s="4">
        <f>IF(B43=0,FALSE,NOT(E43))</f>
        <v/>
      </c>
      <c r="G43" s="4">
        <f>IF(ENTRY_Observations!$B43="","",ENTRY_Observations!$B43)</f>
        <v/>
      </c>
      <c r="H43" s="4">
        <f>IF(ENTRY_Observations!$D43="","",ENTRY_Observations!$D43)</f>
        <v/>
      </c>
      <c r="I43" s="4">
        <f>IF(G43&lt;&gt;"",G43,F43)</f>
        <v/>
      </c>
      <c r="J43" s="4">
        <f>IF(H43&lt;&gt;"",H43,IF(I43=FALSE,FALSE,P43))</f>
        <v/>
      </c>
      <c r="K43" s="4">
        <f>IF(COUNTIF(RAW_Questionnaire!$A$2:$A$121,ENTRY_Participants!$A43)=0,"",IF(SUMIFS(RAW_Questionnaire!$I$2:$I$121,RAW_Questionnaire!$A$2:$A$121,ENTRY_Participants!$A43)&gt;=ENDORSE_THRESHOLD,TRUE,FALSE))</f>
        <v/>
      </c>
      <c r="L43" s="4">
        <f>IF(COUNTIF(RAW_Questionnaire!$A$2:$A$121,ENTRY_Participants!$A43)=0,"",IF(SUMIFS(RAW_Questionnaire!$J$2:$J$121,RAW_Questionnaire!$A$2:$A$121,ENTRY_Participants!$A43)&gt;=INTENT_THRESHOLD,TRUE,FALSE))</f>
        <v/>
      </c>
      <c r="M43" s="4">
        <f>IFERROR(LOOKUP(2,1/((RAW_Sessions!$A$2:$A$1201=ENTRY_Participants!$A43)*(RAW_Sessions!$M$2:$M$1201&lt;&gt;"")),RAW_Sessions!$M$2:$M$1201),"")</f>
        <v/>
      </c>
      <c r="N43" s="4">
        <f>IF(OR(M43="",ENTRY_Participants!$I43=""),"",M43-ENTRY_Participants!$I43)</f>
        <v/>
      </c>
    </row>
    <row r="44">
      <c r="A44">
        <f>ENTRY_Participants!$A44</f>
        <v/>
      </c>
      <c r="B44" s="4">
        <f>COUNTIF(RAW_Sessions!$A$2:$A$1201,ENTRY_Participants!$A44)</f>
        <v/>
      </c>
      <c r="C44" s="4">
        <f>IF(COUNTIFS(RAW_Sessions!$A$2:$A$1201,ENTRY_Participants!$A44,RAW_Sessions!$B$2:$B$1201,1)&gt;0,TRUE,FALSE)</f>
        <v/>
      </c>
      <c r="D44" s="4">
        <f>IF(B44=0,0,COUNTIFS(RAW_Sessions!$A$2:$A$1201,ENTRY_Participants!$A44,RAW_Sessions!$C$2:$C$1201,"&lt;="&amp;MINIFS(RAW_Sessions!$C$2:$C$1201,RAW_Sessions!$A$2:$A$1201,ENTRY_Participants!$A44)+RETURN_GAP_DAYS*FIVE_ATTEMPTS))</f>
        <v/>
      </c>
      <c r="E44" s="4">
        <f>IF(B44=0,FALSE,COUNTIFS(RAW_Sessions!$A$2:$A$1201,ENTRY_Participants!$A44,RAW_Sessions!$B$2:$B$1201,"&lt;="&amp;FIVE_ATTEMPTS)&gt;=FIVE_ATTEMPTS)</f>
        <v/>
      </c>
      <c r="F44" s="4">
        <f>IF(B44=0,FALSE,NOT(E44))</f>
        <v/>
      </c>
      <c r="G44" s="4">
        <f>IF(ENTRY_Observations!$B44="","",ENTRY_Observations!$B44)</f>
        <v/>
      </c>
      <c r="H44" s="4">
        <f>IF(ENTRY_Observations!$D44="","",ENTRY_Observations!$D44)</f>
        <v/>
      </c>
      <c r="I44" s="4">
        <f>IF(G44&lt;&gt;"",G44,F44)</f>
        <v/>
      </c>
      <c r="J44" s="4">
        <f>IF(H44&lt;&gt;"",H44,IF(I44=FALSE,FALSE,P44))</f>
        <v/>
      </c>
      <c r="K44" s="4">
        <f>IF(COUNTIF(RAW_Questionnaire!$A$2:$A$121,ENTRY_Participants!$A44)=0,"",IF(SUMIFS(RAW_Questionnaire!$I$2:$I$121,RAW_Questionnaire!$A$2:$A$121,ENTRY_Participants!$A44)&gt;=ENDORSE_THRESHOLD,TRUE,FALSE))</f>
        <v/>
      </c>
      <c r="L44" s="4">
        <f>IF(COUNTIF(RAW_Questionnaire!$A$2:$A$121,ENTRY_Participants!$A44)=0,"",IF(SUMIFS(RAW_Questionnaire!$J$2:$J$121,RAW_Questionnaire!$A$2:$A$121,ENTRY_Participants!$A44)&gt;=INTENT_THRESHOLD,TRUE,FALSE))</f>
        <v/>
      </c>
      <c r="M44" s="4">
        <f>IFERROR(LOOKUP(2,1/((RAW_Sessions!$A$2:$A$1201=ENTRY_Participants!$A44)*(RAW_Sessions!$M$2:$M$1201&lt;&gt;"")),RAW_Sessions!$M$2:$M$1201),"")</f>
        <v/>
      </c>
      <c r="N44" s="4">
        <f>IF(OR(M44="",ENTRY_Participants!$I44=""),"",M44-ENTRY_Participants!$I44)</f>
        <v/>
      </c>
    </row>
    <row r="45">
      <c r="A45">
        <f>ENTRY_Participants!$A45</f>
        <v/>
      </c>
      <c r="B45" s="4">
        <f>COUNTIF(RAW_Sessions!$A$2:$A$1201,ENTRY_Participants!$A45)</f>
        <v/>
      </c>
      <c r="C45" s="4">
        <f>IF(COUNTIFS(RAW_Sessions!$A$2:$A$1201,ENTRY_Participants!$A45,RAW_Sessions!$B$2:$B$1201,1)&gt;0,TRUE,FALSE)</f>
        <v/>
      </c>
      <c r="D45" s="4">
        <f>IF(B45=0,0,COUNTIFS(RAW_Sessions!$A$2:$A$1201,ENTRY_Participants!$A45,RAW_Sessions!$C$2:$C$1201,"&lt;="&amp;MINIFS(RAW_Sessions!$C$2:$C$1201,RAW_Sessions!$A$2:$A$1201,ENTRY_Participants!$A45)+RETURN_GAP_DAYS*FIVE_ATTEMPTS))</f>
        <v/>
      </c>
      <c r="E45" s="4">
        <f>IF(B45=0,FALSE,COUNTIFS(RAW_Sessions!$A$2:$A$1201,ENTRY_Participants!$A45,RAW_Sessions!$B$2:$B$1201,"&lt;="&amp;FIVE_ATTEMPTS)&gt;=FIVE_ATTEMPTS)</f>
        <v/>
      </c>
      <c r="F45" s="4">
        <f>IF(B45=0,FALSE,NOT(E45))</f>
        <v/>
      </c>
      <c r="G45" s="4">
        <f>IF(ENTRY_Observations!$B45="","",ENTRY_Observations!$B45)</f>
        <v/>
      </c>
      <c r="H45" s="4">
        <f>IF(ENTRY_Observations!$D45="","",ENTRY_Observations!$D45)</f>
        <v/>
      </c>
      <c r="I45" s="4">
        <f>IF(G45&lt;&gt;"",G45,F45)</f>
        <v/>
      </c>
      <c r="J45" s="4">
        <f>IF(H45&lt;&gt;"",H45,IF(I45=FALSE,FALSE,P45))</f>
        <v/>
      </c>
      <c r="K45" s="4">
        <f>IF(COUNTIF(RAW_Questionnaire!$A$2:$A$121,ENTRY_Participants!$A45)=0,"",IF(SUMIFS(RAW_Questionnaire!$I$2:$I$121,RAW_Questionnaire!$A$2:$A$121,ENTRY_Participants!$A45)&gt;=ENDORSE_THRESHOLD,TRUE,FALSE))</f>
        <v/>
      </c>
      <c r="L45" s="4">
        <f>IF(COUNTIF(RAW_Questionnaire!$A$2:$A$121,ENTRY_Participants!$A45)=0,"",IF(SUMIFS(RAW_Questionnaire!$J$2:$J$121,RAW_Questionnaire!$A$2:$A$121,ENTRY_Participants!$A45)&gt;=INTENT_THRESHOLD,TRUE,FALSE))</f>
        <v/>
      </c>
      <c r="M45" s="4">
        <f>IFERROR(LOOKUP(2,1/((RAW_Sessions!$A$2:$A$1201=ENTRY_Participants!$A45)*(RAW_Sessions!$M$2:$M$1201&lt;&gt;"")),RAW_Sessions!$M$2:$M$1201),"")</f>
        <v/>
      </c>
      <c r="N45" s="4">
        <f>IF(OR(M45="",ENTRY_Participants!$I45=""),"",M45-ENTRY_Participants!$I45)</f>
        <v/>
      </c>
    </row>
    <row r="46">
      <c r="A46">
        <f>ENTRY_Participants!$A46</f>
        <v/>
      </c>
      <c r="B46" s="4">
        <f>COUNTIF(RAW_Sessions!$A$2:$A$1201,ENTRY_Participants!$A46)</f>
        <v/>
      </c>
      <c r="C46" s="4">
        <f>IF(COUNTIFS(RAW_Sessions!$A$2:$A$1201,ENTRY_Participants!$A46,RAW_Sessions!$B$2:$B$1201,1)&gt;0,TRUE,FALSE)</f>
        <v/>
      </c>
      <c r="D46" s="4">
        <f>IF(B46=0,0,COUNTIFS(RAW_Sessions!$A$2:$A$1201,ENTRY_Participants!$A46,RAW_Sessions!$C$2:$C$1201,"&lt;="&amp;MINIFS(RAW_Sessions!$C$2:$C$1201,RAW_Sessions!$A$2:$A$1201,ENTRY_Participants!$A46)+RETURN_GAP_DAYS*FIVE_ATTEMPTS))</f>
        <v/>
      </c>
      <c r="E46" s="4">
        <f>IF(B46=0,FALSE,COUNTIFS(RAW_Sessions!$A$2:$A$1201,ENTRY_Participants!$A46,RAW_Sessions!$B$2:$B$1201,"&lt;="&amp;FIVE_ATTEMPTS)&gt;=FIVE_ATTEMPTS)</f>
        <v/>
      </c>
      <c r="F46" s="4">
        <f>IF(B46=0,FALSE,NOT(E46))</f>
        <v/>
      </c>
      <c r="G46" s="4">
        <f>IF(ENTRY_Observations!$B46="","",ENTRY_Observations!$B46)</f>
        <v/>
      </c>
      <c r="H46" s="4">
        <f>IF(ENTRY_Observations!$D46="","",ENTRY_Observations!$D46)</f>
        <v/>
      </c>
      <c r="I46" s="4">
        <f>IF(G46&lt;&gt;"",G46,F46)</f>
        <v/>
      </c>
      <c r="J46" s="4">
        <f>IF(H46&lt;&gt;"",H46,IF(I46=FALSE,FALSE,P46))</f>
        <v/>
      </c>
      <c r="K46" s="4">
        <f>IF(COUNTIF(RAW_Questionnaire!$A$2:$A$121,ENTRY_Participants!$A46)=0,"",IF(SUMIFS(RAW_Questionnaire!$I$2:$I$121,RAW_Questionnaire!$A$2:$A$121,ENTRY_Participants!$A46)&gt;=ENDORSE_THRESHOLD,TRUE,FALSE))</f>
        <v/>
      </c>
      <c r="L46" s="4">
        <f>IF(COUNTIF(RAW_Questionnaire!$A$2:$A$121,ENTRY_Participants!$A46)=0,"",IF(SUMIFS(RAW_Questionnaire!$J$2:$J$121,RAW_Questionnaire!$A$2:$A$121,ENTRY_Participants!$A46)&gt;=INTENT_THRESHOLD,TRUE,FALSE))</f>
        <v/>
      </c>
      <c r="M46" s="4">
        <f>IFERROR(LOOKUP(2,1/((RAW_Sessions!$A$2:$A$1201=ENTRY_Participants!$A46)*(RAW_Sessions!$M$2:$M$1201&lt;&gt;"")),RAW_Sessions!$M$2:$M$1201),"")</f>
        <v/>
      </c>
      <c r="N46" s="4">
        <f>IF(OR(M46="",ENTRY_Participants!$I46=""),"",M46-ENTRY_Participants!$I46)</f>
        <v/>
      </c>
    </row>
    <row r="47">
      <c r="A47">
        <f>ENTRY_Participants!$A47</f>
        <v/>
      </c>
      <c r="B47" s="4">
        <f>COUNTIF(RAW_Sessions!$A$2:$A$1201,ENTRY_Participants!$A47)</f>
        <v/>
      </c>
      <c r="C47" s="4">
        <f>IF(COUNTIFS(RAW_Sessions!$A$2:$A$1201,ENTRY_Participants!$A47,RAW_Sessions!$B$2:$B$1201,1)&gt;0,TRUE,FALSE)</f>
        <v/>
      </c>
      <c r="D47" s="4">
        <f>IF(B47=0,0,COUNTIFS(RAW_Sessions!$A$2:$A$1201,ENTRY_Participants!$A47,RAW_Sessions!$C$2:$C$1201,"&lt;="&amp;MINIFS(RAW_Sessions!$C$2:$C$1201,RAW_Sessions!$A$2:$A$1201,ENTRY_Participants!$A47)+RETURN_GAP_DAYS*FIVE_ATTEMPTS))</f>
        <v/>
      </c>
      <c r="E47" s="4">
        <f>IF(B47=0,FALSE,COUNTIFS(RAW_Sessions!$A$2:$A$1201,ENTRY_Participants!$A47,RAW_Sessions!$B$2:$B$1201,"&lt;="&amp;FIVE_ATTEMPTS)&gt;=FIVE_ATTEMPTS)</f>
        <v/>
      </c>
      <c r="F47" s="4">
        <f>IF(B47=0,FALSE,NOT(E47))</f>
        <v/>
      </c>
      <c r="G47" s="4">
        <f>IF(ENTRY_Observations!$B47="","",ENTRY_Observations!$B47)</f>
        <v/>
      </c>
      <c r="H47" s="4">
        <f>IF(ENTRY_Observations!$D47="","",ENTRY_Observations!$D47)</f>
        <v/>
      </c>
      <c r="I47" s="4">
        <f>IF(G47&lt;&gt;"",G47,F47)</f>
        <v/>
      </c>
      <c r="J47" s="4">
        <f>IF(H47&lt;&gt;"",H47,IF(I47=FALSE,FALSE,P47))</f>
        <v/>
      </c>
      <c r="K47" s="4">
        <f>IF(COUNTIF(RAW_Questionnaire!$A$2:$A$121,ENTRY_Participants!$A47)=0,"",IF(SUMIFS(RAW_Questionnaire!$I$2:$I$121,RAW_Questionnaire!$A$2:$A$121,ENTRY_Participants!$A47)&gt;=ENDORSE_THRESHOLD,TRUE,FALSE))</f>
        <v/>
      </c>
      <c r="L47" s="4">
        <f>IF(COUNTIF(RAW_Questionnaire!$A$2:$A$121,ENTRY_Participants!$A47)=0,"",IF(SUMIFS(RAW_Questionnaire!$J$2:$J$121,RAW_Questionnaire!$A$2:$A$121,ENTRY_Participants!$A47)&gt;=INTENT_THRESHOLD,TRUE,FALSE))</f>
        <v/>
      </c>
      <c r="M47" s="4">
        <f>IFERROR(LOOKUP(2,1/((RAW_Sessions!$A$2:$A$1201=ENTRY_Participants!$A47)*(RAW_Sessions!$M$2:$M$1201&lt;&gt;"")),RAW_Sessions!$M$2:$M$1201),"")</f>
        <v/>
      </c>
      <c r="N47" s="4">
        <f>IF(OR(M47="",ENTRY_Participants!$I47=""),"",M47-ENTRY_Participants!$I47)</f>
        <v/>
      </c>
    </row>
    <row r="48">
      <c r="A48">
        <f>ENTRY_Participants!$A48</f>
        <v/>
      </c>
      <c r="B48" s="4">
        <f>COUNTIF(RAW_Sessions!$A$2:$A$1201,ENTRY_Participants!$A48)</f>
        <v/>
      </c>
      <c r="C48" s="4">
        <f>IF(COUNTIFS(RAW_Sessions!$A$2:$A$1201,ENTRY_Participants!$A48,RAW_Sessions!$B$2:$B$1201,1)&gt;0,TRUE,FALSE)</f>
        <v/>
      </c>
      <c r="D48" s="4">
        <f>IF(B48=0,0,COUNTIFS(RAW_Sessions!$A$2:$A$1201,ENTRY_Participants!$A48,RAW_Sessions!$C$2:$C$1201,"&lt;="&amp;MINIFS(RAW_Sessions!$C$2:$C$1201,RAW_Sessions!$A$2:$A$1201,ENTRY_Participants!$A48)+RETURN_GAP_DAYS*FIVE_ATTEMPTS))</f>
        <v/>
      </c>
      <c r="E48" s="4">
        <f>IF(B48=0,FALSE,COUNTIFS(RAW_Sessions!$A$2:$A$1201,ENTRY_Participants!$A48,RAW_Sessions!$B$2:$B$1201,"&lt;="&amp;FIVE_ATTEMPTS)&gt;=FIVE_ATTEMPTS)</f>
        <v/>
      </c>
      <c r="F48" s="4">
        <f>IF(B48=0,FALSE,NOT(E48))</f>
        <v/>
      </c>
      <c r="G48" s="4">
        <f>IF(ENTRY_Observations!$B48="","",ENTRY_Observations!$B48)</f>
        <v/>
      </c>
      <c r="H48" s="4">
        <f>IF(ENTRY_Observations!$D48="","",ENTRY_Observations!$D48)</f>
        <v/>
      </c>
      <c r="I48" s="4">
        <f>IF(G48&lt;&gt;"",G48,F48)</f>
        <v/>
      </c>
      <c r="J48" s="4">
        <f>IF(H48&lt;&gt;"",H48,IF(I48=FALSE,FALSE,P48))</f>
        <v/>
      </c>
      <c r="K48" s="4">
        <f>IF(COUNTIF(RAW_Questionnaire!$A$2:$A$121,ENTRY_Participants!$A48)=0,"",IF(SUMIFS(RAW_Questionnaire!$I$2:$I$121,RAW_Questionnaire!$A$2:$A$121,ENTRY_Participants!$A48)&gt;=ENDORSE_THRESHOLD,TRUE,FALSE))</f>
        <v/>
      </c>
      <c r="L48" s="4">
        <f>IF(COUNTIF(RAW_Questionnaire!$A$2:$A$121,ENTRY_Participants!$A48)=0,"",IF(SUMIFS(RAW_Questionnaire!$J$2:$J$121,RAW_Questionnaire!$A$2:$A$121,ENTRY_Participants!$A48)&gt;=INTENT_THRESHOLD,TRUE,FALSE))</f>
        <v/>
      </c>
      <c r="M48" s="4">
        <f>IFERROR(LOOKUP(2,1/((RAW_Sessions!$A$2:$A$1201=ENTRY_Participants!$A48)*(RAW_Sessions!$M$2:$M$1201&lt;&gt;"")),RAW_Sessions!$M$2:$M$1201),"")</f>
        <v/>
      </c>
      <c r="N48" s="4">
        <f>IF(OR(M48="",ENTRY_Participants!$I48=""),"",M48-ENTRY_Participants!$I48)</f>
        <v/>
      </c>
    </row>
    <row r="49">
      <c r="A49">
        <f>ENTRY_Participants!$A49</f>
        <v/>
      </c>
      <c r="B49" s="4">
        <f>COUNTIF(RAW_Sessions!$A$2:$A$1201,ENTRY_Participants!$A49)</f>
        <v/>
      </c>
      <c r="C49" s="4">
        <f>IF(COUNTIFS(RAW_Sessions!$A$2:$A$1201,ENTRY_Participants!$A49,RAW_Sessions!$B$2:$B$1201,1)&gt;0,TRUE,FALSE)</f>
        <v/>
      </c>
      <c r="D49" s="4">
        <f>IF(B49=0,0,COUNTIFS(RAW_Sessions!$A$2:$A$1201,ENTRY_Participants!$A49,RAW_Sessions!$C$2:$C$1201,"&lt;="&amp;MINIFS(RAW_Sessions!$C$2:$C$1201,RAW_Sessions!$A$2:$A$1201,ENTRY_Participants!$A49)+RETURN_GAP_DAYS*FIVE_ATTEMPTS))</f>
        <v/>
      </c>
      <c r="E49" s="4">
        <f>IF(B49=0,FALSE,COUNTIFS(RAW_Sessions!$A$2:$A$1201,ENTRY_Participants!$A49,RAW_Sessions!$B$2:$B$1201,"&lt;="&amp;FIVE_ATTEMPTS)&gt;=FIVE_ATTEMPTS)</f>
        <v/>
      </c>
      <c r="F49" s="4">
        <f>IF(B49=0,FALSE,NOT(E49))</f>
        <v/>
      </c>
      <c r="G49" s="4">
        <f>IF(ENTRY_Observations!$B49="","",ENTRY_Observations!$B49)</f>
        <v/>
      </c>
      <c r="H49" s="4">
        <f>IF(ENTRY_Observations!$D49="","",ENTRY_Observations!$D49)</f>
        <v/>
      </c>
      <c r="I49" s="4">
        <f>IF(G49&lt;&gt;"",G49,F49)</f>
        <v/>
      </c>
      <c r="J49" s="4">
        <f>IF(H49&lt;&gt;"",H49,IF(I49=FALSE,FALSE,P49))</f>
        <v/>
      </c>
      <c r="K49" s="4">
        <f>IF(COUNTIF(RAW_Questionnaire!$A$2:$A$121,ENTRY_Participants!$A49)=0,"",IF(SUMIFS(RAW_Questionnaire!$I$2:$I$121,RAW_Questionnaire!$A$2:$A$121,ENTRY_Participants!$A49)&gt;=ENDORSE_THRESHOLD,TRUE,FALSE))</f>
        <v/>
      </c>
      <c r="L49" s="4">
        <f>IF(COUNTIF(RAW_Questionnaire!$A$2:$A$121,ENTRY_Participants!$A49)=0,"",IF(SUMIFS(RAW_Questionnaire!$J$2:$J$121,RAW_Questionnaire!$A$2:$A$121,ENTRY_Participants!$A49)&gt;=INTENT_THRESHOLD,TRUE,FALSE))</f>
        <v/>
      </c>
      <c r="M49" s="4">
        <f>IFERROR(LOOKUP(2,1/((RAW_Sessions!$A$2:$A$1201=ENTRY_Participants!$A49)*(RAW_Sessions!$M$2:$M$1201&lt;&gt;"")),RAW_Sessions!$M$2:$M$1201),"")</f>
        <v/>
      </c>
      <c r="N49" s="4">
        <f>IF(OR(M49="",ENTRY_Participants!$I49=""),"",M49-ENTRY_Participants!$I49)</f>
        <v/>
      </c>
    </row>
    <row r="50">
      <c r="A50">
        <f>ENTRY_Participants!$A50</f>
        <v/>
      </c>
      <c r="B50" s="4">
        <f>COUNTIF(RAW_Sessions!$A$2:$A$1201,ENTRY_Participants!$A50)</f>
        <v/>
      </c>
      <c r="C50" s="4">
        <f>IF(COUNTIFS(RAW_Sessions!$A$2:$A$1201,ENTRY_Participants!$A50,RAW_Sessions!$B$2:$B$1201,1)&gt;0,TRUE,FALSE)</f>
        <v/>
      </c>
      <c r="D50" s="4">
        <f>IF(B50=0,0,COUNTIFS(RAW_Sessions!$A$2:$A$1201,ENTRY_Participants!$A50,RAW_Sessions!$C$2:$C$1201,"&lt;="&amp;MINIFS(RAW_Sessions!$C$2:$C$1201,RAW_Sessions!$A$2:$A$1201,ENTRY_Participants!$A50)+RETURN_GAP_DAYS*FIVE_ATTEMPTS))</f>
        <v/>
      </c>
      <c r="E50" s="4">
        <f>IF(B50=0,FALSE,COUNTIFS(RAW_Sessions!$A$2:$A$1201,ENTRY_Participants!$A50,RAW_Sessions!$B$2:$B$1201,"&lt;="&amp;FIVE_ATTEMPTS)&gt;=FIVE_ATTEMPTS)</f>
        <v/>
      </c>
      <c r="F50" s="4">
        <f>IF(B50=0,FALSE,NOT(E50))</f>
        <v/>
      </c>
      <c r="G50" s="4">
        <f>IF(ENTRY_Observations!$B50="","",ENTRY_Observations!$B50)</f>
        <v/>
      </c>
      <c r="H50" s="4">
        <f>IF(ENTRY_Observations!$D50="","",ENTRY_Observations!$D50)</f>
        <v/>
      </c>
      <c r="I50" s="4">
        <f>IF(G50&lt;&gt;"",G50,F50)</f>
        <v/>
      </c>
      <c r="J50" s="4">
        <f>IF(H50&lt;&gt;"",H50,IF(I50=FALSE,FALSE,P50))</f>
        <v/>
      </c>
      <c r="K50" s="4">
        <f>IF(COUNTIF(RAW_Questionnaire!$A$2:$A$121,ENTRY_Participants!$A50)=0,"",IF(SUMIFS(RAW_Questionnaire!$I$2:$I$121,RAW_Questionnaire!$A$2:$A$121,ENTRY_Participants!$A50)&gt;=ENDORSE_THRESHOLD,TRUE,FALSE))</f>
        <v/>
      </c>
      <c r="L50" s="4">
        <f>IF(COUNTIF(RAW_Questionnaire!$A$2:$A$121,ENTRY_Participants!$A50)=0,"",IF(SUMIFS(RAW_Questionnaire!$J$2:$J$121,RAW_Questionnaire!$A$2:$A$121,ENTRY_Participants!$A50)&gt;=INTENT_THRESHOLD,TRUE,FALSE))</f>
        <v/>
      </c>
      <c r="M50" s="4">
        <f>IFERROR(LOOKUP(2,1/((RAW_Sessions!$A$2:$A$1201=ENTRY_Participants!$A50)*(RAW_Sessions!$M$2:$M$1201&lt;&gt;"")),RAW_Sessions!$M$2:$M$1201),"")</f>
        <v/>
      </c>
      <c r="N50" s="4">
        <f>IF(OR(M50="",ENTRY_Participants!$I50=""),"",M50-ENTRY_Participants!$I50)</f>
        <v/>
      </c>
    </row>
    <row r="51">
      <c r="A51">
        <f>ENTRY_Participants!$A51</f>
        <v/>
      </c>
      <c r="B51" s="4">
        <f>COUNTIF(RAW_Sessions!$A$2:$A$1201,ENTRY_Participants!$A51)</f>
        <v/>
      </c>
      <c r="C51" s="4">
        <f>IF(COUNTIFS(RAW_Sessions!$A$2:$A$1201,ENTRY_Participants!$A51,RAW_Sessions!$B$2:$B$1201,1)&gt;0,TRUE,FALSE)</f>
        <v/>
      </c>
      <c r="D51" s="4">
        <f>IF(B51=0,0,COUNTIFS(RAW_Sessions!$A$2:$A$1201,ENTRY_Participants!$A51,RAW_Sessions!$C$2:$C$1201,"&lt;="&amp;MINIFS(RAW_Sessions!$C$2:$C$1201,RAW_Sessions!$A$2:$A$1201,ENTRY_Participants!$A51)+RETURN_GAP_DAYS*FIVE_ATTEMPTS))</f>
        <v/>
      </c>
      <c r="E51" s="4">
        <f>IF(B51=0,FALSE,COUNTIFS(RAW_Sessions!$A$2:$A$1201,ENTRY_Participants!$A51,RAW_Sessions!$B$2:$B$1201,"&lt;="&amp;FIVE_ATTEMPTS)&gt;=FIVE_ATTEMPTS)</f>
        <v/>
      </c>
      <c r="F51" s="4">
        <f>IF(B51=0,FALSE,NOT(E51))</f>
        <v/>
      </c>
      <c r="G51" s="4">
        <f>IF(ENTRY_Observations!$B51="","",ENTRY_Observations!$B51)</f>
        <v/>
      </c>
      <c r="H51" s="4">
        <f>IF(ENTRY_Observations!$D51="","",ENTRY_Observations!$D51)</f>
        <v/>
      </c>
      <c r="I51" s="4">
        <f>IF(G51&lt;&gt;"",G51,F51)</f>
        <v/>
      </c>
      <c r="J51" s="4">
        <f>IF(H51&lt;&gt;"",H51,IF(I51=FALSE,FALSE,P51))</f>
        <v/>
      </c>
      <c r="K51" s="4">
        <f>IF(COUNTIF(RAW_Questionnaire!$A$2:$A$121,ENTRY_Participants!$A51)=0,"",IF(SUMIFS(RAW_Questionnaire!$I$2:$I$121,RAW_Questionnaire!$A$2:$A$121,ENTRY_Participants!$A51)&gt;=ENDORSE_THRESHOLD,TRUE,FALSE))</f>
        <v/>
      </c>
      <c r="L51" s="4">
        <f>IF(COUNTIF(RAW_Questionnaire!$A$2:$A$121,ENTRY_Participants!$A51)=0,"",IF(SUMIFS(RAW_Questionnaire!$J$2:$J$121,RAW_Questionnaire!$A$2:$A$121,ENTRY_Participants!$A51)&gt;=INTENT_THRESHOLD,TRUE,FALSE))</f>
        <v/>
      </c>
      <c r="M51" s="4">
        <f>IFERROR(LOOKUP(2,1/((RAW_Sessions!$A$2:$A$1201=ENTRY_Participants!$A51)*(RAW_Sessions!$M$2:$M$1201&lt;&gt;"")),RAW_Sessions!$M$2:$M$1201),"")</f>
        <v/>
      </c>
      <c r="N51" s="4">
        <f>IF(OR(M51="",ENTRY_Participants!$I51=""),"",M51-ENTRY_Participants!$I51)</f>
        <v/>
      </c>
    </row>
    <row r="52">
      <c r="A52">
        <f>ENTRY_Participants!$A52</f>
        <v/>
      </c>
      <c r="B52" s="4">
        <f>COUNTIF(RAW_Sessions!$A$2:$A$1201,ENTRY_Participants!$A52)</f>
        <v/>
      </c>
      <c r="C52" s="4">
        <f>IF(COUNTIFS(RAW_Sessions!$A$2:$A$1201,ENTRY_Participants!$A52,RAW_Sessions!$B$2:$B$1201,1)&gt;0,TRUE,FALSE)</f>
        <v/>
      </c>
      <c r="D52" s="4">
        <f>IF(B52=0,0,COUNTIFS(RAW_Sessions!$A$2:$A$1201,ENTRY_Participants!$A52,RAW_Sessions!$C$2:$C$1201,"&lt;="&amp;MINIFS(RAW_Sessions!$C$2:$C$1201,RAW_Sessions!$A$2:$A$1201,ENTRY_Participants!$A52)+RETURN_GAP_DAYS*FIVE_ATTEMPTS))</f>
        <v/>
      </c>
      <c r="E52" s="4">
        <f>IF(B52=0,FALSE,COUNTIFS(RAW_Sessions!$A$2:$A$1201,ENTRY_Participants!$A52,RAW_Sessions!$B$2:$B$1201,"&lt;="&amp;FIVE_ATTEMPTS)&gt;=FIVE_ATTEMPTS)</f>
        <v/>
      </c>
      <c r="F52" s="4">
        <f>IF(B52=0,FALSE,NOT(E52))</f>
        <v/>
      </c>
      <c r="G52" s="4">
        <f>IF(ENTRY_Observations!$B52="","",ENTRY_Observations!$B52)</f>
        <v/>
      </c>
      <c r="H52" s="4">
        <f>IF(ENTRY_Observations!$D52="","",ENTRY_Observations!$D52)</f>
        <v/>
      </c>
      <c r="I52" s="4">
        <f>IF(G52&lt;&gt;"",G52,F52)</f>
        <v/>
      </c>
      <c r="J52" s="4">
        <f>IF(H52&lt;&gt;"",H52,IF(I52=FALSE,FALSE,P52))</f>
        <v/>
      </c>
      <c r="K52" s="4">
        <f>IF(COUNTIF(RAW_Questionnaire!$A$2:$A$121,ENTRY_Participants!$A52)=0,"",IF(SUMIFS(RAW_Questionnaire!$I$2:$I$121,RAW_Questionnaire!$A$2:$A$121,ENTRY_Participants!$A52)&gt;=ENDORSE_THRESHOLD,TRUE,FALSE))</f>
        <v/>
      </c>
      <c r="L52" s="4">
        <f>IF(COUNTIF(RAW_Questionnaire!$A$2:$A$121,ENTRY_Participants!$A52)=0,"",IF(SUMIFS(RAW_Questionnaire!$J$2:$J$121,RAW_Questionnaire!$A$2:$A$121,ENTRY_Participants!$A52)&gt;=INTENT_THRESHOLD,TRUE,FALSE))</f>
        <v/>
      </c>
      <c r="M52" s="4">
        <f>IFERROR(LOOKUP(2,1/((RAW_Sessions!$A$2:$A$1201=ENTRY_Participants!$A52)*(RAW_Sessions!$M$2:$M$1201&lt;&gt;"")),RAW_Sessions!$M$2:$M$1201),"")</f>
        <v/>
      </c>
      <c r="N52" s="4">
        <f>IF(OR(M52="",ENTRY_Participants!$I52=""),"",M52-ENTRY_Participants!$I52)</f>
        <v/>
      </c>
    </row>
    <row r="53">
      <c r="A53">
        <f>ENTRY_Participants!$A53</f>
        <v/>
      </c>
      <c r="B53" s="4">
        <f>COUNTIF(RAW_Sessions!$A$2:$A$1201,ENTRY_Participants!$A53)</f>
        <v/>
      </c>
      <c r="C53" s="4">
        <f>IF(COUNTIFS(RAW_Sessions!$A$2:$A$1201,ENTRY_Participants!$A53,RAW_Sessions!$B$2:$B$1201,1)&gt;0,TRUE,FALSE)</f>
        <v/>
      </c>
      <c r="D53" s="4">
        <f>IF(B53=0,0,COUNTIFS(RAW_Sessions!$A$2:$A$1201,ENTRY_Participants!$A53,RAW_Sessions!$C$2:$C$1201,"&lt;="&amp;MINIFS(RAW_Sessions!$C$2:$C$1201,RAW_Sessions!$A$2:$A$1201,ENTRY_Participants!$A53)+RETURN_GAP_DAYS*FIVE_ATTEMPTS))</f>
        <v/>
      </c>
      <c r="E53" s="4">
        <f>IF(B53=0,FALSE,COUNTIFS(RAW_Sessions!$A$2:$A$1201,ENTRY_Participants!$A53,RAW_Sessions!$B$2:$B$1201,"&lt;="&amp;FIVE_ATTEMPTS)&gt;=FIVE_ATTEMPTS)</f>
        <v/>
      </c>
      <c r="F53" s="4">
        <f>IF(B53=0,FALSE,NOT(E53))</f>
        <v/>
      </c>
      <c r="G53" s="4">
        <f>IF(ENTRY_Observations!$B53="","",ENTRY_Observations!$B53)</f>
        <v/>
      </c>
      <c r="H53" s="4">
        <f>IF(ENTRY_Observations!$D53="","",ENTRY_Observations!$D53)</f>
        <v/>
      </c>
      <c r="I53" s="4">
        <f>IF(G53&lt;&gt;"",G53,F53)</f>
        <v/>
      </c>
      <c r="J53" s="4">
        <f>IF(H53&lt;&gt;"",H53,IF(I53=FALSE,FALSE,P53))</f>
        <v/>
      </c>
      <c r="K53" s="4">
        <f>IF(COUNTIF(RAW_Questionnaire!$A$2:$A$121,ENTRY_Participants!$A53)=0,"",IF(SUMIFS(RAW_Questionnaire!$I$2:$I$121,RAW_Questionnaire!$A$2:$A$121,ENTRY_Participants!$A53)&gt;=ENDORSE_THRESHOLD,TRUE,FALSE))</f>
        <v/>
      </c>
      <c r="L53" s="4">
        <f>IF(COUNTIF(RAW_Questionnaire!$A$2:$A$121,ENTRY_Participants!$A53)=0,"",IF(SUMIFS(RAW_Questionnaire!$J$2:$J$121,RAW_Questionnaire!$A$2:$A$121,ENTRY_Participants!$A53)&gt;=INTENT_THRESHOLD,TRUE,FALSE))</f>
        <v/>
      </c>
      <c r="M53" s="4">
        <f>IFERROR(LOOKUP(2,1/((RAW_Sessions!$A$2:$A$1201=ENTRY_Participants!$A53)*(RAW_Sessions!$M$2:$M$1201&lt;&gt;"")),RAW_Sessions!$M$2:$M$1201),"")</f>
        <v/>
      </c>
      <c r="N53" s="4">
        <f>IF(OR(M53="",ENTRY_Participants!$I53=""),"",M53-ENTRY_Participants!$I53)</f>
        <v/>
      </c>
    </row>
    <row r="54">
      <c r="A54">
        <f>ENTRY_Participants!$A54</f>
        <v/>
      </c>
      <c r="B54" s="4">
        <f>COUNTIF(RAW_Sessions!$A$2:$A$1201,ENTRY_Participants!$A54)</f>
        <v/>
      </c>
      <c r="C54" s="4">
        <f>IF(COUNTIFS(RAW_Sessions!$A$2:$A$1201,ENTRY_Participants!$A54,RAW_Sessions!$B$2:$B$1201,1)&gt;0,TRUE,FALSE)</f>
        <v/>
      </c>
      <c r="D54" s="4">
        <f>IF(B54=0,0,COUNTIFS(RAW_Sessions!$A$2:$A$1201,ENTRY_Participants!$A54,RAW_Sessions!$C$2:$C$1201,"&lt;="&amp;MINIFS(RAW_Sessions!$C$2:$C$1201,RAW_Sessions!$A$2:$A$1201,ENTRY_Participants!$A54)+RETURN_GAP_DAYS*FIVE_ATTEMPTS))</f>
        <v/>
      </c>
      <c r="E54" s="4">
        <f>IF(B54=0,FALSE,COUNTIFS(RAW_Sessions!$A$2:$A$1201,ENTRY_Participants!$A54,RAW_Sessions!$B$2:$B$1201,"&lt;="&amp;FIVE_ATTEMPTS)&gt;=FIVE_ATTEMPTS)</f>
        <v/>
      </c>
      <c r="F54" s="4">
        <f>IF(B54=0,FALSE,NOT(E54))</f>
        <v/>
      </c>
      <c r="G54" s="4">
        <f>IF(ENTRY_Observations!$B54="","",ENTRY_Observations!$B54)</f>
        <v/>
      </c>
      <c r="H54" s="4">
        <f>IF(ENTRY_Observations!$D54="","",ENTRY_Observations!$D54)</f>
        <v/>
      </c>
      <c r="I54" s="4">
        <f>IF(G54&lt;&gt;"",G54,F54)</f>
        <v/>
      </c>
      <c r="J54" s="4">
        <f>IF(H54&lt;&gt;"",H54,IF(I54=FALSE,FALSE,P54))</f>
        <v/>
      </c>
      <c r="K54" s="4">
        <f>IF(COUNTIF(RAW_Questionnaire!$A$2:$A$121,ENTRY_Participants!$A54)=0,"",IF(SUMIFS(RAW_Questionnaire!$I$2:$I$121,RAW_Questionnaire!$A$2:$A$121,ENTRY_Participants!$A54)&gt;=ENDORSE_THRESHOLD,TRUE,FALSE))</f>
        <v/>
      </c>
      <c r="L54" s="4">
        <f>IF(COUNTIF(RAW_Questionnaire!$A$2:$A$121,ENTRY_Participants!$A54)=0,"",IF(SUMIFS(RAW_Questionnaire!$J$2:$J$121,RAW_Questionnaire!$A$2:$A$121,ENTRY_Participants!$A54)&gt;=INTENT_THRESHOLD,TRUE,FALSE))</f>
        <v/>
      </c>
      <c r="M54" s="4">
        <f>IFERROR(LOOKUP(2,1/((RAW_Sessions!$A$2:$A$1201=ENTRY_Participants!$A54)*(RAW_Sessions!$M$2:$M$1201&lt;&gt;"")),RAW_Sessions!$M$2:$M$1201),"")</f>
        <v/>
      </c>
      <c r="N54" s="4">
        <f>IF(OR(M54="",ENTRY_Participants!$I54=""),"",M54-ENTRY_Participants!$I54)</f>
        <v/>
      </c>
    </row>
    <row r="55">
      <c r="A55">
        <f>ENTRY_Participants!$A55</f>
        <v/>
      </c>
      <c r="B55" s="4">
        <f>COUNTIF(RAW_Sessions!$A$2:$A$1201,ENTRY_Participants!$A55)</f>
        <v/>
      </c>
      <c r="C55" s="4">
        <f>IF(COUNTIFS(RAW_Sessions!$A$2:$A$1201,ENTRY_Participants!$A55,RAW_Sessions!$B$2:$B$1201,1)&gt;0,TRUE,FALSE)</f>
        <v/>
      </c>
      <c r="D55" s="4">
        <f>IF(B55=0,0,COUNTIFS(RAW_Sessions!$A$2:$A$1201,ENTRY_Participants!$A55,RAW_Sessions!$C$2:$C$1201,"&lt;="&amp;MINIFS(RAW_Sessions!$C$2:$C$1201,RAW_Sessions!$A$2:$A$1201,ENTRY_Participants!$A55)+RETURN_GAP_DAYS*FIVE_ATTEMPTS))</f>
        <v/>
      </c>
      <c r="E55" s="4">
        <f>IF(B55=0,FALSE,COUNTIFS(RAW_Sessions!$A$2:$A$1201,ENTRY_Participants!$A55,RAW_Sessions!$B$2:$B$1201,"&lt;="&amp;FIVE_ATTEMPTS)&gt;=FIVE_ATTEMPTS)</f>
        <v/>
      </c>
      <c r="F55" s="4">
        <f>IF(B55=0,FALSE,NOT(E55))</f>
        <v/>
      </c>
      <c r="G55" s="4">
        <f>IF(ENTRY_Observations!$B55="","",ENTRY_Observations!$B55)</f>
        <v/>
      </c>
      <c r="H55" s="4">
        <f>IF(ENTRY_Observations!$D55="","",ENTRY_Observations!$D55)</f>
        <v/>
      </c>
      <c r="I55" s="4">
        <f>IF(G55&lt;&gt;"",G55,F55)</f>
        <v/>
      </c>
      <c r="J55" s="4">
        <f>IF(H55&lt;&gt;"",H55,IF(I55=FALSE,FALSE,P55))</f>
        <v/>
      </c>
      <c r="K55" s="4">
        <f>IF(COUNTIF(RAW_Questionnaire!$A$2:$A$121,ENTRY_Participants!$A55)=0,"",IF(SUMIFS(RAW_Questionnaire!$I$2:$I$121,RAW_Questionnaire!$A$2:$A$121,ENTRY_Participants!$A55)&gt;=ENDORSE_THRESHOLD,TRUE,FALSE))</f>
        <v/>
      </c>
      <c r="L55" s="4">
        <f>IF(COUNTIF(RAW_Questionnaire!$A$2:$A$121,ENTRY_Participants!$A55)=0,"",IF(SUMIFS(RAW_Questionnaire!$J$2:$J$121,RAW_Questionnaire!$A$2:$A$121,ENTRY_Participants!$A55)&gt;=INTENT_THRESHOLD,TRUE,FALSE))</f>
        <v/>
      </c>
      <c r="M55" s="4">
        <f>IFERROR(LOOKUP(2,1/((RAW_Sessions!$A$2:$A$1201=ENTRY_Participants!$A55)*(RAW_Sessions!$M$2:$M$1201&lt;&gt;"")),RAW_Sessions!$M$2:$M$1201),"")</f>
        <v/>
      </c>
      <c r="N55" s="4">
        <f>IF(OR(M55="",ENTRY_Participants!$I55=""),"",M55-ENTRY_Participants!$I55)</f>
        <v/>
      </c>
    </row>
    <row r="56">
      <c r="A56">
        <f>ENTRY_Participants!$A56</f>
        <v/>
      </c>
      <c r="B56" s="4">
        <f>COUNTIF(RAW_Sessions!$A$2:$A$1201,ENTRY_Participants!$A56)</f>
        <v/>
      </c>
      <c r="C56" s="4">
        <f>IF(COUNTIFS(RAW_Sessions!$A$2:$A$1201,ENTRY_Participants!$A56,RAW_Sessions!$B$2:$B$1201,1)&gt;0,TRUE,FALSE)</f>
        <v/>
      </c>
      <c r="D56" s="4">
        <f>IF(B56=0,0,COUNTIFS(RAW_Sessions!$A$2:$A$1201,ENTRY_Participants!$A56,RAW_Sessions!$C$2:$C$1201,"&lt;="&amp;MINIFS(RAW_Sessions!$C$2:$C$1201,RAW_Sessions!$A$2:$A$1201,ENTRY_Participants!$A56)+RETURN_GAP_DAYS*FIVE_ATTEMPTS))</f>
        <v/>
      </c>
      <c r="E56" s="4">
        <f>IF(B56=0,FALSE,COUNTIFS(RAW_Sessions!$A$2:$A$1201,ENTRY_Participants!$A56,RAW_Sessions!$B$2:$B$1201,"&lt;="&amp;FIVE_ATTEMPTS)&gt;=FIVE_ATTEMPTS)</f>
        <v/>
      </c>
      <c r="F56" s="4">
        <f>IF(B56=0,FALSE,NOT(E56))</f>
        <v/>
      </c>
      <c r="G56" s="4">
        <f>IF(ENTRY_Observations!$B56="","",ENTRY_Observations!$B56)</f>
        <v/>
      </c>
      <c r="H56" s="4">
        <f>IF(ENTRY_Observations!$D56="","",ENTRY_Observations!$D56)</f>
        <v/>
      </c>
      <c r="I56" s="4">
        <f>IF(G56&lt;&gt;"",G56,F56)</f>
        <v/>
      </c>
      <c r="J56" s="4">
        <f>IF(H56&lt;&gt;"",H56,IF(I56=FALSE,FALSE,P56))</f>
        <v/>
      </c>
      <c r="K56" s="4">
        <f>IF(COUNTIF(RAW_Questionnaire!$A$2:$A$121,ENTRY_Participants!$A56)=0,"",IF(SUMIFS(RAW_Questionnaire!$I$2:$I$121,RAW_Questionnaire!$A$2:$A$121,ENTRY_Participants!$A56)&gt;=ENDORSE_THRESHOLD,TRUE,FALSE))</f>
        <v/>
      </c>
      <c r="L56" s="4">
        <f>IF(COUNTIF(RAW_Questionnaire!$A$2:$A$121,ENTRY_Participants!$A56)=0,"",IF(SUMIFS(RAW_Questionnaire!$J$2:$J$121,RAW_Questionnaire!$A$2:$A$121,ENTRY_Participants!$A56)&gt;=INTENT_THRESHOLD,TRUE,FALSE))</f>
        <v/>
      </c>
      <c r="M56" s="4">
        <f>IFERROR(LOOKUP(2,1/((RAW_Sessions!$A$2:$A$1201=ENTRY_Participants!$A56)*(RAW_Sessions!$M$2:$M$1201&lt;&gt;"")),RAW_Sessions!$M$2:$M$1201),"")</f>
        <v/>
      </c>
      <c r="N56" s="4">
        <f>IF(OR(M56="",ENTRY_Participants!$I56=""),"",M56-ENTRY_Participants!$I56)</f>
        <v/>
      </c>
    </row>
    <row r="57">
      <c r="A57">
        <f>ENTRY_Participants!$A57</f>
        <v/>
      </c>
      <c r="B57" s="4">
        <f>COUNTIF(RAW_Sessions!$A$2:$A$1201,ENTRY_Participants!$A57)</f>
        <v/>
      </c>
      <c r="C57" s="4">
        <f>IF(COUNTIFS(RAW_Sessions!$A$2:$A$1201,ENTRY_Participants!$A57,RAW_Sessions!$B$2:$B$1201,1)&gt;0,TRUE,FALSE)</f>
        <v/>
      </c>
      <c r="D57" s="4">
        <f>IF(B57=0,0,COUNTIFS(RAW_Sessions!$A$2:$A$1201,ENTRY_Participants!$A57,RAW_Sessions!$C$2:$C$1201,"&lt;="&amp;MINIFS(RAW_Sessions!$C$2:$C$1201,RAW_Sessions!$A$2:$A$1201,ENTRY_Participants!$A57)+RETURN_GAP_DAYS*FIVE_ATTEMPTS))</f>
        <v/>
      </c>
      <c r="E57" s="4">
        <f>IF(B57=0,FALSE,COUNTIFS(RAW_Sessions!$A$2:$A$1201,ENTRY_Participants!$A57,RAW_Sessions!$B$2:$B$1201,"&lt;="&amp;FIVE_ATTEMPTS)&gt;=FIVE_ATTEMPTS)</f>
        <v/>
      </c>
      <c r="F57" s="4">
        <f>IF(B57=0,FALSE,NOT(E57))</f>
        <v/>
      </c>
      <c r="G57" s="4">
        <f>IF(ENTRY_Observations!$B57="","",ENTRY_Observations!$B57)</f>
        <v/>
      </c>
      <c r="H57" s="4">
        <f>IF(ENTRY_Observations!$D57="","",ENTRY_Observations!$D57)</f>
        <v/>
      </c>
      <c r="I57" s="4">
        <f>IF(G57&lt;&gt;"",G57,F57)</f>
        <v/>
      </c>
      <c r="J57" s="4">
        <f>IF(H57&lt;&gt;"",H57,IF(I57=FALSE,FALSE,P57))</f>
        <v/>
      </c>
      <c r="K57" s="4">
        <f>IF(COUNTIF(RAW_Questionnaire!$A$2:$A$121,ENTRY_Participants!$A57)=0,"",IF(SUMIFS(RAW_Questionnaire!$I$2:$I$121,RAW_Questionnaire!$A$2:$A$121,ENTRY_Participants!$A57)&gt;=ENDORSE_THRESHOLD,TRUE,FALSE))</f>
        <v/>
      </c>
      <c r="L57" s="4">
        <f>IF(COUNTIF(RAW_Questionnaire!$A$2:$A$121,ENTRY_Participants!$A57)=0,"",IF(SUMIFS(RAW_Questionnaire!$J$2:$J$121,RAW_Questionnaire!$A$2:$A$121,ENTRY_Participants!$A57)&gt;=INTENT_THRESHOLD,TRUE,FALSE))</f>
        <v/>
      </c>
      <c r="M57" s="4">
        <f>IFERROR(LOOKUP(2,1/((RAW_Sessions!$A$2:$A$1201=ENTRY_Participants!$A57)*(RAW_Sessions!$M$2:$M$1201&lt;&gt;"")),RAW_Sessions!$M$2:$M$1201),"")</f>
        <v/>
      </c>
      <c r="N57" s="4">
        <f>IF(OR(M57="",ENTRY_Participants!$I57=""),"",M57-ENTRY_Participants!$I57)</f>
        <v/>
      </c>
    </row>
    <row r="58">
      <c r="A58">
        <f>ENTRY_Participants!$A58</f>
        <v/>
      </c>
      <c r="B58" s="4">
        <f>COUNTIF(RAW_Sessions!$A$2:$A$1201,ENTRY_Participants!$A58)</f>
        <v/>
      </c>
      <c r="C58" s="4">
        <f>IF(COUNTIFS(RAW_Sessions!$A$2:$A$1201,ENTRY_Participants!$A58,RAW_Sessions!$B$2:$B$1201,1)&gt;0,TRUE,FALSE)</f>
        <v/>
      </c>
      <c r="D58" s="4">
        <f>IF(B58=0,0,COUNTIFS(RAW_Sessions!$A$2:$A$1201,ENTRY_Participants!$A58,RAW_Sessions!$C$2:$C$1201,"&lt;="&amp;MINIFS(RAW_Sessions!$C$2:$C$1201,RAW_Sessions!$A$2:$A$1201,ENTRY_Participants!$A58)+RETURN_GAP_DAYS*FIVE_ATTEMPTS))</f>
        <v/>
      </c>
      <c r="E58" s="4">
        <f>IF(B58=0,FALSE,COUNTIFS(RAW_Sessions!$A$2:$A$1201,ENTRY_Participants!$A58,RAW_Sessions!$B$2:$B$1201,"&lt;="&amp;FIVE_ATTEMPTS)&gt;=FIVE_ATTEMPTS)</f>
        <v/>
      </c>
      <c r="F58" s="4">
        <f>IF(B58=0,FALSE,NOT(E58))</f>
        <v/>
      </c>
      <c r="G58" s="4">
        <f>IF(ENTRY_Observations!$B58="","",ENTRY_Observations!$B58)</f>
        <v/>
      </c>
      <c r="H58" s="4">
        <f>IF(ENTRY_Observations!$D58="","",ENTRY_Observations!$D58)</f>
        <v/>
      </c>
      <c r="I58" s="4">
        <f>IF(G58&lt;&gt;"",G58,F58)</f>
        <v/>
      </c>
      <c r="J58" s="4">
        <f>IF(H58&lt;&gt;"",H58,IF(I58=FALSE,FALSE,P58))</f>
        <v/>
      </c>
      <c r="K58" s="4">
        <f>IF(COUNTIF(RAW_Questionnaire!$A$2:$A$121,ENTRY_Participants!$A58)=0,"",IF(SUMIFS(RAW_Questionnaire!$I$2:$I$121,RAW_Questionnaire!$A$2:$A$121,ENTRY_Participants!$A58)&gt;=ENDORSE_THRESHOLD,TRUE,FALSE))</f>
        <v/>
      </c>
      <c r="L58" s="4">
        <f>IF(COUNTIF(RAW_Questionnaire!$A$2:$A$121,ENTRY_Participants!$A58)=0,"",IF(SUMIFS(RAW_Questionnaire!$J$2:$J$121,RAW_Questionnaire!$A$2:$A$121,ENTRY_Participants!$A58)&gt;=INTENT_THRESHOLD,TRUE,FALSE))</f>
        <v/>
      </c>
      <c r="M58" s="4">
        <f>IFERROR(LOOKUP(2,1/((RAW_Sessions!$A$2:$A$1201=ENTRY_Participants!$A58)*(RAW_Sessions!$M$2:$M$1201&lt;&gt;"")),RAW_Sessions!$M$2:$M$1201),"")</f>
        <v/>
      </c>
      <c r="N58" s="4">
        <f>IF(OR(M58="",ENTRY_Participants!$I58=""),"",M58-ENTRY_Participants!$I58)</f>
        <v/>
      </c>
    </row>
    <row r="59">
      <c r="A59">
        <f>ENTRY_Participants!$A59</f>
        <v/>
      </c>
      <c r="B59" s="4">
        <f>COUNTIF(RAW_Sessions!$A$2:$A$1201,ENTRY_Participants!$A59)</f>
        <v/>
      </c>
      <c r="C59" s="4">
        <f>IF(COUNTIFS(RAW_Sessions!$A$2:$A$1201,ENTRY_Participants!$A59,RAW_Sessions!$B$2:$B$1201,1)&gt;0,TRUE,FALSE)</f>
        <v/>
      </c>
      <c r="D59" s="4">
        <f>IF(B59=0,0,COUNTIFS(RAW_Sessions!$A$2:$A$1201,ENTRY_Participants!$A59,RAW_Sessions!$C$2:$C$1201,"&lt;="&amp;MINIFS(RAW_Sessions!$C$2:$C$1201,RAW_Sessions!$A$2:$A$1201,ENTRY_Participants!$A59)+RETURN_GAP_DAYS*FIVE_ATTEMPTS))</f>
        <v/>
      </c>
      <c r="E59" s="4">
        <f>IF(B59=0,FALSE,COUNTIFS(RAW_Sessions!$A$2:$A$1201,ENTRY_Participants!$A59,RAW_Sessions!$B$2:$B$1201,"&lt;="&amp;FIVE_ATTEMPTS)&gt;=FIVE_ATTEMPTS)</f>
        <v/>
      </c>
      <c r="F59" s="4">
        <f>IF(B59=0,FALSE,NOT(E59))</f>
        <v/>
      </c>
      <c r="G59" s="4">
        <f>IF(ENTRY_Observations!$B59="","",ENTRY_Observations!$B59)</f>
        <v/>
      </c>
      <c r="H59" s="4">
        <f>IF(ENTRY_Observations!$D59="","",ENTRY_Observations!$D59)</f>
        <v/>
      </c>
      <c r="I59" s="4">
        <f>IF(G59&lt;&gt;"",G59,F59)</f>
        <v/>
      </c>
      <c r="J59" s="4">
        <f>IF(H59&lt;&gt;"",H59,IF(I59=FALSE,FALSE,P59))</f>
        <v/>
      </c>
      <c r="K59" s="4">
        <f>IF(COUNTIF(RAW_Questionnaire!$A$2:$A$121,ENTRY_Participants!$A59)=0,"",IF(SUMIFS(RAW_Questionnaire!$I$2:$I$121,RAW_Questionnaire!$A$2:$A$121,ENTRY_Participants!$A59)&gt;=ENDORSE_THRESHOLD,TRUE,FALSE))</f>
        <v/>
      </c>
      <c r="L59" s="4">
        <f>IF(COUNTIF(RAW_Questionnaire!$A$2:$A$121,ENTRY_Participants!$A59)=0,"",IF(SUMIFS(RAW_Questionnaire!$J$2:$J$121,RAW_Questionnaire!$A$2:$A$121,ENTRY_Participants!$A59)&gt;=INTENT_THRESHOLD,TRUE,FALSE))</f>
        <v/>
      </c>
      <c r="M59" s="4">
        <f>IFERROR(LOOKUP(2,1/((RAW_Sessions!$A$2:$A$1201=ENTRY_Participants!$A59)*(RAW_Sessions!$M$2:$M$1201&lt;&gt;"")),RAW_Sessions!$M$2:$M$1201),"")</f>
        <v/>
      </c>
      <c r="N59" s="4">
        <f>IF(OR(M59="",ENTRY_Participants!$I59=""),"",M59-ENTRY_Participants!$I59)</f>
        <v/>
      </c>
    </row>
    <row r="60">
      <c r="A60">
        <f>ENTRY_Participants!$A60</f>
        <v/>
      </c>
      <c r="B60" s="4">
        <f>COUNTIF(RAW_Sessions!$A$2:$A$1201,ENTRY_Participants!$A60)</f>
        <v/>
      </c>
      <c r="C60" s="4">
        <f>IF(COUNTIFS(RAW_Sessions!$A$2:$A$1201,ENTRY_Participants!$A60,RAW_Sessions!$B$2:$B$1201,1)&gt;0,TRUE,FALSE)</f>
        <v/>
      </c>
      <c r="D60" s="4">
        <f>IF(B60=0,0,COUNTIFS(RAW_Sessions!$A$2:$A$1201,ENTRY_Participants!$A60,RAW_Sessions!$C$2:$C$1201,"&lt;="&amp;MINIFS(RAW_Sessions!$C$2:$C$1201,RAW_Sessions!$A$2:$A$1201,ENTRY_Participants!$A60)+RETURN_GAP_DAYS*FIVE_ATTEMPTS))</f>
        <v/>
      </c>
      <c r="E60" s="4">
        <f>IF(B60=0,FALSE,COUNTIFS(RAW_Sessions!$A$2:$A$1201,ENTRY_Participants!$A60,RAW_Sessions!$B$2:$B$1201,"&lt;="&amp;FIVE_ATTEMPTS)&gt;=FIVE_ATTEMPTS)</f>
        <v/>
      </c>
      <c r="F60" s="4">
        <f>IF(B60=0,FALSE,NOT(E60))</f>
        <v/>
      </c>
      <c r="G60" s="4">
        <f>IF(ENTRY_Observations!$B60="","",ENTRY_Observations!$B60)</f>
        <v/>
      </c>
      <c r="H60" s="4">
        <f>IF(ENTRY_Observations!$D60="","",ENTRY_Observations!$D60)</f>
        <v/>
      </c>
      <c r="I60" s="4">
        <f>IF(G60&lt;&gt;"",G60,F60)</f>
        <v/>
      </c>
      <c r="J60" s="4">
        <f>IF(H60&lt;&gt;"",H60,IF(I60=FALSE,FALSE,P60))</f>
        <v/>
      </c>
      <c r="K60" s="4">
        <f>IF(COUNTIF(RAW_Questionnaire!$A$2:$A$121,ENTRY_Participants!$A60)=0,"",IF(SUMIFS(RAW_Questionnaire!$I$2:$I$121,RAW_Questionnaire!$A$2:$A$121,ENTRY_Participants!$A60)&gt;=ENDORSE_THRESHOLD,TRUE,FALSE))</f>
        <v/>
      </c>
      <c r="L60" s="4">
        <f>IF(COUNTIF(RAW_Questionnaire!$A$2:$A$121,ENTRY_Participants!$A60)=0,"",IF(SUMIFS(RAW_Questionnaire!$J$2:$J$121,RAW_Questionnaire!$A$2:$A$121,ENTRY_Participants!$A60)&gt;=INTENT_THRESHOLD,TRUE,FALSE))</f>
        <v/>
      </c>
      <c r="M60" s="4">
        <f>IFERROR(LOOKUP(2,1/((RAW_Sessions!$A$2:$A$1201=ENTRY_Participants!$A60)*(RAW_Sessions!$M$2:$M$1201&lt;&gt;"")),RAW_Sessions!$M$2:$M$1201),"")</f>
        <v/>
      </c>
      <c r="N60" s="4">
        <f>IF(OR(M60="",ENTRY_Participants!$I60=""),"",M60-ENTRY_Participants!$I60)</f>
        <v/>
      </c>
    </row>
    <row r="61">
      <c r="A61">
        <f>ENTRY_Participants!$A61</f>
        <v/>
      </c>
      <c r="B61" s="4">
        <f>COUNTIF(RAW_Sessions!$A$2:$A$1201,ENTRY_Participants!$A61)</f>
        <v/>
      </c>
      <c r="C61" s="4">
        <f>IF(COUNTIFS(RAW_Sessions!$A$2:$A$1201,ENTRY_Participants!$A61,RAW_Sessions!$B$2:$B$1201,1)&gt;0,TRUE,FALSE)</f>
        <v/>
      </c>
      <c r="D61" s="4">
        <f>IF(B61=0,0,COUNTIFS(RAW_Sessions!$A$2:$A$1201,ENTRY_Participants!$A61,RAW_Sessions!$C$2:$C$1201,"&lt;="&amp;MINIFS(RAW_Sessions!$C$2:$C$1201,RAW_Sessions!$A$2:$A$1201,ENTRY_Participants!$A61)+RETURN_GAP_DAYS*FIVE_ATTEMPTS))</f>
        <v/>
      </c>
      <c r="E61" s="4">
        <f>IF(B61=0,FALSE,COUNTIFS(RAW_Sessions!$A$2:$A$1201,ENTRY_Participants!$A61,RAW_Sessions!$B$2:$B$1201,"&lt;="&amp;FIVE_ATTEMPTS)&gt;=FIVE_ATTEMPTS)</f>
        <v/>
      </c>
      <c r="F61" s="4">
        <f>IF(B61=0,FALSE,NOT(E61))</f>
        <v/>
      </c>
      <c r="G61" s="4">
        <f>IF(ENTRY_Observations!$B61="","",ENTRY_Observations!$B61)</f>
        <v/>
      </c>
      <c r="H61" s="4">
        <f>IF(ENTRY_Observations!$D61="","",ENTRY_Observations!$D61)</f>
        <v/>
      </c>
      <c r="I61" s="4">
        <f>IF(G61&lt;&gt;"",G61,F61)</f>
        <v/>
      </c>
      <c r="J61" s="4">
        <f>IF(H61&lt;&gt;"",H61,IF(I61=FALSE,FALSE,P61))</f>
        <v/>
      </c>
      <c r="K61" s="4">
        <f>IF(COUNTIF(RAW_Questionnaire!$A$2:$A$121,ENTRY_Participants!$A61)=0,"",IF(SUMIFS(RAW_Questionnaire!$I$2:$I$121,RAW_Questionnaire!$A$2:$A$121,ENTRY_Participants!$A61)&gt;=ENDORSE_THRESHOLD,TRUE,FALSE))</f>
        <v/>
      </c>
      <c r="L61" s="4">
        <f>IF(COUNTIF(RAW_Questionnaire!$A$2:$A$121,ENTRY_Participants!$A61)=0,"",IF(SUMIFS(RAW_Questionnaire!$J$2:$J$121,RAW_Questionnaire!$A$2:$A$121,ENTRY_Participants!$A61)&gt;=INTENT_THRESHOLD,TRUE,FALSE))</f>
        <v/>
      </c>
      <c r="M61" s="4">
        <f>IFERROR(LOOKUP(2,1/((RAW_Sessions!$A$2:$A$1201=ENTRY_Participants!$A61)*(RAW_Sessions!$M$2:$M$1201&lt;&gt;"")),RAW_Sessions!$M$2:$M$1201),"")</f>
        <v/>
      </c>
      <c r="N61" s="4">
        <f>IF(OR(M61="",ENTRY_Participants!$I61=""),"",M61-ENTRY_Participants!$I61)</f>
        <v/>
      </c>
    </row>
    <row r="62">
      <c r="A62">
        <f>ENTRY_Participants!$A62</f>
        <v/>
      </c>
      <c r="B62" s="4">
        <f>COUNTIF(RAW_Sessions!$A$2:$A$1201,ENTRY_Participants!$A62)</f>
        <v/>
      </c>
      <c r="C62" s="4">
        <f>IF(COUNTIFS(RAW_Sessions!$A$2:$A$1201,ENTRY_Participants!$A62,RAW_Sessions!$B$2:$B$1201,1)&gt;0,TRUE,FALSE)</f>
        <v/>
      </c>
      <c r="D62" s="4">
        <f>IF(B62=0,0,COUNTIFS(RAW_Sessions!$A$2:$A$1201,ENTRY_Participants!$A62,RAW_Sessions!$C$2:$C$1201,"&lt;="&amp;MINIFS(RAW_Sessions!$C$2:$C$1201,RAW_Sessions!$A$2:$A$1201,ENTRY_Participants!$A62)+RETURN_GAP_DAYS*FIVE_ATTEMPTS))</f>
        <v/>
      </c>
      <c r="E62" s="4">
        <f>IF(B62=0,FALSE,COUNTIFS(RAW_Sessions!$A$2:$A$1201,ENTRY_Participants!$A62,RAW_Sessions!$B$2:$B$1201,"&lt;="&amp;FIVE_ATTEMPTS)&gt;=FIVE_ATTEMPTS)</f>
        <v/>
      </c>
      <c r="F62" s="4">
        <f>IF(B62=0,FALSE,NOT(E62))</f>
        <v/>
      </c>
      <c r="G62" s="4">
        <f>IF(ENTRY_Observations!$B62="","",ENTRY_Observations!$B62)</f>
        <v/>
      </c>
      <c r="H62" s="4">
        <f>IF(ENTRY_Observations!$D62="","",ENTRY_Observations!$D62)</f>
        <v/>
      </c>
      <c r="I62" s="4">
        <f>IF(G62&lt;&gt;"",G62,F62)</f>
        <v/>
      </c>
      <c r="J62" s="4">
        <f>IF(H62&lt;&gt;"",H62,IF(I62=FALSE,FALSE,P62))</f>
        <v/>
      </c>
      <c r="K62" s="4">
        <f>IF(COUNTIF(RAW_Questionnaire!$A$2:$A$121,ENTRY_Participants!$A62)=0,"",IF(SUMIFS(RAW_Questionnaire!$I$2:$I$121,RAW_Questionnaire!$A$2:$A$121,ENTRY_Participants!$A62)&gt;=ENDORSE_THRESHOLD,TRUE,FALSE))</f>
        <v/>
      </c>
      <c r="L62" s="4">
        <f>IF(COUNTIF(RAW_Questionnaire!$A$2:$A$121,ENTRY_Participants!$A62)=0,"",IF(SUMIFS(RAW_Questionnaire!$J$2:$J$121,RAW_Questionnaire!$A$2:$A$121,ENTRY_Participants!$A62)&gt;=INTENT_THRESHOLD,TRUE,FALSE))</f>
        <v/>
      </c>
      <c r="M62" s="4">
        <f>IFERROR(LOOKUP(2,1/((RAW_Sessions!$A$2:$A$1201=ENTRY_Participants!$A62)*(RAW_Sessions!$M$2:$M$1201&lt;&gt;"")),RAW_Sessions!$M$2:$M$1201),"")</f>
        <v/>
      </c>
      <c r="N62" s="4">
        <f>IF(OR(M62="",ENTRY_Participants!$I62=""),"",M62-ENTRY_Participants!$I62)</f>
        <v/>
      </c>
    </row>
    <row r="63">
      <c r="A63">
        <f>ENTRY_Participants!$A63</f>
        <v/>
      </c>
      <c r="B63" s="4">
        <f>COUNTIF(RAW_Sessions!$A$2:$A$1201,ENTRY_Participants!$A63)</f>
        <v/>
      </c>
      <c r="C63" s="4">
        <f>IF(COUNTIFS(RAW_Sessions!$A$2:$A$1201,ENTRY_Participants!$A63,RAW_Sessions!$B$2:$B$1201,1)&gt;0,TRUE,FALSE)</f>
        <v/>
      </c>
      <c r="D63" s="4">
        <f>IF(B63=0,0,COUNTIFS(RAW_Sessions!$A$2:$A$1201,ENTRY_Participants!$A63,RAW_Sessions!$C$2:$C$1201,"&lt;="&amp;MINIFS(RAW_Sessions!$C$2:$C$1201,RAW_Sessions!$A$2:$A$1201,ENTRY_Participants!$A63)+RETURN_GAP_DAYS*FIVE_ATTEMPTS))</f>
        <v/>
      </c>
      <c r="E63" s="4">
        <f>IF(B63=0,FALSE,COUNTIFS(RAW_Sessions!$A$2:$A$1201,ENTRY_Participants!$A63,RAW_Sessions!$B$2:$B$1201,"&lt;="&amp;FIVE_ATTEMPTS)&gt;=FIVE_ATTEMPTS)</f>
        <v/>
      </c>
      <c r="F63" s="4">
        <f>IF(B63=0,FALSE,NOT(E63))</f>
        <v/>
      </c>
      <c r="G63" s="4">
        <f>IF(ENTRY_Observations!$B63="","",ENTRY_Observations!$B63)</f>
        <v/>
      </c>
      <c r="H63" s="4">
        <f>IF(ENTRY_Observations!$D63="","",ENTRY_Observations!$D63)</f>
        <v/>
      </c>
      <c r="I63" s="4">
        <f>IF(G63&lt;&gt;"",G63,F63)</f>
        <v/>
      </c>
      <c r="J63" s="4">
        <f>IF(H63&lt;&gt;"",H63,IF(I63=FALSE,FALSE,P63))</f>
        <v/>
      </c>
      <c r="K63" s="4">
        <f>IF(COUNTIF(RAW_Questionnaire!$A$2:$A$121,ENTRY_Participants!$A63)=0,"",IF(SUMIFS(RAW_Questionnaire!$I$2:$I$121,RAW_Questionnaire!$A$2:$A$121,ENTRY_Participants!$A63)&gt;=ENDORSE_THRESHOLD,TRUE,FALSE))</f>
        <v/>
      </c>
      <c r="L63" s="4">
        <f>IF(COUNTIF(RAW_Questionnaire!$A$2:$A$121,ENTRY_Participants!$A63)=0,"",IF(SUMIFS(RAW_Questionnaire!$J$2:$J$121,RAW_Questionnaire!$A$2:$A$121,ENTRY_Participants!$A63)&gt;=INTENT_THRESHOLD,TRUE,FALSE))</f>
        <v/>
      </c>
      <c r="M63" s="4">
        <f>IFERROR(LOOKUP(2,1/((RAW_Sessions!$A$2:$A$1201=ENTRY_Participants!$A63)*(RAW_Sessions!$M$2:$M$1201&lt;&gt;"")),RAW_Sessions!$M$2:$M$1201),"")</f>
        <v/>
      </c>
      <c r="N63" s="4">
        <f>IF(OR(M63="",ENTRY_Participants!$I63=""),"",M63-ENTRY_Participants!$I63)</f>
        <v/>
      </c>
    </row>
    <row r="64">
      <c r="A64">
        <f>ENTRY_Participants!$A64</f>
        <v/>
      </c>
      <c r="B64" s="4">
        <f>COUNTIF(RAW_Sessions!$A$2:$A$1201,ENTRY_Participants!$A64)</f>
        <v/>
      </c>
      <c r="C64" s="4">
        <f>IF(COUNTIFS(RAW_Sessions!$A$2:$A$1201,ENTRY_Participants!$A64,RAW_Sessions!$B$2:$B$1201,1)&gt;0,TRUE,FALSE)</f>
        <v/>
      </c>
      <c r="D64" s="4">
        <f>IF(B64=0,0,COUNTIFS(RAW_Sessions!$A$2:$A$1201,ENTRY_Participants!$A64,RAW_Sessions!$C$2:$C$1201,"&lt;="&amp;MINIFS(RAW_Sessions!$C$2:$C$1201,RAW_Sessions!$A$2:$A$1201,ENTRY_Participants!$A64)+RETURN_GAP_DAYS*FIVE_ATTEMPTS))</f>
        <v/>
      </c>
      <c r="E64" s="4">
        <f>IF(B64=0,FALSE,COUNTIFS(RAW_Sessions!$A$2:$A$1201,ENTRY_Participants!$A64,RAW_Sessions!$B$2:$B$1201,"&lt;="&amp;FIVE_ATTEMPTS)&gt;=FIVE_ATTEMPTS)</f>
        <v/>
      </c>
      <c r="F64" s="4">
        <f>IF(B64=0,FALSE,NOT(E64))</f>
        <v/>
      </c>
      <c r="G64" s="4">
        <f>IF(ENTRY_Observations!$B64="","",ENTRY_Observations!$B64)</f>
        <v/>
      </c>
      <c r="H64" s="4">
        <f>IF(ENTRY_Observations!$D64="","",ENTRY_Observations!$D64)</f>
        <v/>
      </c>
      <c r="I64" s="4">
        <f>IF(G64&lt;&gt;"",G64,F64)</f>
        <v/>
      </c>
      <c r="J64" s="4">
        <f>IF(H64&lt;&gt;"",H64,IF(I64=FALSE,FALSE,P64))</f>
        <v/>
      </c>
      <c r="K64" s="4">
        <f>IF(COUNTIF(RAW_Questionnaire!$A$2:$A$121,ENTRY_Participants!$A64)=0,"",IF(SUMIFS(RAW_Questionnaire!$I$2:$I$121,RAW_Questionnaire!$A$2:$A$121,ENTRY_Participants!$A64)&gt;=ENDORSE_THRESHOLD,TRUE,FALSE))</f>
        <v/>
      </c>
      <c r="L64" s="4">
        <f>IF(COUNTIF(RAW_Questionnaire!$A$2:$A$121,ENTRY_Participants!$A64)=0,"",IF(SUMIFS(RAW_Questionnaire!$J$2:$J$121,RAW_Questionnaire!$A$2:$A$121,ENTRY_Participants!$A64)&gt;=INTENT_THRESHOLD,TRUE,FALSE))</f>
        <v/>
      </c>
      <c r="M64" s="4">
        <f>IFERROR(LOOKUP(2,1/((RAW_Sessions!$A$2:$A$1201=ENTRY_Participants!$A64)*(RAW_Sessions!$M$2:$M$1201&lt;&gt;"")),RAW_Sessions!$M$2:$M$1201),"")</f>
        <v/>
      </c>
      <c r="N64" s="4">
        <f>IF(OR(M64="",ENTRY_Participants!$I64=""),"",M64-ENTRY_Participants!$I64)</f>
        <v/>
      </c>
    </row>
    <row r="65">
      <c r="A65">
        <f>ENTRY_Participants!$A65</f>
        <v/>
      </c>
      <c r="B65" s="4">
        <f>COUNTIF(RAW_Sessions!$A$2:$A$1201,ENTRY_Participants!$A65)</f>
        <v/>
      </c>
      <c r="C65" s="4">
        <f>IF(COUNTIFS(RAW_Sessions!$A$2:$A$1201,ENTRY_Participants!$A65,RAW_Sessions!$B$2:$B$1201,1)&gt;0,TRUE,FALSE)</f>
        <v/>
      </c>
      <c r="D65" s="4">
        <f>IF(B65=0,0,COUNTIFS(RAW_Sessions!$A$2:$A$1201,ENTRY_Participants!$A65,RAW_Sessions!$C$2:$C$1201,"&lt;="&amp;MINIFS(RAW_Sessions!$C$2:$C$1201,RAW_Sessions!$A$2:$A$1201,ENTRY_Participants!$A65)+RETURN_GAP_DAYS*FIVE_ATTEMPTS))</f>
        <v/>
      </c>
      <c r="E65" s="4">
        <f>IF(B65=0,FALSE,COUNTIFS(RAW_Sessions!$A$2:$A$1201,ENTRY_Participants!$A65,RAW_Sessions!$B$2:$B$1201,"&lt;="&amp;FIVE_ATTEMPTS)&gt;=FIVE_ATTEMPTS)</f>
        <v/>
      </c>
      <c r="F65" s="4">
        <f>IF(B65=0,FALSE,NOT(E65))</f>
        <v/>
      </c>
      <c r="G65" s="4">
        <f>IF(ENTRY_Observations!$B65="","",ENTRY_Observations!$B65)</f>
        <v/>
      </c>
      <c r="H65" s="4">
        <f>IF(ENTRY_Observations!$D65="","",ENTRY_Observations!$D65)</f>
        <v/>
      </c>
      <c r="I65" s="4">
        <f>IF(G65&lt;&gt;"",G65,F65)</f>
        <v/>
      </c>
      <c r="J65" s="4">
        <f>IF(H65&lt;&gt;"",H65,IF(I65=FALSE,FALSE,P65))</f>
        <v/>
      </c>
      <c r="K65" s="4">
        <f>IF(COUNTIF(RAW_Questionnaire!$A$2:$A$121,ENTRY_Participants!$A65)=0,"",IF(SUMIFS(RAW_Questionnaire!$I$2:$I$121,RAW_Questionnaire!$A$2:$A$121,ENTRY_Participants!$A65)&gt;=ENDORSE_THRESHOLD,TRUE,FALSE))</f>
        <v/>
      </c>
      <c r="L65" s="4">
        <f>IF(COUNTIF(RAW_Questionnaire!$A$2:$A$121,ENTRY_Participants!$A65)=0,"",IF(SUMIFS(RAW_Questionnaire!$J$2:$J$121,RAW_Questionnaire!$A$2:$A$121,ENTRY_Participants!$A65)&gt;=INTENT_THRESHOLD,TRUE,FALSE))</f>
        <v/>
      </c>
      <c r="M65" s="4">
        <f>IFERROR(LOOKUP(2,1/((RAW_Sessions!$A$2:$A$1201=ENTRY_Participants!$A65)*(RAW_Sessions!$M$2:$M$1201&lt;&gt;"")),RAW_Sessions!$M$2:$M$1201),"")</f>
        <v/>
      </c>
      <c r="N65" s="4">
        <f>IF(OR(M65="",ENTRY_Participants!$I65=""),"",M65-ENTRY_Participants!$I65)</f>
        <v/>
      </c>
    </row>
    <row r="66">
      <c r="A66">
        <f>ENTRY_Participants!$A66</f>
        <v/>
      </c>
      <c r="B66" s="4">
        <f>COUNTIF(RAW_Sessions!$A$2:$A$1201,ENTRY_Participants!$A66)</f>
        <v/>
      </c>
      <c r="C66" s="4">
        <f>IF(COUNTIFS(RAW_Sessions!$A$2:$A$1201,ENTRY_Participants!$A66,RAW_Sessions!$B$2:$B$1201,1)&gt;0,TRUE,FALSE)</f>
        <v/>
      </c>
      <c r="D66" s="4">
        <f>IF(B66=0,0,COUNTIFS(RAW_Sessions!$A$2:$A$1201,ENTRY_Participants!$A66,RAW_Sessions!$C$2:$C$1201,"&lt;="&amp;MINIFS(RAW_Sessions!$C$2:$C$1201,RAW_Sessions!$A$2:$A$1201,ENTRY_Participants!$A66)+RETURN_GAP_DAYS*FIVE_ATTEMPTS))</f>
        <v/>
      </c>
      <c r="E66" s="4">
        <f>IF(B66=0,FALSE,COUNTIFS(RAW_Sessions!$A$2:$A$1201,ENTRY_Participants!$A66,RAW_Sessions!$B$2:$B$1201,"&lt;="&amp;FIVE_ATTEMPTS)&gt;=FIVE_ATTEMPTS)</f>
        <v/>
      </c>
      <c r="F66" s="4">
        <f>IF(B66=0,FALSE,NOT(E66))</f>
        <v/>
      </c>
      <c r="G66" s="4">
        <f>IF(ENTRY_Observations!$B66="","",ENTRY_Observations!$B66)</f>
        <v/>
      </c>
      <c r="H66" s="4">
        <f>IF(ENTRY_Observations!$D66="","",ENTRY_Observations!$D66)</f>
        <v/>
      </c>
      <c r="I66" s="4">
        <f>IF(G66&lt;&gt;"",G66,F66)</f>
        <v/>
      </c>
      <c r="J66" s="4">
        <f>IF(H66&lt;&gt;"",H66,IF(I66=FALSE,FALSE,P66))</f>
        <v/>
      </c>
      <c r="K66" s="4">
        <f>IF(COUNTIF(RAW_Questionnaire!$A$2:$A$121,ENTRY_Participants!$A66)=0,"",IF(SUMIFS(RAW_Questionnaire!$I$2:$I$121,RAW_Questionnaire!$A$2:$A$121,ENTRY_Participants!$A66)&gt;=ENDORSE_THRESHOLD,TRUE,FALSE))</f>
        <v/>
      </c>
      <c r="L66" s="4">
        <f>IF(COUNTIF(RAW_Questionnaire!$A$2:$A$121,ENTRY_Participants!$A66)=0,"",IF(SUMIFS(RAW_Questionnaire!$J$2:$J$121,RAW_Questionnaire!$A$2:$A$121,ENTRY_Participants!$A66)&gt;=INTENT_THRESHOLD,TRUE,FALSE))</f>
        <v/>
      </c>
      <c r="M66" s="4">
        <f>IFERROR(LOOKUP(2,1/((RAW_Sessions!$A$2:$A$1201=ENTRY_Participants!$A66)*(RAW_Sessions!$M$2:$M$1201&lt;&gt;"")),RAW_Sessions!$M$2:$M$1201),"")</f>
        <v/>
      </c>
      <c r="N66" s="4">
        <f>IF(OR(M66="",ENTRY_Participants!$I66=""),"",M66-ENTRY_Participants!$I66)</f>
        <v/>
      </c>
    </row>
    <row r="67">
      <c r="A67">
        <f>ENTRY_Participants!$A67</f>
        <v/>
      </c>
      <c r="B67" s="4">
        <f>COUNTIF(RAW_Sessions!$A$2:$A$1201,ENTRY_Participants!$A67)</f>
        <v/>
      </c>
      <c r="C67" s="4">
        <f>IF(COUNTIFS(RAW_Sessions!$A$2:$A$1201,ENTRY_Participants!$A67,RAW_Sessions!$B$2:$B$1201,1)&gt;0,TRUE,FALSE)</f>
        <v/>
      </c>
      <c r="D67" s="4">
        <f>IF(B67=0,0,COUNTIFS(RAW_Sessions!$A$2:$A$1201,ENTRY_Participants!$A67,RAW_Sessions!$C$2:$C$1201,"&lt;="&amp;MINIFS(RAW_Sessions!$C$2:$C$1201,RAW_Sessions!$A$2:$A$1201,ENTRY_Participants!$A67)+RETURN_GAP_DAYS*FIVE_ATTEMPTS))</f>
        <v/>
      </c>
      <c r="E67" s="4">
        <f>IF(B67=0,FALSE,COUNTIFS(RAW_Sessions!$A$2:$A$1201,ENTRY_Participants!$A67,RAW_Sessions!$B$2:$B$1201,"&lt;="&amp;FIVE_ATTEMPTS)&gt;=FIVE_ATTEMPTS)</f>
        <v/>
      </c>
      <c r="F67" s="4">
        <f>IF(B67=0,FALSE,NOT(E67))</f>
        <v/>
      </c>
      <c r="G67" s="4">
        <f>IF(ENTRY_Observations!$B67="","",ENTRY_Observations!$B67)</f>
        <v/>
      </c>
      <c r="H67" s="4">
        <f>IF(ENTRY_Observations!$D67="","",ENTRY_Observations!$D67)</f>
        <v/>
      </c>
      <c r="I67" s="4">
        <f>IF(G67&lt;&gt;"",G67,F67)</f>
        <v/>
      </c>
      <c r="J67" s="4">
        <f>IF(H67&lt;&gt;"",H67,IF(I67=FALSE,FALSE,P67))</f>
        <v/>
      </c>
      <c r="K67" s="4">
        <f>IF(COUNTIF(RAW_Questionnaire!$A$2:$A$121,ENTRY_Participants!$A67)=0,"",IF(SUMIFS(RAW_Questionnaire!$I$2:$I$121,RAW_Questionnaire!$A$2:$A$121,ENTRY_Participants!$A67)&gt;=ENDORSE_THRESHOLD,TRUE,FALSE))</f>
        <v/>
      </c>
      <c r="L67" s="4">
        <f>IF(COUNTIF(RAW_Questionnaire!$A$2:$A$121,ENTRY_Participants!$A67)=0,"",IF(SUMIFS(RAW_Questionnaire!$J$2:$J$121,RAW_Questionnaire!$A$2:$A$121,ENTRY_Participants!$A67)&gt;=INTENT_THRESHOLD,TRUE,FALSE))</f>
        <v/>
      </c>
      <c r="M67" s="4">
        <f>IFERROR(LOOKUP(2,1/((RAW_Sessions!$A$2:$A$1201=ENTRY_Participants!$A67)*(RAW_Sessions!$M$2:$M$1201&lt;&gt;"")),RAW_Sessions!$M$2:$M$1201),"")</f>
        <v/>
      </c>
      <c r="N67" s="4">
        <f>IF(OR(M67="",ENTRY_Participants!$I67=""),"",M67-ENTRY_Participants!$I67)</f>
        <v/>
      </c>
    </row>
    <row r="68">
      <c r="A68">
        <f>ENTRY_Participants!$A68</f>
        <v/>
      </c>
      <c r="B68" s="4">
        <f>COUNTIF(RAW_Sessions!$A$2:$A$1201,ENTRY_Participants!$A68)</f>
        <v/>
      </c>
      <c r="C68" s="4">
        <f>IF(COUNTIFS(RAW_Sessions!$A$2:$A$1201,ENTRY_Participants!$A68,RAW_Sessions!$B$2:$B$1201,1)&gt;0,TRUE,FALSE)</f>
        <v/>
      </c>
      <c r="D68" s="4">
        <f>IF(B68=0,0,COUNTIFS(RAW_Sessions!$A$2:$A$1201,ENTRY_Participants!$A68,RAW_Sessions!$C$2:$C$1201,"&lt;="&amp;MINIFS(RAW_Sessions!$C$2:$C$1201,RAW_Sessions!$A$2:$A$1201,ENTRY_Participants!$A68)+RETURN_GAP_DAYS*FIVE_ATTEMPTS))</f>
        <v/>
      </c>
      <c r="E68" s="4">
        <f>IF(B68=0,FALSE,COUNTIFS(RAW_Sessions!$A$2:$A$1201,ENTRY_Participants!$A68,RAW_Sessions!$B$2:$B$1201,"&lt;="&amp;FIVE_ATTEMPTS)&gt;=FIVE_ATTEMPTS)</f>
        <v/>
      </c>
      <c r="F68" s="4">
        <f>IF(B68=0,FALSE,NOT(E68))</f>
        <v/>
      </c>
      <c r="G68" s="4">
        <f>IF(ENTRY_Observations!$B68="","",ENTRY_Observations!$B68)</f>
        <v/>
      </c>
      <c r="H68" s="4">
        <f>IF(ENTRY_Observations!$D68="","",ENTRY_Observations!$D68)</f>
        <v/>
      </c>
      <c r="I68" s="4">
        <f>IF(G68&lt;&gt;"",G68,F68)</f>
        <v/>
      </c>
      <c r="J68" s="4">
        <f>IF(H68&lt;&gt;"",H68,IF(I68=FALSE,FALSE,P68))</f>
        <v/>
      </c>
      <c r="K68" s="4">
        <f>IF(COUNTIF(RAW_Questionnaire!$A$2:$A$121,ENTRY_Participants!$A68)=0,"",IF(SUMIFS(RAW_Questionnaire!$I$2:$I$121,RAW_Questionnaire!$A$2:$A$121,ENTRY_Participants!$A68)&gt;=ENDORSE_THRESHOLD,TRUE,FALSE))</f>
        <v/>
      </c>
      <c r="L68" s="4">
        <f>IF(COUNTIF(RAW_Questionnaire!$A$2:$A$121,ENTRY_Participants!$A68)=0,"",IF(SUMIFS(RAW_Questionnaire!$J$2:$J$121,RAW_Questionnaire!$A$2:$A$121,ENTRY_Participants!$A68)&gt;=INTENT_THRESHOLD,TRUE,FALSE))</f>
        <v/>
      </c>
      <c r="M68" s="4">
        <f>IFERROR(LOOKUP(2,1/((RAW_Sessions!$A$2:$A$1201=ENTRY_Participants!$A68)*(RAW_Sessions!$M$2:$M$1201&lt;&gt;"")),RAW_Sessions!$M$2:$M$1201),"")</f>
        <v/>
      </c>
      <c r="N68" s="4">
        <f>IF(OR(M68="",ENTRY_Participants!$I68=""),"",M68-ENTRY_Participants!$I68)</f>
        <v/>
      </c>
    </row>
    <row r="69">
      <c r="A69">
        <f>ENTRY_Participants!$A69</f>
        <v/>
      </c>
      <c r="B69" s="4">
        <f>COUNTIF(RAW_Sessions!$A$2:$A$1201,ENTRY_Participants!$A69)</f>
        <v/>
      </c>
      <c r="C69" s="4">
        <f>IF(COUNTIFS(RAW_Sessions!$A$2:$A$1201,ENTRY_Participants!$A69,RAW_Sessions!$B$2:$B$1201,1)&gt;0,TRUE,FALSE)</f>
        <v/>
      </c>
      <c r="D69" s="4">
        <f>IF(B69=0,0,COUNTIFS(RAW_Sessions!$A$2:$A$1201,ENTRY_Participants!$A69,RAW_Sessions!$C$2:$C$1201,"&lt;="&amp;MINIFS(RAW_Sessions!$C$2:$C$1201,RAW_Sessions!$A$2:$A$1201,ENTRY_Participants!$A69)+RETURN_GAP_DAYS*FIVE_ATTEMPTS))</f>
        <v/>
      </c>
      <c r="E69" s="4">
        <f>IF(B69=0,FALSE,COUNTIFS(RAW_Sessions!$A$2:$A$1201,ENTRY_Participants!$A69,RAW_Sessions!$B$2:$B$1201,"&lt;="&amp;FIVE_ATTEMPTS)&gt;=FIVE_ATTEMPTS)</f>
        <v/>
      </c>
      <c r="F69" s="4">
        <f>IF(B69=0,FALSE,NOT(E69))</f>
        <v/>
      </c>
      <c r="G69" s="4">
        <f>IF(ENTRY_Observations!$B69="","",ENTRY_Observations!$B69)</f>
        <v/>
      </c>
      <c r="H69" s="4">
        <f>IF(ENTRY_Observations!$D69="","",ENTRY_Observations!$D69)</f>
        <v/>
      </c>
      <c r="I69" s="4">
        <f>IF(G69&lt;&gt;"",G69,F69)</f>
        <v/>
      </c>
      <c r="J69" s="4">
        <f>IF(H69&lt;&gt;"",H69,IF(I69=FALSE,FALSE,P69))</f>
        <v/>
      </c>
      <c r="K69" s="4">
        <f>IF(COUNTIF(RAW_Questionnaire!$A$2:$A$121,ENTRY_Participants!$A69)=0,"",IF(SUMIFS(RAW_Questionnaire!$I$2:$I$121,RAW_Questionnaire!$A$2:$A$121,ENTRY_Participants!$A69)&gt;=ENDORSE_THRESHOLD,TRUE,FALSE))</f>
        <v/>
      </c>
      <c r="L69" s="4">
        <f>IF(COUNTIF(RAW_Questionnaire!$A$2:$A$121,ENTRY_Participants!$A69)=0,"",IF(SUMIFS(RAW_Questionnaire!$J$2:$J$121,RAW_Questionnaire!$A$2:$A$121,ENTRY_Participants!$A69)&gt;=INTENT_THRESHOLD,TRUE,FALSE))</f>
        <v/>
      </c>
      <c r="M69" s="4">
        <f>IFERROR(LOOKUP(2,1/((RAW_Sessions!$A$2:$A$1201=ENTRY_Participants!$A69)*(RAW_Sessions!$M$2:$M$1201&lt;&gt;"")),RAW_Sessions!$M$2:$M$1201),"")</f>
        <v/>
      </c>
      <c r="N69" s="4">
        <f>IF(OR(M69="",ENTRY_Participants!$I69=""),"",M69-ENTRY_Participants!$I69)</f>
        <v/>
      </c>
    </row>
    <row r="70">
      <c r="A70">
        <f>ENTRY_Participants!$A70</f>
        <v/>
      </c>
      <c r="B70" s="4">
        <f>COUNTIF(RAW_Sessions!$A$2:$A$1201,ENTRY_Participants!$A70)</f>
        <v/>
      </c>
      <c r="C70" s="4">
        <f>IF(COUNTIFS(RAW_Sessions!$A$2:$A$1201,ENTRY_Participants!$A70,RAW_Sessions!$B$2:$B$1201,1)&gt;0,TRUE,FALSE)</f>
        <v/>
      </c>
      <c r="D70" s="4">
        <f>IF(B70=0,0,COUNTIFS(RAW_Sessions!$A$2:$A$1201,ENTRY_Participants!$A70,RAW_Sessions!$C$2:$C$1201,"&lt;="&amp;MINIFS(RAW_Sessions!$C$2:$C$1201,RAW_Sessions!$A$2:$A$1201,ENTRY_Participants!$A70)+RETURN_GAP_DAYS*FIVE_ATTEMPTS))</f>
        <v/>
      </c>
      <c r="E70" s="4">
        <f>IF(B70=0,FALSE,COUNTIFS(RAW_Sessions!$A$2:$A$1201,ENTRY_Participants!$A70,RAW_Sessions!$B$2:$B$1201,"&lt;="&amp;FIVE_ATTEMPTS)&gt;=FIVE_ATTEMPTS)</f>
        <v/>
      </c>
      <c r="F70" s="4">
        <f>IF(B70=0,FALSE,NOT(E70))</f>
        <v/>
      </c>
      <c r="G70" s="4">
        <f>IF(ENTRY_Observations!$B70="","",ENTRY_Observations!$B70)</f>
        <v/>
      </c>
      <c r="H70" s="4">
        <f>IF(ENTRY_Observations!$D70="","",ENTRY_Observations!$D70)</f>
        <v/>
      </c>
      <c r="I70" s="4">
        <f>IF(G70&lt;&gt;"",G70,F70)</f>
        <v/>
      </c>
      <c r="J70" s="4">
        <f>IF(H70&lt;&gt;"",H70,IF(I70=FALSE,FALSE,P70))</f>
        <v/>
      </c>
      <c r="K70" s="4">
        <f>IF(COUNTIF(RAW_Questionnaire!$A$2:$A$121,ENTRY_Participants!$A70)=0,"",IF(SUMIFS(RAW_Questionnaire!$I$2:$I$121,RAW_Questionnaire!$A$2:$A$121,ENTRY_Participants!$A70)&gt;=ENDORSE_THRESHOLD,TRUE,FALSE))</f>
        <v/>
      </c>
      <c r="L70" s="4">
        <f>IF(COUNTIF(RAW_Questionnaire!$A$2:$A$121,ENTRY_Participants!$A70)=0,"",IF(SUMIFS(RAW_Questionnaire!$J$2:$J$121,RAW_Questionnaire!$A$2:$A$121,ENTRY_Participants!$A70)&gt;=INTENT_THRESHOLD,TRUE,FALSE))</f>
        <v/>
      </c>
      <c r="M70" s="4">
        <f>IFERROR(LOOKUP(2,1/((RAW_Sessions!$A$2:$A$1201=ENTRY_Participants!$A70)*(RAW_Sessions!$M$2:$M$1201&lt;&gt;"")),RAW_Sessions!$M$2:$M$1201),"")</f>
        <v/>
      </c>
      <c r="N70" s="4">
        <f>IF(OR(M70="",ENTRY_Participants!$I70=""),"",M70-ENTRY_Participants!$I70)</f>
        <v/>
      </c>
    </row>
    <row r="71">
      <c r="A71">
        <f>ENTRY_Participants!$A71</f>
        <v/>
      </c>
      <c r="B71" s="4">
        <f>COUNTIF(RAW_Sessions!$A$2:$A$1201,ENTRY_Participants!$A71)</f>
        <v/>
      </c>
      <c r="C71" s="4">
        <f>IF(COUNTIFS(RAW_Sessions!$A$2:$A$1201,ENTRY_Participants!$A71,RAW_Sessions!$B$2:$B$1201,1)&gt;0,TRUE,FALSE)</f>
        <v/>
      </c>
      <c r="D71" s="4">
        <f>IF(B71=0,0,COUNTIFS(RAW_Sessions!$A$2:$A$1201,ENTRY_Participants!$A71,RAW_Sessions!$C$2:$C$1201,"&lt;="&amp;MINIFS(RAW_Sessions!$C$2:$C$1201,RAW_Sessions!$A$2:$A$1201,ENTRY_Participants!$A71)+RETURN_GAP_DAYS*FIVE_ATTEMPTS))</f>
        <v/>
      </c>
      <c r="E71" s="4">
        <f>IF(B71=0,FALSE,COUNTIFS(RAW_Sessions!$A$2:$A$1201,ENTRY_Participants!$A71,RAW_Sessions!$B$2:$B$1201,"&lt;="&amp;FIVE_ATTEMPTS)&gt;=FIVE_ATTEMPTS)</f>
        <v/>
      </c>
      <c r="F71" s="4">
        <f>IF(B71=0,FALSE,NOT(E71))</f>
        <v/>
      </c>
      <c r="G71" s="4">
        <f>IF(ENTRY_Observations!$B71="","",ENTRY_Observations!$B71)</f>
        <v/>
      </c>
      <c r="H71" s="4">
        <f>IF(ENTRY_Observations!$D71="","",ENTRY_Observations!$D71)</f>
        <v/>
      </c>
      <c r="I71" s="4">
        <f>IF(G71&lt;&gt;"",G71,F71)</f>
        <v/>
      </c>
      <c r="J71" s="4">
        <f>IF(H71&lt;&gt;"",H71,IF(I71=FALSE,FALSE,P71))</f>
        <v/>
      </c>
      <c r="K71" s="4">
        <f>IF(COUNTIF(RAW_Questionnaire!$A$2:$A$121,ENTRY_Participants!$A71)=0,"",IF(SUMIFS(RAW_Questionnaire!$I$2:$I$121,RAW_Questionnaire!$A$2:$A$121,ENTRY_Participants!$A71)&gt;=ENDORSE_THRESHOLD,TRUE,FALSE))</f>
        <v/>
      </c>
      <c r="L71" s="4">
        <f>IF(COUNTIF(RAW_Questionnaire!$A$2:$A$121,ENTRY_Participants!$A71)=0,"",IF(SUMIFS(RAW_Questionnaire!$J$2:$J$121,RAW_Questionnaire!$A$2:$A$121,ENTRY_Participants!$A71)&gt;=INTENT_THRESHOLD,TRUE,FALSE))</f>
        <v/>
      </c>
      <c r="M71" s="4">
        <f>IFERROR(LOOKUP(2,1/((RAW_Sessions!$A$2:$A$1201=ENTRY_Participants!$A71)*(RAW_Sessions!$M$2:$M$1201&lt;&gt;"")),RAW_Sessions!$M$2:$M$1201),"")</f>
        <v/>
      </c>
      <c r="N71" s="4">
        <f>IF(OR(M71="",ENTRY_Participants!$I71=""),"",M71-ENTRY_Participants!$I71)</f>
        <v/>
      </c>
    </row>
    <row r="72">
      <c r="A72">
        <f>ENTRY_Participants!$A72</f>
        <v/>
      </c>
      <c r="B72" s="4">
        <f>COUNTIF(RAW_Sessions!$A$2:$A$1201,ENTRY_Participants!$A72)</f>
        <v/>
      </c>
      <c r="C72" s="4">
        <f>IF(COUNTIFS(RAW_Sessions!$A$2:$A$1201,ENTRY_Participants!$A72,RAW_Sessions!$B$2:$B$1201,1)&gt;0,TRUE,FALSE)</f>
        <v/>
      </c>
      <c r="D72" s="4">
        <f>IF(B72=0,0,COUNTIFS(RAW_Sessions!$A$2:$A$1201,ENTRY_Participants!$A72,RAW_Sessions!$C$2:$C$1201,"&lt;="&amp;MINIFS(RAW_Sessions!$C$2:$C$1201,RAW_Sessions!$A$2:$A$1201,ENTRY_Participants!$A72)+RETURN_GAP_DAYS*FIVE_ATTEMPTS))</f>
        <v/>
      </c>
      <c r="E72" s="4">
        <f>IF(B72=0,FALSE,COUNTIFS(RAW_Sessions!$A$2:$A$1201,ENTRY_Participants!$A72,RAW_Sessions!$B$2:$B$1201,"&lt;="&amp;FIVE_ATTEMPTS)&gt;=FIVE_ATTEMPTS)</f>
        <v/>
      </c>
      <c r="F72" s="4">
        <f>IF(B72=0,FALSE,NOT(E72))</f>
        <v/>
      </c>
      <c r="G72" s="4">
        <f>IF(ENTRY_Observations!$B72="","",ENTRY_Observations!$B72)</f>
        <v/>
      </c>
      <c r="H72" s="4">
        <f>IF(ENTRY_Observations!$D72="","",ENTRY_Observations!$D72)</f>
        <v/>
      </c>
      <c r="I72" s="4">
        <f>IF(G72&lt;&gt;"",G72,F72)</f>
        <v/>
      </c>
      <c r="J72" s="4">
        <f>IF(H72&lt;&gt;"",H72,IF(I72=FALSE,FALSE,P72))</f>
        <v/>
      </c>
      <c r="K72" s="4">
        <f>IF(COUNTIF(RAW_Questionnaire!$A$2:$A$121,ENTRY_Participants!$A72)=0,"",IF(SUMIFS(RAW_Questionnaire!$I$2:$I$121,RAW_Questionnaire!$A$2:$A$121,ENTRY_Participants!$A72)&gt;=ENDORSE_THRESHOLD,TRUE,FALSE))</f>
        <v/>
      </c>
      <c r="L72" s="4">
        <f>IF(COUNTIF(RAW_Questionnaire!$A$2:$A$121,ENTRY_Participants!$A72)=0,"",IF(SUMIFS(RAW_Questionnaire!$J$2:$J$121,RAW_Questionnaire!$A$2:$A$121,ENTRY_Participants!$A72)&gt;=INTENT_THRESHOLD,TRUE,FALSE))</f>
        <v/>
      </c>
      <c r="M72" s="4">
        <f>IFERROR(LOOKUP(2,1/((RAW_Sessions!$A$2:$A$1201=ENTRY_Participants!$A72)*(RAW_Sessions!$M$2:$M$1201&lt;&gt;"")),RAW_Sessions!$M$2:$M$1201),"")</f>
        <v/>
      </c>
      <c r="N72" s="4">
        <f>IF(OR(M72="",ENTRY_Participants!$I72=""),"",M72-ENTRY_Participants!$I72)</f>
        <v/>
      </c>
    </row>
    <row r="73">
      <c r="A73">
        <f>ENTRY_Participants!$A73</f>
        <v/>
      </c>
      <c r="B73" s="4">
        <f>COUNTIF(RAW_Sessions!$A$2:$A$1201,ENTRY_Participants!$A73)</f>
        <v/>
      </c>
      <c r="C73" s="4">
        <f>IF(COUNTIFS(RAW_Sessions!$A$2:$A$1201,ENTRY_Participants!$A73,RAW_Sessions!$B$2:$B$1201,1)&gt;0,TRUE,FALSE)</f>
        <v/>
      </c>
      <c r="D73" s="4">
        <f>IF(B73=0,0,COUNTIFS(RAW_Sessions!$A$2:$A$1201,ENTRY_Participants!$A73,RAW_Sessions!$C$2:$C$1201,"&lt;="&amp;MINIFS(RAW_Sessions!$C$2:$C$1201,RAW_Sessions!$A$2:$A$1201,ENTRY_Participants!$A73)+RETURN_GAP_DAYS*FIVE_ATTEMPTS))</f>
        <v/>
      </c>
      <c r="E73" s="4">
        <f>IF(B73=0,FALSE,COUNTIFS(RAW_Sessions!$A$2:$A$1201,ENTRY_Participants!$A73,RAW_Sessions!$B$2:$B$1201,"&lt;="&amp;FIVE_ATTEMPTS)&gt;=FIVE_ATTEMPTS)</f>
        <v/>
      </c>
      <c r="F73" s="4">
        <f>IF(B73=0,FALSE,NOT(E73))</f>
        <v/>
      </c>
      <c r="G73" s="4">
        <f>IF(ENTRY_Observations!$B73="","",ENTRY_Observations!$B73)</f>
        <v/>
      </c>
      <c r="H73" s="4">
        <f>IF(ENTRY_Observations!$D73="","",ENTRY_Observations!$D73)</f>
        <v/>
      </c>
      <c r="I73" s="4">
        <f>IF(G73&lt;&gt;"",G73,F73)</f>
        <v/>
      </c>
      <c r="J73" s="4">
        <f>IF(H73&lt;&gt;"",H73,IF(I73=FALSE,FALSE,P73))</f>
        <v/>
      </c>
      <c r="K73" s="4">
        <f>IF(COUNTIF(RAW_Questionnaire!$A$2:$A$121,ENTRY_Participants!$A73)=0,"",IF(SUMIFS(RAW_Questionnaire!$I$2:$I$121,RAW_Questionnaire!$A$2:$A$121,ENTRY_Participants!$A73)&gt;=ENDORSE_THRESHOLD,TRUE,FALSE))</f>
        <v/>
      </c>
      <c r="L73" s="4">
        <f>IF(COUNTIF(RAW_Questionnaire!$A$2:$A$121,ENTRY_Participants!$A73)=0,"",IF(SUMIFS(RAW_Questionnaire!$J$2:$J$121,RAW_Questionnaire!$A$2:$A$121,ENTRY_Participants!$A73)&gt;=INTENT_THRESHOLD,TRUE,FALSE))</f>
        <v/>
      </c>
      <c r="M73" s="4">
        <f>IFERROR(LOOKUP(2,1/((RAW_Sessions!$A$2:$A$1201=ENTRY_Participants!$A73)*(RAW_Sessions!$M$2:$M$1201&lt;&gt;"")),RAW_Sessions!$M$2:$M$1201),"")</f>
        <v/>
      </c>
      <c r="N73" s="4">
        <f>IF(OR(M73="",ENTRY_Participants!$I73=""),"",M73-ENTRY_Participants!$I73)</f>
        <v/>
      </c>
    </row>
    <row r="74">
      <c r="A74">
        <f>ENTRY_Participants!$A74</f>
        <v/>
      </c>
      <c r="B74" s="4">
        <f>COUNTIF(RAW_Sessions!$A$2:$A$1201,ENTRY_Participants!$A74)</f>
        <v/>
      </c>
      <c r="C74" s="4">
        <f>IF(COUNTIFS(RAW_Sessions!$A$2:$A$1201,ENTRY_Participants!$A74,RAW_Sessions!$B$2:$B$1201,1)&gt;0,TRUE,FALSE)</f>
        <v/>
      </c>
      <c r="D74" s="4">
        <f>IF(B74=0,0,COUNTIFS(RAW_Sessions!$A$2:$A$1201,ENTRY_Participants!$A74,RAW_Sessions!$C$2:$C$1201,"&lt;="&amp;MINIFS(RAW_Sessions!$C$2:$C$1201,RAW_Sessions!$A$2:$A$1201,ENTRY_Participants!$A74)+RETURN_GAP_DAYS*FIVE_ATTEMPTS))</f>
        <v/>
      </c>
      <c r="E74" s="4">
        <f>IF(B74=0,FALSE,COUNTIFS(RAW_Sessions!$A$2:$A$1201,ENTRY_Participants!$A74,RAW_Sessions!$B$2:$B$1201,"&lt;="&amp;FIVE_ATTEMPTS)&gt;=FIVE_ATTEMPTS)</f>
        <v/>
      </c>
      <c r="F74" s="4">
        <f>IF(B74=0,FALSE,NOT(E74))</f>
        <v/>
      </c>
      <c r="G74" s="4">
        <f>IF(ENTRY_Observations!$B74="","",ENTRY_Observations!$B74)</f>
        <v/>
      </c>
      <c r="H74" s="4">
        <f>IF(ENTRY_Observations!$D74="","",ENTRY_Observations!$D74)</f>
        <v/>
      </c>
      <c r="I74" s="4">
        <f>IF(G74&lt;&gt;"",G74,F74)</f>
        <v/>
      </c>
      <c r="J74" s="4">
        <f>IF(H74&lt;&gt;"",H74,IF(I74=FALSE,FALSE,P74))</f>
        <v/>
      </c>
      <c r="K74" s="4">
        <f>IF(COUNTIF(RAW_Questionnaire!$A$2:$A$121,ENTRY_Participants!$A74)=0,"",IF(SUMIFS(RAW_Questionnaire!$I$2:$I$121,RAW_Questionnaire!$A$2:$A$121,ENTRY_Participants!$A74)&gt;=ENDORSE_THRESHOLD,TRUE,FALSE))</f>
        <v/>
      </c>
      <c r="L74" s="4">
        <f>IF(COUNTIF(RAW_Questionnaire!$A$2:$A$121,ENTRY_Participants!$A74)=0,"",IF(SUMIFS(RAW_Questionnaire!$J$2:$J$121,RAW_Questionnaire!$A$2:$A$121,ENTRY_Participants!$A74)&gt;=INTENT_THRESHOLD,TRUE,FALSE))</f>
        <v/>
      </c>
      <c r="M74" s="4">
        <f>IFERROR(LOOKUP(2,1/((RAW_Sessions!$A$2:$A$1201=ENTRY_Participants!$A74)*(RAW_Sessions!$M$2:$M$1201&lt;&gt;"")),RAW_Sessions!$M$2:$M$1201),"")</f>
        <v/>
      </c>
      <c r="N74" s="4">
        <f>IF(OR(M74="",ENTRY_Participants!$I74=""),"",M74-ENTRY_Participants!$I74)</f>
        <v/>
      </c>
    </row>
    <row r="75">
      <c r="A75">
        <f>ENTRY_Participants!$A75</f>
        <v/>
      </c>
      <c r="B75" s="4">
        <f>COUNTIF(RAW_Sessions!$A$2:$A$1201,ENTRY_Participants!$A75)</f>
        <v/>
      </c>
      <c r="C75" s="4">
        <f>IF(COUNTIFS(RAW_Sessions!$A$2:$A$1201,ENTRY_Participants!$A75,RAW_Sessions!$B$2:$B$1201,1)&gt;0,TRUE,FALSE)</f>
        <v/>
      </c>
      <c r="D75" s="4">
        <f>IF(B75=0,0,COUNTIFS(RAW_Sessions!$A$2:$A$1201,ENTRY_Participants!$A75,RAW_Sessions!$C$2:$C$1201,"&lt;="&amp;MINIFS(RAW_Sessions!$C$2:$C$1201,RAW_Sessions!$A$2:$A$1201,ENTRY_Participants!$A75)+RETURN_GAP_DAYS*FIVE_ATTEMPTS))</f>
        <v/>
      </c>
      <c r="E75" s="4">
        <f>IF(B75=0,FALSE,COUNTIFS(RAW_Sessions!$A$2:$A$1201,ENTRY_Participants!$A75,RAW_Sessions!$B$2:$B$1201,"&lt;="&amp;FIVE_ATTEMPTS)&gt;=FIVE_ATTEMPTS)</f>
        <v/>
      </c>
      <c r="F75" s="4">
        <f>IF(B75=0,FALSE,NOT(E75))</f>
        <v/>
      </c>
      <c r="G75" s="4">
        <f>IF(ENTRY_Observations!$B75="","",ENTRY_Observations!$B75)</f>
        <v/>
      </c>
      <c r="H75" s="4">
        <f>IF(ENTRY_Observations!$D75="","",ENTRY_Observations!$D75)</f>
        <v/>
      </c>
      <c r="I75" s="4">
        <f>IF(G75&lt;&gt;"",G75,F75)</f>
        <v/>
      </c>
      <c r="J75" s="4">
        <f>IF(H75&lt;&gt;"",H75,IF(I75=FALSE,FALSE,P75))</f>
        <v/>
      </c>
      <c r="K75" s="4">
        <f>IF(COUNTIF(RAW_Questionnaire!$A$2:$A$121,ENTRY_Participants!$A75)=0,"",IF(SUMIFS(RAW_Questionnaire!$I$2:$I$121,RAW_Questionnaire!$A$2:$A$121,ENTRY_Participants!$A75)&gt;=ENDORSE_THRESHOLD,TRUE,FALSE))</f>
        <v/>
      </c>
      <c r="L75" s="4">
        <f>IF(COUNTIF(RAW_Questionnaire!$A$2:$A$121,ENTRY_Participants!$A75)=0,"",IF(SUMIFS(RAW_Questionnaire!$J$2:$J$121,RAW_Questionnaire!$A$2:$A$121,ENTRY_Participants!$A75)&gt;=INTENT_THRESHOLD,TRUE,FALSE))</f>
        <v/>
      </c>
      <c r="M75" s="4">
        <f>IFERROR(LOOKUP(2,1/((RAW_Sessions!$A$2:$A$1201=ENTRY_Participants!$A75)*(RAW_Sessions!$M$2:$M$1201&lt;&gt;"")),RAW_Sessions!$M$2:$M$1201),"")</f>
        <v/>
      </c>
      <c r="N75" s="4">
        <f>IF(OR(M75="",ENTRY_Participants!$I75=""),"",M75-ENTRY_Participants!$I75)</f>
        <v/>
      </c>
    </row>
    <row r="76">
      <c r="A76">
        <f>ENTRY_Participants!$A76</f>
        <v/>
      </c>
      <c r="B76" s="4">
        <f>COUNTIF(RAW_Sessions!$A$2:$A$1201,ENTRY_Participants!$A76)</f>
        <v/>
      </c>
      <c r="C76" s="4">
        <f>IF(COUNTIFS(RAW_Sessions!$A$2:$A$1201,ENTRY_Participants!$A76,RAW_Sessions!$B$2:$B$1201,1)&gt;0,TRUE,FALSE)</f>
        <v/>
      </c>
      <c r="D76" s="4">
        <f>IF(B76=0,0,COUNTIFS(RAW_Sessions!$A$2:$A$1201,ENTRY_Participants!$A76,RAW_Sessions!$C$2:$C$1201,"&lt;="&amp;MINIFS(RAW_Sessions!$C$2:$C$1201,RAW_Sessions!$A$2:$A$1201,ENTRY_Participants!$A76)+RETURN_GAP_DAYS*FIVE_ATTEMPTS))</f>
        <v/>
      </c>
      <c r="E76" s="4">
        <f>IF(B76=0,FALSE,COUNTIFS(RAW_Sessions!$A$2:$A$1201,ENTRY_Participants!$A76,RAW_Sessions!$B$2:$B$1201,"&lt;="&amp;FIVE_ATTEMPTS)&gt;=FIVE_ATTEMPTS)</f>
        <v/>
      </c>
      <c r="F76" s="4">
        <f>IF(B76=0,FALSE,NOT(E76))</f>
        <v/>
      </c>
      <c r="G76" s="4">
        <f>IF(ENTRY_Observations!$B76="","",ENTRY_Observations!$B76)</f>
        <v/>
      </c>
      <c r="H76" s="4">
        <f>IF(ENTRY_Observations!$D76="","",ENTRY_Observations!$D76)</f>
        <v/>
      </c>
      <c r="I76" s="4">
        <f>IF(G76&lt;&gt;"",G76,F76)</f>
        <v/>
      </c>
      <c r="J76" s="4">
        <f>IF(H76&lt;&gt;"",H76,IF(I76=FALSE,FALSE,P76))</f>
        <v/>
      </c>
      <c r="K76" s="4">
        <f>IF(COUNTIF(RAW_Questionnaire!$A$2:$A$121,ENTRY_Participants!$A76)=0,"",IF(SUMIFS(RAW_Questionnaire!$I$2:$I$121,RAW_Questionnaire!$A$2:$A$121,ENTRY_Participants!$A76)&gt;=ENDORSE_THRESHOLD,TRUE,FALSE))</f>
        <v/>
      </c>
      <c r="L76" s="4">
        <f>IF(COUNTIF(RAW_Questionnaire!$A$2:$A$121,ENTRY_Participants!$A76)=0,"",IF(SUMIFS(RAW_Questionnaire!$J$2:$J$121,RAW_Questionnaire!$A$2:$A$121,ENTRY_Participants!$A76)&gt;=INTENT_THRESHOLD,TRUE,FALSE))</f>
        <v/>
      </c>
      <c r="M76" s="4">
        <f>IFERROR(LOOKUP(2,1/((RAW_Sessions!$A$2:$A$1201=ENTRY_Participants!$A76)*(RAW_Sessions!$M$2:$M$1201&lt;&gt;"")),RAW_Sessions!$M$2:$M$1201),"")</f>
        <v/>
      </c>
      <c r="N76" s="4">
        <f>IF(OR(M76="",ENTRY_Participants!$I76=""),"",M76-ENTRY_Participants!$I76)</f>
        <v/>
      </c>
    </row>
    <row r="77">
      <c r="A77">
        <f>ENTRY_Participants!$A77</f>
        <v/>
      </c>
      <c r="B77" s="4">
        <f>COUNTIF(RAW_Sessions!$A$2:$A$1201,ENTRY_Participants!$A77)</f>
        <v/>
      </c>
      <c r="C77" s="4">
        <f>IF(COUNTIFS(RAW_Sessions!$A$2:$A$1201,ENTRY_Participants!$A77,RAW_Sessions!$B$2:$B$1201,1)&gt;0,TRUE,FALSE)</f>
        <v/>
      </c>
      <c r="D77" s="4">
        <f>IF(B77=0,0,COUNTIFS(RAW_Sessions!$A$2:$A$1201,ENTRY_Participants!$A77,RAW_Sessions!$C$2:$C$1201,"&lt;="&amp;MINIFS(RAW_Sessions!$C$2:$C$1201,RAW_Sessions!$A$2:$A$1201,ENTRY_Participants!$A77)+RETURN_GAP_DAYS*FIVE_ATTEMPTS))</f>
        <v/>
      </c>
      <c r="E77" s="4">
        <f>IF(B77=0,FALSE,COUNTIFS(RAW_Sessions!$A$2:$A$1201,ENTRY_Participants!$A77,RAW_Sessions!$B$2:$B$1201,"&lt;="&amp;FIVE_ATTEMPTS)&gt;=FIVE_ATTEMPTS)</f>
        <v/>
      </c>
      <c r="F77" s="4">
        <f>IF(B77=0,FALSE,NOT(E77))</f>
        <v/>
      </c>
      <c r="G77" s="4">
        <f>IF(ENTRY_Observations!$B77="","",ENTRY_Observations!$B77)</f>
        <v/>
      </c>
      <c r="H77" s="4">
        <f>IF(ENTRY_Observations!$D77="","",ENTRY_Observations!$D77)</f>
        <v/>
      </c>
      <c r="I77" s="4">
        <f>IF(G77&lt;&gt;"",G77,F77)</f>
        <v/>
      </c>
      <c r="J77" s="4">
        <f>IF(H77&lt;&gt;"",H77,IF(I77=FALSE,FALSE,P77))</f>
        <v/>
      </c>
      <c r="K77" s="4">
        <f>IF(COUNTIF(RAW_Questionnaire!$A$2:$A$121,ENTRY_Participants!$A77)=0,"",IF(SUMIFS(RAW_Questionnaire!$I$2:$I$121,RAW_Questionnaire!$A$2:$A$121,ENTRY_Participants!$A77)&gt;=ENDORSE_THRESHOLD,TRUE,FALSE))</f>
        <v/>
      </c>
      <c r="L77" s="4">
        <f>IF(COUNTIF(RAW_Questionnaire!$A$2:$A$121,ENTRY_Participants!$A77)=0,"",IF(SUMIFS(RAW_Questionnaire!$J$2:$J$121,RAW_Questionnaire!$A$2:$A$121,ENTRY_Participants!$A77)&gt;=INTENT_THRESHOLD,TRUE,FALSE))</f>
        <v/>
      </c>
      <c r="M77" s="4">
        <f>IFERROR(LOOKUP(2,1/((RAW_Sessions!$A$2:$A$1201=ENTRY_Participants!$A77)*(RAW_Sessions!$M$2:$M$1201&lt;&gt;"")),RAW_Sessions!$M$2:$M$1201),"")</f>
        <v/>
      </c>
      <c r="N77" s="4">
        <f>IF(OR(M77="",ENTRY_Participants!$I77=""),"",M77-ENTRY_Participants!$I77)</f>
        <v/>
      </c>
    </row>
    <row r="78">
      <c r="A78">
        <f>ENTRY_Participants!$A78</f>
        <v/>
      </c>
      <c r="B78" s="4">
        <f>COUNTIF(RAW_Sessions!$A$2:$A$1201,ENTRY_Participants!$A78)</f>
        <v/>
      </c>
      <c r="C78" s="4">
        <f>IF(COUNTIFS(RAW_Sessions!$A$2:$A$1201,ENTRY_Participants!$A78,RAW_Sessions!$B$2:$B$1201,1)&gt;0,TRUE,FALSE)</f>
        <v/>
      </c>
      <c r="D78" s="4">
        <f>IF(B78=0,0,COUNTIFS(RAW_Sessions!$A$2:$A$1201,ENTRY_Participants!$A78,RAW_Sessions!$C$2:$C$1201,"&lt;="&amp;MINIFS(RAW_Sessions!$C$2:$C$1201,RAW_Sessions!$A$2:$A$1201,ENTRY_Participants!$A78)+RETURN_GAP_DAYS*FIVE_ATTEMPTS))</f>
        <v/>
      </c>
      <c r="E78" s="4">
        <f>IF(B78=0,FALSE,COUNTIFS(RAW_Sessions!$A$2:$A$1201,ENTRY_Participants!$A78,RAW_Sessions!$B$2:$B$1201,"&lt;="&amp;FIVE_ATTEMPTS)&gt;=FIVE_ATTEMPTS)</f>
        <v/>
      </c>
      <c r="F78" s="4">
        <f>IF(B78=0,FALSE,NOT(E78))</f>
        <v/>
      </c>
      <c r="G78" s="4">
        <f>IF(ENTRY_Observations!$B78="","",ENTRY_Observations!$B78)</f>
        <v/>
      </c>
      <c r="H78" s="4">
        <f>IF(ENTRY_Observations!$D78="","",ENTRY_Observations!$D78)</f>
        <v/>
      </c>
      <c r="I78" s="4">
        <f>IF(G78&lt;&gt;"",G78,F78)</f>
        <v/>
      </c>
      <c r="J78" s="4">
        <f>IF(H78&lt;&gt;"",H78,IF(I78=FALSE,FALSE,P78))</f>
        <v/>
      </c>
      <c r="K78" s="4">
        <f>IF(COUNTIF(RAW_Questionnaire!$A$2:$A$121,ENTRY_Participants!$A78)=0,"",IF(SUMIFS(RAW_Questionnaire!$I$2:$I$121,RAW_Questionnaire!$A$2:$A$121,ENTRY_Participants!$A78)&gt;=ENDORSE_THRESHOLD,TRUE,FALSE))</f>
        <v/>
      </c>
      <c r="L78" s="4">
        <f>IF(COUNTIF(RAW_Questionnaire!$A$2:$A$121,ENTRY_Participants!$A78)=0,"",IF(SUMIFS(RAW_Questionnaire!$J$2:$J$121,RAW_Questionnaire!$A$2:$A$121,ENTRY_Participants!$A78)&gt;=INTENT_THRESHOLD,TRUE,FALSE))</f>
        <v/>
      </c>
      <c r="M78" s="4">
        <f>IFERROR(LOOKUP(2,1/((RAW_Sessions!$A$2:$A$1201=ENTRY_Participants!$A78)*(RAW_Sessions!$M$2:$M$1201&lt;&gt;"")),RAW_Sessions!$M$2:$M$1201),"")</f>
        <v/>
      </c>
      <c r="N78" s="4">
        <f>IF(OR(M78="",ENTRY_Participants!$I78=""),"",M78-ENTRY_Participants!$I78)</f>
        <v/>
      </c>
    </row>
    <row r="79">
      <c r="A79">
        <f>ENTRY_Participants!$A79</f>
        <v/>
      </c>
      <c r="B79" s="4">
        <f>COUNTIF(RAW_Sessions!$A$2:$A$1201,ENTRY_Participants!$A79)</f>
        <v/>
      </c>
      <c r="C79" s="4">
        <f>IF(COUNTIFS(RAW_Sessions!$A$2:$A$1201,ENTRY_Participants!$A79,RAW_Sessions!$B$2:$B$1201,1)&gt;0,TRUE,FALSE)</f>
        <v/>
      </c>
      <c r="D79" s="4">
        <f>IF(B79=0,0,COUNTIFS(RAW_Sessions!$A$2:$A$1201,ENTRY_Participants!$A79,RAW_Sessions!$C$2:$C$1201,"&lt;="&amp;MINIFS(RAW_Sessions!$C$2:$C$1201,RAW_Sessions!$A$2:$A$1201,ENTRY_Participants!$A79)+RETURN_GAP_DAYS*FIVE_ATTEMPTS))</f>
        <v/>
      </c>
      <c r="E79" s="4">
        <f>IF(B79=0,FALSE,COUNTIFS(RAW_Sessions!$A$2:$A$1201,ENTRY_Participants!$A79,RAW_Sessions!$B$2:$B$1201,"&lt;="&amp;FIVE_ATTEMPTS)&gt;=FIVE_ATTEMPTS)</f>
        <v/>
      </c>
      <c r="F79" s="4">
        <f>IF(B79=0,FALSE,NOT(E79))</f>
        <v/>
      </c>
      <c r="G79" s="4">
        <f>IF(ENTRY_Observations!$B79="","",ENTRY_Observations!$B79)</f>
        <v/>
      </c>
      <c r="H79" s="4">
        <f>IF(ENTRY_Observations!$D79="","",ENTRY_Observations!$D79)</f>
        <v/>
      </c>
      <c r="I79" s="4">
        <f>IF(G79&lt;&gt;"",G79,F79)</f>
        <v/>
      </c>
      <c r="J79" s="4">
        <f>IF(H79&lt;&gt;"",H79,IF(I79=FALSE,FALSE,P79))</f>
        <v/>
      </c>
      <c r="K79" s="4">
        <f>IF(COUNTIF(RAW_Questionnaire!$A$2:$A$121,ENTRY_Participants!$A79)=0,"",IF(SUMIFS(RAW_Questionnaire!$I$2:$I$121,RAW_Questionnaire!$A$2:$A$121,ENTRY_Participants!$A79)&gt;=ENDORSE_THRESHOLD,TRUE,FALSE))</f>
        <v/>
      </c>
      <c r="L79" s="4">
        <f>IF(COUNTIF(RAW_Questionnaire!$A$2:$A$121,ENTRY_Participants!$A79)=0,"",IF(SUMIFS(RAW_Questionnaire!$J$2:$J$121,RAW_Questionnaire!$A$2:$A$121,ENTRY_Participants!$A79)&gt;=INTENT_THRESHOLD,TRUE,FALSE))</f>
        <v/>
      </c>
      <c r="M79" s="4">
        <f>IFERROR(LOOKUP(2,1/((RAW_Sessions!$A$2:$A$1201=ENTRY_Participants!$A79)*(RAW_Sessions!$M$2:$M$1201&lt;&gt;"")),RAW_Sessions!$M$2:$M$1201),"")</f>
        <v/>
      </c>
      <c r="N79" s="4">
        <f>IF(OR(M79="",ENTRY_Participants!$I79=""),"",M79-ENTRY_Participants!$I79)</f>
        <v/>
      </c>
    </row>
    <row r="80">
      <c r="A80">
        <f>ENTRY_Participants!$A80</f>
        <v/>
      </c>
      <c r="B80" s="4">
        <f>COUNTIF(RAW_Sessions!$A$2:$A$1201,ENTRY_Participants!$A80)</f>
        <v/>
      </c>
      <c r="C80" s="4">
        <f>IF(COUNTIFS(RAW_Sessions!$A$2:$A$1201,ENTRY_Participants!$A80,RAW_Sessions!$B$2:$B$1201,1)&gt;0,TRUE,FALSE)</f>
        <v/>
      </c>
      <c r="D80" s="4">
        <f>IF(B80=0,0,COUNTIFS(RAW_Sessions!$A$2:$A$1201,ENTRY_Participants!$A80,RAW_Sessions!$C$2:$C$1201,"&lt;="&amp;MINIFS(RAW_Sessions!$C$2:$C$1201,RAW_Sessions!$A$2:$A$1201,ENTRY_Participants!$A80)+RETURN_GAP_DAYS*FIVE_ATTEMPTS))</f>
        <v/>
      </c>
      <c r="E80" s="4">
        <f>IF(B80=0,FALSE,COUNTIFS(RAW_Sessions!$A$2:$A$1201,ENTRY_Participants!$A80,RAW_Sessions!$B$2:$B$1201,"&lt;="&amp;FIVE_ATTEMPTS)&gt;=FIVE_ATTEMPTS)</f>
        <v/>
      </c>
      <c r="F80" s="4">
        <f>IF(B80=0,FALSE,NOT(E80))</f>
        <v/>
      </c>
      <c r="G80" s="4">
        <f>IF(ENTRY_Observations!$B80="","",ENTRY_Observations!$B80)</f>
        <v/>
      </c>
      <c r="H80" s="4">
        <f>IF(ENTRY_Observations!$D80="","",ENTRY_Observations!$D80)</f>
        <v/>
      </c>
      <c r="I80" s="4">
        <f>IF(G80&lt;&gt;"",G80,F80)</f>
        <v/>
      </c>
      <c r="J80" s="4">
        <f>IF(H80&lt;&gt;"",H80,IF(I80=FALSE,FALSE,P80))</f>
        <v/>
      </c>
      <c r="K80" s="4">
        <f>IF(COUNTIF(RAW_Questionnaire!$A$2:$A$121,ENTRY_Participants!$A80)=0,"",IF(SUMIFS(RAW_Questionnaire!$I$2:$I$121,RAW_Questionnaire!$A$2:$A$121,ENTRY_Participants!$A80)&gt;=ENDORSE_THRESHOLD,TRUE,FALSE))</f>
        <v/>
      </c>
      <c r="L80" s="4">
        <f>IF(COUNTIF(RAW_Questionnaire!$A$2:$A$121,ENTRY_Participants!$A80)=0,"",IF(SUMIFS(RAW_Questionnaire!$J$2:$J$121,RAW_Questionnaire!$A$2:$A$121,ENTRY_Participants!$A80)&gt;=INTENT_THRESHOLD,TRUE,FALSE))</f>
        <v/>
      </c>
      <c r="M80" s="4">
        <f>IFERROR(LOOKUP(2,1/((RAW_Sessions!$A$2:$A$1201=ENTRY_Participants!$A80)*(RAW_Sessions!$M$2:$M$1201&lt;&gt;"")),RAW_Sessions!$M$2:$M$1201),"")</f>
        <v/>
      </c>
      <c r="N80" s="4">
        <f>IF(OR(M80="",ENTRY_Participants!$I80=""),"",M80-ENTRY_Participants!$I80)</f>
        <v/>
      </c>
    </row>
    <row r="81">
      <c r="A81">
        <f>ENTRY_Participants!$A81</f>
        <v/>
      </c>
      <c r="B81" s="4">
        <f>COUNTIF(RAW_Sessions!$A$2:$A$1201,ENTRY_Participants!$A81)</f>
        <v/>
      </c>
      <c r="C81" s="4">
        <f>IF(COUNTIFS(RAW_Sessions!$A$2:$A$1201,ENTRY_Participants!$A81,RAW_Sessions!$B$2:$B$1201,1)&gt;0,TRUE,FALSE)</f>
        <v/>
      </c>
      <c r="D81" s="4">
        <f>IF(B81=0,0,COUNTIFS(RAW_Sessions!$A$2:$A$1201,ENTRY_Participants!$A81,RAW_Sessions!$C$2:$C$1201,"&lt;="&amp;MINIFS(RAW_Sessions!$C$2:$C$1201,RAW_Sessions!$A$2:$A$1201,ENTRY_Participants!$A81)+RETURN_GAP_DAYS*FIVE_ATTEMPTS))</f>
        <v/>
      </c>
      <c r="E81" s="4">
        <f>IF(B81=0,FALSE,COUNTIFS(RAW_Sessions!$A$2:$A$1201,ENTRY_Participants!$A81,RAW_Sessions!$B$2:$B$1201,"&lt;="&amp;FIVE_ATTEMPTS)&gt;=FIVE_ATTEMPTS)</f>
        <v/>
      </c>
      <c r="F81" s="4">
        <f>IF(B81=0,FALSE,NOT(E81))</f>
        <v/>
      </c>
      <c r="G81" s="4">
        <f>IF(ENTRY_Observations!$B81="","",ENTRY_Observations!$B81)</f>
        <v/>
      </c>
      <c r="H81" s="4">
        <f>IF(ENTRY_Observations!$D81="","",ENTRY_Observations!$D81)</f>
        <v/>
      </c>
      <c r="I81" s="4">
        <f>IF(G81&lt;&gt;"",G81,F81)</f>
        <v/>
      </c>
      <c r="J81" s="4">
        <f>IF(H81&lt;&gt;"",H81,IF(I81=FALSE,FALSE,P81))</f>
        <v/>
      </c>
      <c r="K81" s="4">
        <f>IF(COUNTIF(RAW_Questionnaire!$A$2:$A$121,ENTRY_Participants!$A81)=0,"",IF(SUMIFS(RAW_Questionnaire!$I$2:$I$121,RAW_Questionnaire!$A$2:$A$121,ENTRY_Participants!$A81)&gt;=ENDORSE_THRESHOLD,TRUE,FALSE))</f>
        <v/>
      </c>
      <c r="L81" s="4">
        <f>IF(COUNTIF(RAW_Questionnaire!$A$2:$A$121,ENTRY_Participants!$A81)=0,"",IF(SUMIFS(RAW_Questionnaire!$J$2:$J$121,RAW_Questionnaire!$A$2:$A$121,ENTRY_Participants!$A81)&gt;=INTENT_THRESHOLD,TRUE,FALSE))</f>
        <v/>
      </c>
      <c r="M81" s="4">
        <f>IFERROR(LOOKUP(2,1/((RAW_Sessions!$A$2:$A$1201=ENTRY_Participants!$A81)*(RAW_Sessions!$M$2:$M$1201&lt;&gt;"")),RAW_Sessions!$M$2:$M$1201),"")</f>
        <v/>
      </c>
      <c r="N81" s="4">
        <f>IF(OR(M81="",ENTRY_Participants!$I81=""),"",M81-ENTRY_Participants!$I81)</f>
        <v/>
      </c>
    </row>
    <row r="82">
      <c r="A82">
        <f>ENTRY_Participants!$A82</f>
        <v/>
      </c>
      <c r="B82" s="4">
        <f>COUNTIF(RAW_Sessions!$A$2:$A$1201,ENTRY_Participants!$A82)</f>
        <v/>
      </c>
      <c r="C82" s="4">
        <f>IF(COUNTIFS(RAW_Sessions!$A$2:$A$1201,ENTRY_Participants!$A82,RAW_Sessions!$B$2:$B$1201,1)&gt;0,TRUE,FALSE)</f>
        <v/>
      </c>
      <c r="D82" s="4">
        <f>IF(B82=0,0,COUNTIFS(RAW_Sessions!$A$2:$A$1201,ENTRY_Participants!$A82,RAW_Sessions!$C$2:$C$1201,"&lt;="&amp;MINIFS(RAW_Sessions!$C$2:$C$1201,RAW_Sessions!$A$2:$A$1201,ENTRY_Participants!$A82)+RETURN_GAP_DAYS*FIVE_ATTEMPTS))</f>
        <v/>
      </c>
      <c r="E82" s="4">
        <f>IF(B82=0,FALSE,COUNTIFS(RAW_Sessions!$A$2:$A$1201,ENTRY_Participants!$A82,RAW_Sessions!$B$2:$B$1201,"&lt;="&amp;FIVE_ATTEMPTS)&gt;=FIVE_ATTEMPTS)</f>
        <v/>
      </c>
      <c r="F82" s="4">
        <f>IF(B82=0,FALSE,NOT(E82))</f>
        <v/>
      </c>
      <c r="G82" s="4">
        <f>IF(ENTRY_Observations!$B82="","",ENTRY_Observations!$B82)</f>
        <v/>
      </c>
      <c r="H82" s="4">
        <f>IF(ENTRY_Observations!$D82="","",ENTRY_Observations!$D82)</f>
        <v/>
      </c>
      <c r="I82" s="4">
        <f>IF(G82&lt;&gt;"",G82,F82)</f>
        <v/>
      </c>
      <c r="J82" s="4">
        <f>IF(H82&lt;&gt;"",H82,IF(I82=FALSE,FALSE,P82))</f>
        <v/>
      </c>
      <c r="K82" s="4">
        <f>IF(COUNTIF(RAW_Questionnaire!$A$2:$A$121,ENTRY_Participants!$A82)=0,"",IF(SUMIFS(RAW_Questionnaire!$I$2:$I$121,RAW_Questionnaire!$A$2:$A$121,ENTRY_Participants!$A82)&gt;=ENDORSE_THRESHOLD,TRUE,FALSE))</f>
        <v/>
      </c>
      <c r="L82" s="4">
        <f>IF(COUNTIF(RAW_Questionnaire!$A$2:$A$121,ENTRY_Participants!$A82)=0,"",IF(SUMIFS(RAW_Questionnaire!$J$2:$J$121,RAW_Questionnaire!$A$2:$A$121,ENTRY_Participants!$A82)&gt;=INTENT_THRESHOLD,TRUE,FALSE))</f>
        <v/>
      </c>
      <c r="M82" s="4">
        <f>IFERROR(LOOKUP(2,1/((RAW_Sessions!$A$2:$A$1201=ENTRY_Participants!$A82)*(RAW_Sessions!$M$2:$M$1201&lt;&gt;"")),RAW_Sessions!$M$2:$M$1201),"")</f>
        <v/>
      </c>
      <c r="N82" s="4">
        <f>IF(OR(M82="",ENTRY_Participants!$I82=""),"",M82-ENTRY_Participants!$I82)</f>
        <v/>
      </c>
    </row>
    <row r="83">
      <c r="A83">
        <f>ENTRY_Participants!$A83</f>
        <v/>
      </c>
      <c r="B83" s="4">
        <f>COUNTIF(RAW_Sessions!$A$2:$A$1201,ENTRY_Participants!$A83)</f>
        <v/>
      </c>
      <c r="C83" s="4">
        <f>IF(COUNTIFS(RAW_Sessions!$A$2:$A$1201,ENTRY_Participants!$A83,RAW_Sessions!$B$2:$B$1201,1)&gt;0,TRUE,FALSE)</f>
        <v/>
      </c>
      <c r="D83" s="4">
        <f>IF(B83=0,0,COUNTIFS(RAW_Sessions!$A$2:$A$1201,ENTRY_Participants!$A83,RAW_Sessions!$C$2:$C$1201,"&lt;="&amp;MINIFS(RAW_Sessions!$C$2:$C$1201,RAW_Sessions!$A$2:$A$1201,ENTRY_Participants!$A83)+RETURN_GAP_DAYS*FIVE_ATTEMPTS))</f>
        <v/>
      </c>
      <c r="E83" s="4">
        <f>IF(B83=0,FALSE,COUNTIFS(RAW_Sessions!$A$2:$A$1201,ENTRY_Participants!$A83,RAW_Sessions!$B$2:$B$1201,"&lt;="&amp;FIVE_ATTEMPTS)&gt;=FIVE_ATTEMPTS)</f>
        <v/>
      </c>
      <c r="F83" s="4">
        <f>IF(B83=0,FALSE,NOT(E83))</f>
        <v/>
      </c>
      <c r="G83" s="4">
        <f>IF(ENTRY_Observations!$B83="","",ENTRY_Observations!$B83)</f>
        <v/>
      </c>
      <c r="H83" s="4">
        <f>IF(ENTRY_Observations!$D83="","",ENTRY_Observations!$D83)</f>
        <v/>
      </c>
      <c r="I83" s="4">
        <f>IF(G83&lt;&gt;"",G83,F83)</f>
        <v/>
      </c>
      <c r="J83" s="4">
        <f>IF(H83&lt;&gt;"",H83,IF(I83=FALSE,FALSE,P83))</f>
        <v/>
      </c>
      <c r="K83" s="4">
        <f>IF(COUNTIF(RAW_Questionnaire!$A$2:$A$121,ENTRY_Participants!$A83)=0,"",IF(SUMIFS(RAW_Questionnaire!$I$2:$I$121,RAW_Questionnaire!$A$2:$A$121,ENTRY_Participants!$A83)&gt;=ENDORSE_THRESHOLD,TRUE,FALSE))</f>
        <v/>
      </c>
      <c r="L83" s="4">
        <f>IF(COUNTIF(RAW_Questionnaire!$A$2:$A$121,ENTRY_Participants!$A83)=0,"",IF(SUMIFS(RAW_Questionnaire!$J$2:$J$121,RAW_Questionnaire!$A$2:$A$121,ENTRY_Participants!$A83)&gt;=INTENT_THRESHOLD,TRUE,FALSE))</f>
        <v/>
      </c>
      <c r="M83" s="4">
        <f>IFERROR(LOOKUP(2,1/((RAW_Sessions!$A$2:$A$1201=ENTRY_Participants!$A83)*(RAW_Sessions!$M$2:$M$1201&lt;&gt;"")),RAW_Sessions!$M$2:$M$1201),"")</f>
        <v/>
      </c>
      <c r="N83" s="4">
        <f>IF(OR(M83="",ENTRY_Participants!$I83=""),"",M83-ENTRY_Participants!$I83)</f>
        <v/>
      </c>
    </row>
    <row r="84">
      <c r="A84">
        <f>ENTRY_Participants!$A84</f>
        <v/>
      </c>
      <c r="B84" s="4">
        <f>COUNTIF(RAW_Sessions!$A$2:$A$1201,ENTRY_Participants!$A84)</f>
        <v/>
      </c>
      <c r="C84" s="4">
        <f>IF(COUNTIFS(RAW_Sessions!$A$2:$A$1201,ENTRY_Participants!$A84,RAW_Sessions!$B$2:$B$1201,1)&gt;0,TRUE,FALSE)</f>
        <v/>
      </c>
      <c r="D84" s="4">
        <f>IF(B84=0,0,COUNTIFS(RAW_Sessions!$A$2:$A$1201,ENTRY_Participants!$A84,RAW_Sessions!$C$2:$C$1201,"&lt;="&amp;MINIFS(RAW_Sessions!$C$2:$C$1201,RAW_Sessions!$A$2:$A$1201,ENTRY_Participants!$A84)+RETURN_GAP_DAYS*FIVE_ATTEMPTS))</f>
        <v/>
      </c>
      <c r="E84" s="4">
        <f>IF(B84=0,FALSE,COUNTIFS(RAW_Sessions!$A$2:$A$1201,ENTRY_Participants!$A84,RAW_Sessions!$B$2:$B$1201,"&lt;="&amp;FIVE_ATTEMPTS)&gt;=FIVE_ATTEMPTS)</f>
        <v/>
      </c>
      <c r="F84" s="4">
        <f>IF(B84=0,FALSE,NOT(E84))</f>
        <v/>
      </c>
      <c r="G84" s="4">
        <f>IF(ENTRY_Observations!$B84="","",ENTRY_Observations!$B84)</f>
        <v/>
      </c>
      <c r="H84" s="4">
        <f>IF(ENTRY_Observations!$D84="","",ENTRY_Observations!$D84)</f>
        <v/>
      </c>
      <c r="I84" s="4">
        <f>IF(G84&lt;&gt;"",G84,F84)</f>
        <v/>
      </c>
      <c r="J84" s="4">
        <f>IF(H84&lt;&gt;"",H84,IF(I84=FALSE,FALSE,P84))</f>
        <v/>
      </c>
      <c r="K84" s="4">
        <f>IF(COUNTIF(RAW_Questionnaire!$A$2:$A$121,ENTRY_Participants!$A84)=0,"",IF(SUMIFS(RAW_Questionnaire!$I$2:$I$121,RAW_Questionnaire!$A$2:$A$121,ENTRY_Participants!$A84)&gt;=ENDORSE_THRESHOLD,TRUE,FALSE))</f>
        <v/>
      </c>
      <c r="L84" s="4">
        <f>IF(COUNTIF(RAW_Questionnaire!$A$2:$A$121,ENTRY_Participants!$A84)=0,"",IF(SUMIFS(RAW_Questionnaire!$J$2:$J$121,RAW_Questionnaire!$A$2:$A$121,ENTRY_Participants!$A84)&gt;=INTENT_THRESHOLD,TRUE,FALSE))</f>
        <v/>
      </c>
      <c r="M84" s="4">
        <f>IFERROR(LOOKUP(2,1/((RAW_Sessions!$A$2:$A$1201=ENTRY_Participants!$A84)*(RAW_Sessions!$M$2:$M$1201&lt;&gt;"")),RAW_Sessions!$M$2:$M$1201),"")</f>
        <v/>
      </c>
      <c r="N84" s="4">
        <f>IF(OR(M84="",ENTRY_Participants!$I84=""),"",M84-ENTRY_Participants!$I84)</f>
        <v/>
      </c>
    </row>
    <row r="85">
      <c r="A85">
        <f>ENTRY_Participants!$A85</f>
        <v/>
      </c>
      <c r="B85" s="4">
        <f>COUNTIF(RAW_Sessions!$A$2:$A$1201,ENTRY_Participants!$A85)</f>
        <v/>
      </c>
      <c r="C85" s="4">
        <f>IF(COUNTIFS(RAW_Sessions!$A$2:$A$1201,ENTRY_Participants!$A85,RAW_Sessions!$B$2:$B$1201,1)&gt;0,TRUE,FALSE)</f>
        <v/>
      </c>
      <c r="D85" s="4">
        <f>IF(B85=0,0,COUNTIFS(RAW_Sessions!$A$2:$A$1201,ENTRY_Participants!$A85,RAW_Sessions!$C$2:$C$1201,"&lt;="&amp;MINIFS(RAW_Sessions!$C$2:$C$1201,RAW_Sessions!$A$2:$A$1201,ENTRY_Participants!$A85)+RETURN_GAP_DAYS*FIVE_ATTEMPTS))</f>
        <v/>
      </c>
      <c r="E85" s="4">
        <f>IF(B85=0,FALSE,COUNTIFS(RAW_Sessions!$A$2:$A$1201,ENTRY_Participants!$A85,RAW_Sessions!$B$2:$B$1201,"&lt;="&amp;FIVE_ATTEMPTS)&gt;=FIVE_ATTEMPTS)</f>
        <v/>
      </c>
      <c r="F85" s="4">
        <f>IF(B85=0,FALSE,NOT(E85))</f>
        <v/>
      </c>
      <c r="G85" s="4">
        <f>IF(ENTRY_Observations!$B85="","",ENTRY_Observations!$B85)</f>
        <v/>
      </c>
      <c r="H85" s="4">
        <f>IF(ENTRY_Observations!$D85="","",ENTRY_Observations!$D85)</f>
        <v/>
      </c>
      <c r="I85" s="4">
        <f>IF(G85&lt;&gt;"",G85,F85)</f>
        <v/>
      </c>
      <c r="J85" s="4">
        <f>IF(H85&lt;&gt;"",H85,IF(I85=FALSE,FALSE,P85))</f>
        <v/>
      </c>
      <c r="K85" s="4">
        <f>IF(COUNTIF(RAW_Questionnaire!$A$2:$A$121,ENTRY_Participants!$A85)=0,"",IF(SUMIFS(RAW_Questionnaire!$I$2:$I$121,RAW_Questionnaire!$A$2:$A$121,ENTRY_Participants!$A85)&gt;=ENDORSE_THRESHOLD,TRUE,FALSE))</f>
        <v/>
      </c>
      <c r="L85" s="4">
        <f>IF(COUNTIF(RAW_Questionnaire!$A$2:$A$121,ENTRY_Participants!$A85)=0,"",IF(SUMIFS(RAW_Questionnaire!$J$2:$J$121,RAW_Questionnaire!$A$2:$A$121,ENTRY_Participants!$A85)&gt;=INTENT_THRESHOLD,TRUE,FALSE))</f>
        <v/>
      </c>
      <c r="M85" s="4">
        <f>IFERROR(LOOKUP(2,1/((RAW_Sessions!$A$2:$A$1201=ENTRY_Participants!$A85)*(RAW_Sessions!$M$2:$M$1201&lt;&gt;"")),RAW_Sessions!$M$2:$M$1201),"")</f>
        <v/>
      </c>
      <c r="N85" s="4">
        <f>IF(OR(M85="",ENTRY_Participants!$I85=""),"",M85-ENTRY_Participants!$I85)</f>
        <v/>
      </c>
    </row>
    <row r="86">
      <c r="A86">
        <f>ENTRY_Participants!$A86</f>
        <v/>
      </c>
      <c r="B86" s="4">
        <f>COUNTIF(RAW_Sessions!$A$2:$A$1201,ENTRY_Participants!$A86)</f>
        <v/>
      </c>
      <c r="C86" s="4">
        <f>IF(COUNTIFS(RAW_Sessions!$A$2:$A$1201,ENTRY_Participants!$A86,RAW_Sessions!$B$2:$B$1201,1)&gt;0,TRUE,FALSE)</f>
        <v/>
      </c>
      <c r="D86" s="4">
        <f>IF(B86=0,0,COUNTIFS(RAW_Sessions!$A$2:$A$1201,ENTRY_Participants!$A86,RAW_Sessions!$C$2:$C$1201,"&lt;="&amp;MINIFS(RAW_Sessions!$C$2:$C$1201,RAW_Sessions!$A$2:$A$1201,ENTRY_Participants!$A86)+RETURN_GAP_DAYS*FIVE_ATTEMPTS))</f>
        <v/>
      </c>
      <c r="E86" s="4">
        <f>IF(B86=0,FALSE,COUNTIFS(RAW_Sessions!$A$2:$A$1201,ENTRY_Participants!$A86,RAW_Sessions!$B$2:$B$1201,"&lt;="&amp;FIVE_ATTEMPTS)&gt;=FIVE_ATTEMPTS)</f>
        <v/>
      </c>
      <c r="F86" s="4">
        <f>IF(B86=0,FALSE,NOT(E86))</f>
        <v/>
      </c>
      <c r="G86" s="4">
        <f>IF(ENTRY_Observations!$B86="","",ENTRY_Observations!$B86)</f>
        <v/>
      </c>
      <c r="H86" s="4">
        <f>IF(ENTRY_Observations!$D86="","",ENTRY_Observations!$D86)</f>
        <v/>
      </c>
      <c r="I86" s="4">
        <f>IF(G86&lt;&gt;"",G86,F86)</f>
        <v/>
      </c>
      <c r="J86" s="4">
        <f>IF(H86&lt;&gt;"",H86,IF(I86=FALSE,FALSE,P86))</f>
        <v/>
      </c>
      <c r="K86" s="4">
        <f>IF(COUNTIF(RAW_Questionnaire!$A$2:$A$121,ENTRY_Participants!$A86)=0,"",IF(SUMIFS(RAW_Questionnaire!$I$2:$I$121,RAW_Questionnaire!$A$2:$A$121,ENTRY_Participants!$A86)&gt;=ENDORSE_THRESHOLD,TRUE,FALSE))</f>
        <v/>
      </c>
      <c r="L86" s="4">
        <f>IF(COUNTIF(RAW_Questionnaire!$A$2:$A$121,ENTRY_Participants!$A86)=0,"",IF(SUMIFS(RAW_Questionnaire!$J$2:$J$121,RAW_Questionnaire!$A$2:$A$121,ENTRY_Participants!$A86)&gt;=INTENT_THRESHOLD,TRUE,FALSE))</f>
        <v/>
      </c>
      <c r="M86" s="4">
        <f>IFERROR(LOOKUP(2,1/((RAW_Sessions!$A$2:$A$1201=ENTRY_Participants!$A86)*(RAW_Sessions!$M$2:$M$1201&lt;&gt;"")),RAW_Sessions!$M$2:$M$1201),"")</f>
        <v/>
      </c>
      <c r="N86" s="4">
        <f>IF(OR(M86="",ENTRY_Participants!$I86=""),"",M86-ENTRY_Participants!$I86)</f>
        <v/>
      </c>
    </row>
    <row r="87">
      <c r="A87">
        <f>ENTRY_Participants!$A87</f>
        <v/>
      </c>
      <c r="B87" s="4">
        <f>COUNTIF(RAW_Sessions!$A$2:$A$1201,ENTRY_Participants!$A87)</f>
        <v/>
      </c>
      <c r="C87" s="4">
        <f>IF(COUNTIFS(RAW_Sessions!$A$2:$A$1201,ENTRY_Participants!$A87,RAW_Sessions!$B$2:$B$1201,1)&gt;0,TRUE,FALSE)</f>
        <v/>
      </c>
      <c r="D87" s="4">
        <f>IF(B87=0,0,COUNTIFS(RAW_Sessions!$A$2:$A$1201,ENTRY_Participants!$A87,RAW_Sessions!$C$2:$C$1201,"&lt;="&amp;MINIFS(RAW_Sessions!$C$2:$C$1201,RAW_Sessions!$A$2:$A$1201,ENTRY_Participants!$A87)+RETURN_GAP_DAYS*FIVE_ATTEMPTS))</f>
        <v/>
      </c>
      <c r="E87" s="4">
        <f>IF(B87=0,FALSE,COUNTIFS(RAW_Sessions!$A$2:$A$1201,ENTRY_Participants!$A87,RAW_Sessions!$B$2:$B$1201,"&lt;="&amp;FIVE_ATTEMPTS)&gt;=FIVE_ATTEMPTS)</f>
        <v/>
      </c>
      <c r="F87" s="4">
        <f>IF(B87=0,FALSE,NOT(E87))</f>
        <v/>
      </c>
      <c r="G87" s="4">
        <f>IF(ENTRY_Observations!$B87="","",ENTRY_Observations!$B87)</f>
        <v/>
      </c>
      <c r="H87" s="4">
        <f>IF(ENTRY_Observations!$D87="","",ENTRY_Observations!$D87)</f>
        <v/>
      </c>
      <c r="I87" s="4">
        <f>IF(G87&lt;&gt;"",G87,F87)</f>
        <v/>
      </c>
      <c r="J87" s="4">
        <f>IF(H87&lt;&gt;"",H87,IF(I87=FALSE,FALSE,P87))</f>
        <v/>
      </c>
      <c r="K87" s="4">
        <f>IF(COUNTIF(RAW_Questionnaire!$A$2:$A$121,ENTRY_Participants!$A87)=0,"",IF(SUMIFS(RAW_Questionnaire!$I$2:$I$121,RAW_Questionnaire!$A$2:$A$121,ENTRY_Participants!$A87)&gt;=ENDORSE_THRESHOLD,TRUE,FALSE))</f>
        <v/>
      </c>
      <c r="L87" s="4">
        <f>IF(COUNTIF(RAW_Questionnaire!$A$2:$A$121,ENTRY_Participants!$A87)=0,"",IF(SUMIFS(RAW_Questionnaire!$J$2:$J$121,RAW_Questionnaire!$A$2:$A$121,ENTRY_Participants!$A87)&gt;=INTENT_THRESHOLD,TRUE,FALSE))</f>
        <v/>
      </c>
      <c r="M87" s="4">
        <f>IFERROR(LOOKUP(2,1/((RAW_Sessions!$A$2:$A$1201=ENTRY_Participants!$A87)*(RAW_Sessions!$M$2:$M$1201&lt;&gt;"")),RAW_Sessions!$M$2:$M$1201),"")</f>
        <v/>
      </c>
      <c r="N87" s="4">
        <f>IF(OR(M87="",ENTRY_Participants!$I87=""),"",M87-ENTRY_Participants!$I87)</f>
        <v/>
      </c>
    </row>
    <row r="88">
      <c r="A88">
        <f>ENTRY_Participants!$A88</f>
        <v/>
      </c>
      <c r="B88" s="4">
        <f>COUNTIF(RAW_Sessions!$A$2:$A$1201,ENTRY_Participants!$A88)</f>
        <v/>
      </c>
      <c r="C88" s="4">
        <f>IF(COUNTIFS(RAW_Sessions!$A$2:$A$1201,ENTRY_Participants!$A88,RAW_Sessions!$B$2:$B$1201,1)&gt;0,TRUE,FALSE)</f>
        <v/>
      </c>
      <c r="D88" s="4">
        <f>IF(B88=0,0,COUNTIFS(RAW_Sessions!$A$2:$A$1201,ENTRY_Participants!$A88,RAW_Sessions!$C$2:$C$1201,"&lt;="&amp;MINIFS(RAW_Sessions!$C$2:$C$1201,RAW_Sessions!$A$2:$A$1201,ENTRY_Participants!$A88)+RETURN_GAP_DAYS*FIVE_ATTEMPTS))</f>
        <v/>
      </c>
      <c r="E88" s="4">
        <f>IF(B88=0,FALSE,COUNTIFS(RAW_Sessions!$A$2:$A$1201,ENTRY_Participants!$A88,RAW_Sessions!$B$2:$B$1201,"&lt;="&amp;FIVE_ATTEMPTS)&gt;=FIVE_ATTEMPTS)</f>
        <v/>
      </c>
      <c r="F88" s="4">
        <f>IF(B88=0,FALSE,NOT(E88))</f>
        <v/>
      </c>
      <c r="G88" s="4">
        <f>IF(ENTRY_Observations!$B88="","",ENTRY_Observations!$B88)</f>
        <v/>
      </c>
      <c r="H88" s="4">
        <f>IF(ENTRY_Observations!$D88="","",ENTRY_Observations!$D88)</f>
        <v/>
      </c>
      <c r="I88" s="4">
        <f>IF(G88&lt;&gt;"",G88,F88)</f>
        <v/>
      </c>
      <c r="J88" s="4">
        <f>IF(H88&lt;&gt;"",H88,IF(I88=FALSE,FALSE,P88))</f>
        <v/>
      </c>
      <c r="K88" s="4">
        <f>IF(COUNTIF(RAW_Questionnaire!$A$2:$A$121,ENTRY_Participants!$A88)=0,"",IF(SUMIFS(RAW_Questionnaire!$I$2:$I$121,RAW_Questionnaire!$A$2:$A$121,ENTRY_Participants!$A88)&gt;=ENDORSE_THRESHOLD,TRUE,FALSE))</f>
        <v/>
      </c>
      <c r="L88" s="4">
        <f>IF(COUNTIF(RAW_Questionnaire!$A$2:$A$121,ENTRY_Participants!$A88)=0,"",IF(SUMIFS(RAW_Questionnaire!$J$2:$J$121,RAW_Questionnaire!$A$2:$A$121,ENTRY_Participants!$A88)&gt;=INTENT_THRESHOLD,TRUE,FALSE))</f>
        <v/>
      </c>
      <c r="M88" s="4">
        <f>IFERROR(LOOKUP(2,1/((RAW_Sessions!$A$2:$A$1201=ENTRY_Participants!$A88)*(RAW_Sessions!$M$2:$M$1201&lt;&gt;"")),RAW_Sessions!$M$2:$M$1201),"")</f>
        <v/>
      </c>
      <c r="N88" s="4">
        <f>IF(OR(M88="",ENTRY_Participants!$I88=""),"",M88-ENTRY_Participants!$I88)</f>
        <v/>
      </c>
    </row>
    <row r="89">
      <c r="A89">
        <f>ENTRY_Participants!$A89</f>
        <v/>
      </c>
      <c r="B89" s="4">
        <f>COUNTIF(RAW_Sessions!$A$2:$A$1201,ENTRY_Participants!$A89)</f>
        <v/>
      </c>
      <c r="C89" s="4">
        <f>IF(COUNTIFS(RAW_Sessions!$A$2:$A$1201,ENTRY_Participants!$A89,RAW_Sessions!$B$2:$B$1201,1)&gt;0,TRUE,FALSE)</f>
        <v/>
      </c>
      <c r="D89" s="4">
        <f>IF(B89=0,0,COUNTIFS(RAW_Sessions!$A$2:$A$1201,ENTRY_Participants!$A89,RAW_Sessions!$C$2:$C$1201,"&lt;="&amp;MINIFS(RAW_Sessions!$C$2:$C$1201,RAW_Sessions!$A$2:$A$1201,ENTRY_Participants!$A89)+RETURN_GAP_DAYS*FIVE_ATTEMPTS))</f>
        <v/>
      </c>
      <c r="E89" s="4">
        <f>IF(B89=0,FALSE,COUNTIFS(RAW_Sessions!$A$2:$A$1201,ENTRY_Participants!$A89,RAW_Sessions!$B$2:$B$1201,"&lt;="&amp;FIVE_ATTEMPTS)&gt;=FIVE_ATTEMPTS)</f>
        <v/>
      </c>
      <c r="F89" s="4">
        <f>IF(B89=0,FALSE,NOT(E89))</f>
        <v/>
      </c>
      <c r="G89" s="4">
        <f>IF(ENTRY_Observations!$B89="","",ENTRY_Observations!$B89)</f>
        <v/>
      </c>
      <c r="H89" s="4">
        <f>IF(ENTRY_Observations!$D89="","",ENTRY_Observations!$D89)</f>
        <v/>
      </c>
      <c r="I89" s="4">
        <f>IF(G89&lt;&gt;"",G89,F89)</f>
        <v/>
      </c>
      <c r="J89" s="4">
        <f>IF(H89&lt;&gt;"",H89,IF(I89=FALSE,FALSE,P89))</f>
        <v/>
      </c>
      <c r="K89" s="4">
        <f>IF(COUNTIF(RAW_Questionnaire!$A$2:$A$121,ENTRY_Participants!$A89)=0,"",IF(SUMIFS(RAW_Questionnaire!$I$2:$I$121,RAW_Questionnaire!$A$2:$A$121,ENTRY_Participants!$A89)&gt;=ENDORSE_THRESHOLD,TRUE,FALSE))</f>
        <v/>
      </c>
      <c r="L89" s="4">
        <f>IF(COUNTIF(RAW_Questionnaire!$A$2:$A$121,ENTRY_Participants!$A89)=0,"",IF(SUMIFS(RAW_Questionnaire!$J$2:$J$121,RAW_Questionnaire!$A$2:$A$121,ENTRY_Participants!$A89)&gt;=INTENT_THRESHOLD,TRUE,FALSE))</f>
        <v/>
      </c>
      <c r="M89" s="4">
        <f>IFERROR(LOOKUP(2,1/((RAW_Sessions!$A$2:$A$1201=ENTRY_Participants!$A89)*(RAW_Sessions!$M$2:$M$1201&lt;&gt;"")),RAW_Sessions!$M$2:$M$1201),"")</f>
        <v/>
      </c>
      <c r="N89" s="4">
        <f>IF(OR(M89="",ENTRY_Participants!$I89=""),"",M89-ENTRY_Participants!$I89)</f>
        <v/>
      </c>
    </row>
    <row r="90">
      <c r="A90">
        <f>ENTRY_Participants!$A90</f>
        <v/>
      </c>
      <c r="B90" s="4">
        <f>COUNTIF(RAW_Sessions!$A$2:$A$1201,ENTRY_Participants!$A90)</f>
        <v/>
      </c>
      <c r="C90" s="4">
        <f>IF(COUNTIFS(RAW_Sessions!$A$2:$A$1201,ENTRY_Participants!$A90,RAW_Sessions!$B$2:$B$1201,1)&gt;0,TRUE,FALSE)</f>
        <v/>
      </c>
      <c r="D90" s="4">
        <f>IF(B90=0,0,COUNTIFS(RAW_Sessions!$A$2:$A$1201,ENTRY_Participants!$A90,RAW_Sessions!$C$2:$C$1201,"&lt;="&amp;MINIFS(RAW_Sessions!$C$2:$C$1201,RAW_Sessions!$A$2:$A$1201,ENTRY_Participants!$A90)+RETURN_GAP_DAYS*FIVE_ATTEMPTS))</f>
        <v/>
      </c>
      <c r="E90" s="4">
        <f>IF(B90=0,FALSE,COUNTIFS(RAW_Sessions!$A$2:$A$1201,ENTRY_Participants!$A90,RAW_Sessions!$B$2:$B$1201,"&lt;="&amp;FIVE_ATTEMPTS)&gt;=FIVE_ATTEMPTS)</f>
        <v/>
      </c>
      <c r="F90" s="4">
        <f>IF(B90=0,FALSE,NOT(E90))</f>
        <v/>
      </c>
      <c r="G90" s="4">
        <f>IF(ENTRY_Observations!$B90="","",ENTRY_Observations!$B90)</f>
        <v/>
      </c>
      <c r="H90" s="4">
        <f>IF(ENTRY_Observations!$D90="","",ENTRY_Observations!$D90)</f>
        <v/>
      </c>
      <c r="I90" s="4">
        <f>IF(G90&lt;&gt;"",G90,F90)</f>
        <v/>
      </c>
      <c r="J90" s="4">
        <f>IF(H90&lt;&gt;"",H90,IF(I90=FALSE,FALSE,P90))</f>
        <v/>
      </c>
      <c r="K90" s="4">
        <f>IF(COUNTIF(RAW_Questionnaire!$A$2:$A$121,ENTRY_Participants!$A90)=0,"",IF(SUMIFS(RAW_Questionnaire!$I$2:$I$121,RAW_Questionnaire!$A$2:$A$121,ENTRY_Participants!$A90)&gt;=ENDORSE_THRESHOLD,TRUE,FALSE))</f>
        <v/>
      </c>
      <c r="L90" s="4">
        <f>IF(COUNTIF(RAW_Questionnaire!$A$2:$A$121,ENTRY_Participants!$A90)=0,"",IF(SUMIFS(RAW_Questionnaire!$J$2:$J$121,RAW_Questionnaire!$A$2:$A$121,ENTRY_Participants!$A90)&gt;=INTENT_THRESHOLD,TRUE,FALSE))</f>
        <v/>
      </c>
      <c r="M90" s="4">
        <f>IFERROR(LOOKUP(2,1/((RAW_Sessions!$A$2:$A$1201=ENTRY_Participants!$A90)*(RAW_Sessions!$M$2:$M$1201&lt;&gt;"")),RAW_Sessions!$M$2:$M$1201),"")</f>
        <v/>
      </c>
      <c r="N90" s="4">
        <f>IF(OR(M90="",ENTRY_Participants!$I90=""),"",M90-ENTRY_Participants!$I90)</f>
        <v/>
      </c>
    </row>
    <row r="91">
      <c r="A91">
        <f>ENTRY_Participants!$A91</f>
        <v/>
      </c>
      <c r="B91" s="4">
        <f>COUNTIF(RAW_Sessions!$A$2:$A$1201,ENTRY_Participants!$A91)</f>
        <v/>
      </c>
      <c r="C91" s="4">
        <f>IF(COUNTIFS(RAW_Sessions!$A$2:$A$1201,ENTRY_Participants!$A91,RAW_Sessions!$B$2:$B$1201,1)&gt;0,TRUE,FALSE)</f>
        <v/>
      </c>
      <c r="D91" s="4">
        <f>IF(B91=0,0,COUNTIFS(RAW_Sessions!$A$2:$A$1201,ENTRY_Participants!$A91,RAW_Sessions!$C$2:$C$1201,"&lt;="&amp;MINIFS(RAW_Sessions!$C$2:$C$1201,RAW_Sessions!$A$2:$A$1201,ENTRY_Participants!$A91)+RETURN_GAP_DAYS*FIVE_ATTEMPTS))</f>
        <v/>
      </c>
      <c r="E91" s="4">
        <f>IF(B91=0,FALSE,COUNTIFS(RAW_Sessions!$A$2:$A$1201,ENTRY_Participants!$A91,RAW_Sessions!$B$2:$B$1201,"&lt;="&amp;FIVE_ATTEMPTS)&gt;=FIVE_ATTEMPTS)</f>
        <v/>
      </c>
      <c r="F91" s="4">
        <f>IF(B91=0,FALSE,NOT(E91))</f>
        <v/>
      </c>
      <c r="G91" s="4">
        <f>IF(ENTRY_Observations!$B91="","",ENTRY_Observations!$B91)</f>
        <v/>
      </c>
      <c r="H91" s="4">
        <f>IF(ENTRY_Observations!$D91="","",ENTRY_Observations!$D91)</f>
        <v/>
      </c>
      <c r="I91" s="4">
        <f>IF(G91&lt;&gt;"",G91,F91)</f>
        <v/>
      </c>
      <c r="J91" s="4">
        <f>IF(H91&lt;&gt;"",H91,IF(I91=FALSE,FALSE,P91))</f>
        <v/>
      </c>
      <c r="K91" s="4">
        <f>IF(COUNTIF(RAW_Questionnaire!$A$2:$A$121,ENTRY_Participants!$A91)=0,"",IF(SUMIFS(RAW_Questionnaire!$I$2:$I$121,RAW_Questionnaire!$A$2:$A$121,ENTRY_Participants!$A91)&gt;=ENDORSE_THRESHOLD,TRUE,FALSE))</f>
        <v/>
      </c>
      <c r="L91" s="4">
        <f>IF(COUNTIF(RAW_Questionnaire!$A$2:$A$121,ENTRY_Participants!$A91)=0,"",IF(SUMIFS(RAW_Questionnaire!$J$2:$J$121,RAW_Questionnaire!$A$2:$A$121,ENTRY_Participants!$A91)&gt;=INTENT_THRESHOLD,TRUE,FALSE))</f>
        <v/>
      </c>
      <c r="M91" s="4">
        <f>IFERROR(LOOKUP(2,1/((RAW_Sessions!$A$2:$A$1201=ENTRY_Participants!$A91)*(RAW_Sessions!$M$2:$M$1201&lt;&gt;"")),RAW_Sessions!$M$2:$M$1201),"")</f>
        <v/>
      </c>
      <c r="N91" s="4">
        <f>IF(OR(M91="",ENTRY_Participants!$I91=""),"",M91-ENTRY_Participants!$I91)</f>
        <v/>
      </c>
    </row>
    <row r="92">
      <c r="A92">
        <f>ENTRY_Participants!$A92</f>
        <v/>
      </c>
      <c r="B92" s="4">
        <f>COUNTIF(RAW_Sessions!$A$2:$A$1201,ENTRY_Participants!$A92)</f>
        <v/>
      </c>
      <c r="C92" s="4">
        <f>IF(COUNTIFS(RAW_Sessions!$A$2:$A$1201,ENTRY_Participants!$A92,RAW_Sessions!$B$2:$B$1201,1)&gt;0,TRUE,FALSE)</f>
        <v/>
      </c>
      <c r="D92" s="4">
        <f>IF(B92=0,0,COUNTIFS(RAW_Sessions!$A$2:$A$1201,ENTRY_Participants!$A92,RAW_Sessions!$C$2:$C$1201,"&lt;="&amp;MINIFS(RAW_Sessions!$C$2:$C$1201,RAW_Sessions!$A$2:$A$1201,ENTRY_Participants!$A92)+RETURN_GAP_DAYS*FIVE_ATTEMPTS))</f>
        <v/>
      </c>
      <c r="E92" s="4">
        <f>IF(B92=0,FALSE,COUNTIFS(RAW_Sessions!$A$2:$A$1201,ENTRY_Participants!$A92,RAW_Sessions!$B$2:$B$1201,"&lt;="&amp;FIVE_ATTEMPTS)&gt;=FIVE_ATTEMPTS)</f>
        <v/>
      </c>
      <c r="F92" s="4">
        <f>IF(B92=0,FALSE,NOT(E92))</f>
        <v/>
      </c>
      <c r="G92" s="4">
        <f>IF(ENTRY_Observations!$B92="","",ENTRY_Observations!$B92)</f>
        <v/>
      </c>
      <c r="H92" s="4">
        <f>IF(ENTRY_Observations!$D92="","",ENTRY_Observations!$D92)</f>
        <v/>
      </c>
      <c r="I92" s="4">
        <f>IF(G92&lt;&gt;"",G92,F92)</f>
        <v/>
      </c>
      <c r="J92" s="4">
        <f>IF(H92&lt;&gt;"",H92,IF(I92=FALSE,FALSE,P92))</f>
        <v/>
      </c>
      <c r="K92" s="4">
        <f>IF(COUNTIF(RAW_Questionnaire!$A$2:$A$121,ENTRY_Participants!$A92)=0,"",IF(SUMIFS(RAW_Questionnaire!$I$2:$I$121,RAW_Questionnaire!$A$2:$A$121,ENTRY_Participants!$A92)&gt;=ENDORSE_THRESHOLD,TRUE,FALSE))</f>
        <v/>
      </c>
      <c r="L92" s="4">
        <f>IF(COUNTIF(RAW_Questionnaire!$A$2:$A$121,ENTRY_Participants!$A92)=0,"",IF(SUMIFS(RAW_Questionnaire!$J$2:$J$121,RAW_Questionnaire!$A$2:$A$121,ENTRY_Participants!$A92)&gt;=INTENT_THRESHOLD,TRUE,FALSE))</f>
        <v/>
      </c>
      <c r="M92" s="4">
        <f>IFERROR(LOOKUP(2,1/((RAW_Sessions!$A$2:$A$1201=ENTRY_Participants!$A92)*(RAW_Sessions!$M$2:$M$1201&lt;&gt;"")),RAW_Sessions!$M$2:$M$1201),"")</f>
        <v/>
      </c>
      <c r="N92" s="4">
        <f>IF(OR(M92="",ENTRY_Participants!$I92=""),"",M92-ENTRY_Participants!$I92)</f>
        <v/>
      </c>
    </row>
    <row r="93">
      <c r="A93">
        <f>ENTRY_Participants!$A93</f>
        <v/>
      </c>
      <c r="B93" s="4">
        <f>COUNTIF(RAW_Sessions!$A$2:$A$1201,ENTRY_Participants!$A93)</f>
        <v/>
      </c>
      <c r="C93" s="4">
        <f>IF(COUNTIFS(RAW_Sessions!$A$2:$A$1201,ENTRY_Participants!$A93,RAW_Sessions!$B$2:$B$1201,1)&gt;0,TRUE,FALSE)</f>
        <v/>
      </c>
      <c r="D93" s="4">
        <f>IF(B93=0,0,COUNTIFS(RAW_Sessions!$A$2:$A$1201,ENTRY_Participants!$A93,RAW_Sessions!$C$2:$C$1201,"&lt;="&amp;MINIFS(RAW_Sessions!$C$2:$C$1201,RAW_Sessions!$A$2:$A$1201,ENTRY_Participants!$A93)+RETURN_GAP_DAYS*FIVE_ATTEMPTS))</f>
        <v/>
      </c>
      <c r="E93" s="4">
        <f>IF(B93=0,FALSE,COUNTIFS(RAW_Sessions!$A$2:$A$1201,ENTRY_Participants!$A93,RAW_Sessions!$B$2:$B$1201,"&lt;="&amp;FIVE_ATTEMPTS)&gt;=FIVE_ATTEMPTS)</f>
        <v/>
      </c>
      <c r="F93" s="4">
        <f>IF(B93=0,FALSE,NOT(E93))</f>
        <v/>
      </c>
      <c r="G93" s="4">
        <f>IF(ENTRY_Observations!$B93="","",ENTRY_Observations!$B93)</f>
        <v/>
      </c>
      <c r="H93" s="4">
        <f>IF(ENTRY_Observations!$D93="","",ENTRY_Observations!$D93)</f>
        <v/>
      </c>
      <c r="I93" s="4">
        <f>IF(G93&lt;&gt;"",G93,F93)</f>
        <v/>
      </c>
      <c r="J93" s="4">
        <f>IF(H93&lt;&gt;"",H93,IF(I93=FALSE,FALSE,P93))</f>
        <v/>
      </c>
      <c r="K93" s="4">
        <f>IF(COUNTIF(RAW_Questionnaire!$A$2:$A$121,ENTRY_Participants!$A93)=0,"",IF(SUMIFS(RAW_Questionnaire!$I$2:$I$121,RAW_Questionnaire!$A$2:$A$121,ENTRY_Participants!$A93)&gt;=ENDORSE_THRESHOLD,TRUE,FALSE))</f>
        <v/>
      </c>
      <c r="L93" s="4">
        <f>IF(COUNTIF(RAW_Questionnaire!$A$2:$A$121,ENTRY_Participants!$A93)=0,"",IF(SUMIFS(RAW_Questionnaire!$J$2:$J$121,RAW_Questionnaire!$A$2:$A$121,ENTRY_Participants!$A93)&gt;=INTENT_THRESHOLD,TRUE,FALSE))</f>
        <v/>
      </c>
      <c r="M93" s="4">
        <f>IFERROR(LOOKUP(2,1/((RAW_Sessions!$A$2:$A$1201=ENTRY_Participants!$A93)*(RAW_Sessions!$M$2:$M$1201&lt;&gt;"")),RAW_Sessions!$M$2:$M$1201),"")</f>
        <v/>
      </c>
      <c r="N93" s="4">
        <f>IF(OR(M93="",ENTRY_Participants!$I93=""),"",M93-ENTRY_Participants!$I93)</f>
        <v/>
      </c>
    </row>
    <row r="94">
      <c r="A94">
        <f>ENTRY_Participants!$A94</f>
        <v/>
      </c>
      <c r="B94" s="4">
        <f>COUNTIF(RAW_Sessions!$A$2:$A$1201,ENTRY_Participants!$A94)</f>
        <v/>
      </c>
      <c r="C94" s="4">
        <f>IF(COUNTIFS(RAW_Sessions!$A$2:$A$1201,ENTRY_Participants!$A94,RAW_Sessions!$B$2:$B$1201,1)&gt;0,TRUE,FALSE)</f>
        <v/>
      </c>
      <c r="D94" s="4">
        <f>IF(B94=0,0,COUNTIFS(RAW_Sessions!$A$2:$A$1201,ENTRY_Participants!$A94,RAW_Sessions!$C$2:$C$1201,"&lt;="&amp;MINIFS(RAW_Sessions!$C$2:$C$1201,RAW_Sessions!$A$2:$A$1201,ENTRY_Participants!$A94)+RETURN_GAP_DAYS*FIVE_ATTEMPTS))</f>
        <v/>
      </c>
      <c r="E94" s="4">
        <f>IF(B94=0,FALSE,COUNTIFS(RAW_Sessions!$A$2:$A$1201,ENTRY_Participants!$A94,RAW_Sessions!$B$2:$B$1201,"&lt;="&amp;FIVE_ATTEMPTS)&gt;=FIVE_ATTEMPTS)</f>
        <v/>
      </c>
      <c r="F94" s="4">
        <f>IF(B94=0,FALSE,NOT(E94))</f>
        <v/>
      </c>
      <c r="G94" s="4">
        <f>IF(ENTRY_Observations!$B94="","",ENTRY_Observations!$B94)</f>
        <v/>
      </c>
      <c r="H94" s="4">
        <f>IF(ENTRY_Observations!$D94="","",ENTRY_Observations!$D94)</f>
        <v/>
      </c>
      <c r="I94" s="4">
        <f>IF(G94&lt;&gt;"",G94,F94)</f>
        <v/>
      </c>
      <c r="J94" s="4">
        <f>IF(H94&lt;&gt;"",H94,IF(I94=FALSE,FALSE,P94))</f>
        <v/>
      </c>
      <c r="K94" s="4">
        <f>IF(COUNTIF(RAW_Questionnaire!$A$2:$A$121,ENTRY_Participants!$A94)=0,"",IF(SUMIFS(RAW_Questionnaire!$I$2:$I$121,RAW_Questionnaire!$A$2:$A$121,ENTRY_Participants!$A94)&gt;=ENDORSE_THRESHOLD,TRUE,FALSE))</f>
        <v/>
      </c>
      <c r="L94" s="4">
        <f>IF(COUNTIF(RAW_Questionnaire!$A$2:$A$121,ENTRY_Participants!$A94)=0,"",IF(SUMIFS(RAW_Questionnaire!$J$2:$J$121,RAW_Questionnaire!$A$2:$A$121,ENTRY_Participants!$A94)&gt;=INTENT_THRESHOLD,TRUE,FALSE))</f>
        <v/>
      </c>
      <c r="M94" s="4">
        <f>IFERROR(LOOKUP(2,1/((RAW_Sessions!$A$2:$A$1201=ENTRY_Participants!$A94)*(RAW_Sessions!$M$2:$M$1201&lt;&gt;"")),RAW_Sessions!$M$2:$M$1201),"")</f>
        <v/>
      </c>
      <c r="N94" s="4">
        <f>IF(OR(M94="",ENTRY_Participants!$I94=""),"",M94-ENTRY_Participants!$I94)</f>
        <v/>
      </c>
    </row>
    <row r="95">
      <c r="A95">
        <f>ENTRY_Participants!$A95</f>
        <v/>
      </c>
      <c r="B95" s="4">
        <f>COUNTIF(RAW_Sessions!$A$2:$A$1201,ENTRY_Participants!$A95)</f>
        <v/>
      </c>
      <c r="C95" s="4">
        <f>IF(COUNTIFS(RAW_Sessions!$A$2:$A$1201,ENTRY_Participants!$A95,RAW_Sessions!$B$2:$B$1201,1)&gt;0,TRUE,FALSE)</f>
        <v/>
      </c>
      <c r="D95" s="4">
        <f>IF(B95=0,0,COUNTIFS(RAW_Sessions!$A$2:$A$1201,ENTRY_Participants!$A95,RAW_Sessions!$C$2:$C$1201,"&lt;="&amp;MINIFS(RAW_Sessions!$C$2:$C$1201,RAW_Sessions!$A$2:$A$1201,ENTRY_Participants!$A95)+RETURN_GAP_DAYS*FIVE_ATTEMPTS))</f>
        <v/>
      </c>
      <c r="E95" s="4">
        <f>IF(B95=0,FALSE,COUNTIFS(RAW_Sessions!$A$2:$A$1201,ENTRY_Participants!$A95,RAW_Sessions!$B$2:$B$1201,"&lt;="&amp;FIVE_ATTEMPTS)&gt;=FIVE_ATTEMPTS)</f>
        <v/>
      </c>
      <c r="F95" s="4">
        <f>IF(B95=0,FALSE,NOT(E95))</f>
        <v/>
      </c>
      <c r="G95" s="4">
        <f>IF(ENTRY_Observations!$B95="","",ENTRY_Observations!$B95)</f>
        <v/>
      </c>
      <c r="H95" s="4">
        <f>IF(ENTRY_Observations!$D95="","",ENTRY_Observations!$D95)</f>
        <v/>
      </c>
      <c r="I95" s="4">
        <f>IF(G95&lt;&gt;"",G95,F95)</f>
        <v/>
      </c>
      <c r="J95" s="4">
        <f>IF(H95&lt;&gt;"",H95,IF(I95=FALSE,FALSE,P95))</f>
        <v/>
      </c>
      <c r="K95" s="4">
        <f>IF(COUNTIF(RAW_Questionnaire!$A$2:$A$121,ENTRY_Participants!$A95)=0,"",IF(SUMIFS(RAW_Questionnaire!$I$2:$I$121,RAW_Questionnaire!$A$2:$A$121,ENTRY_Participants!$A95)&gt;=ENDORSE_THRESHOLD,TRUE,FALSE))</f>
        <v/>
      </c>
      <c r="L95" s="4">
        <f>IF(COUNTIF(RAW_Questionnaire!$A$2:$A$121,ENTRY_Participants!$A95)=0,"",IF(SUMIFS(RAW_Questionnaire!$J$2:$J$121,RAW_Questionnaire!$A$2:$A$121,ENTRY_Participants!$A95)&gt;=INTENT_THRESHOLD,TRUE,FALSE))</f>
        <v/>
      </c>
      <c r="M95" s="4">
        <f>IFERROR(LOOKUP(2,1/((RAW_Sessions!$A$2:$A$1201=ENTRY_Participants!$A95)*(RAW_Sessions!$M$2:$M$1201&lt;&gt;"")),RAW_Sessions!$M$2:$M$1201),"")</f>
        <v/>
      </c>
      <c r="N95" s="4">
        <f>IF(OR(M95="",ENTRY_Participants!$I95=""),"",M95-ENTRY_Participants!$I95)</f>
        <v/>
      </c>
    </row>
    <row r="96">
      <c r="A96">
        <f>ENTRY_Participants!$A96</f>
        <v/>
      </c>
      <c r="B96" s="4">
        <f>COUNTIF(RAW_Sessions!$A$2:$A$1201,ENTRY_Participants!$A96)</f>
        <v/>
      </c>
      <c r="C96" s="4">
        <f>IF(COUNTIFS(RAW_Sessions!$A$2:$A$1201,ENTRY_Participants!$A96,RAW_Sessions!$B$2:$B$1201,1)&gt;0,TRUE,FALSE)</f>
        <v/>
      </c>
      <c r="D96" s="4">
        <f>IF(B96=0,0,COUNTIFS(RAW_Sessions!$A$2:$A$1201,ENTRY_Participants!$A96,RAW_Sessions!$C$2:$C$1201,"&lt;="&amp;MINIFS(RAW_Sessions!$C$2:$C$1201,RAW_Sessions!$A$2:$A$1201,ENTRY_Participants!$A96)+RETURN_GAP_DAYS*FIVE_ATTEMPTS))</f>
        <v/>
      </c>
      <c r="E96" s="4">
        <f>IF(B96=0,FALSE,COUNTIFS(RAW_Sessions!$A$2:$A$1201,ENTRY_Participants!$A96,RAW_Sessions!$B$2:$B$1201,"&lt;="&amp;FIVE_ATTEMPTS)&gt;=FIVE_ATTEMPTS)</f>
        <v/>
      </c>
      <c r="F96" s="4">
        <f>IF(B96=0,FALSE,NOT(E96))</f>
        <v/>
      </c>
      <c r="G96" s="4">
        <f>IF(ENTRY_Observations!$B96="","",ENTRY_Observations!$B96)</f>
        <v/>
      </c>
      <c r="H96" s="4">
        <f>IF(ENTRY_Observations!$D96="","",ENTRY_Observations!$D96)</f>
        <v/>
      </c>
      <c r="I96" s="4">
        <f>IF(G96&lt;&gt;"",G96,F96)</f>
        <v/>
      </c>
      <c r="J96" s="4">
        <f>IF(H96&lt;&gt;"",H96,IF(I96=FALSE,FALSE,P96))</f>
        <v/>
      </c>
      <c r="K96" s="4">
        <f>IF(COUNTIF(RAW_Questionnaire!$A$2:$A$121,ENTRY_Participants!$A96)=0,"",IF(SUMIFS(RAW_Questionnaire!$I$2:$I$121,RAW_Questionnaire!$A$2:$A$121,ENTRY_Participants!$A96)&gt;=ENDORSE_THRESHOLD,TRUE,FALSE))</f>
        <v/>
      </c>
      <c r="L96" s="4">
        <f>IF(COUNTIF(RAW_Questionnaire!$A$2:$A$121,ENTRY_Participants!$A96)=0,"",IF(SUMIFS(RAW_Questionnaire!$J$2:$J$121,RAW_Questionnaire!$A$2:$A$121,ENTRY_Participants!$A96)&gt;=INTENT_THRESHOLD,TRUE,FALSE))</f>
        <v/>
      </c>
      <c r="M96" s="4">
        <f>IFERROR(LOOKUP(2,1/((RAW_Sessions!$A$2:$A$1201=ENTRY_Participants!$A96)*(RAW_Sessions!$M$2:$M$1201&lt;&gt;"")),RAW_Sessions!$M$2:$M$1201),"")</f>
        <v/>
      </c>
      <c r="N96" s="4">
        <f>IF(OR(M96="",ENTRY_Participants!$I96=""),"",M96-ENTRY_Participants!$I96)</f>
        <v/>
      </c>
    </row>
    <row r="97">
      <c r="A97">
        <f>ENTRY_Participants!$A97</f>
        <v/>
      </c>
      <c r="B97" s="4">
        <f>COUNTIF(RAW_Sessions!$A$2:$A$1201,ENTRY_Participants!$A97)</f>
        <v/>
      </c>
      <c r="C97" s="4">
        <f>IF(COUNTIFS(RAW_Sessions!$A$2:$A$1201,ENTRY_Participants!$A97,RAW_Sessions!$B$2:$B$1201,1)&gt;0,TRUE,FALSE)</f>
        <v/>
      </c>
      <c r="D97" s="4">
        <f>IF(B97=0,0,COUNTIFS(RAW_Sessions!$A$2:$A$1201,ENTRY_Participants!$A97,RAW_Sessions!$C$2:$C$1201,"&lt;="&amp;MINIFS(RAW_Sessions!$C$2:$C$1201,RAW_Sessions!$A$2:$A$1201,ENTRY_Participants!$A97)+RETURN_GAP_DAYS*FIVE_ATTEMPTS))</f>
        <v/>
      </c>
      <c r="E97" s="4">
        <f>IF(B97=0,FALSE,COUNTIFS(RAW_Sessions!$A$2:$A$1201,ENTRY_Participants!$A97,RAW_Sessions!$B$2:$B$1201,"&lt;="&amp;FIVE_ATTEMPTS)&gt;=FIVE_ATTEMPTS)</f>
        <v/>
      </c>
      <c r="F97" s="4">
        <f>IF(B97=0,FALSE,NOT(E97))</f>
        <v/>
      </c>
      <c r="G97" s="4">
        <f>IF(ENTRY_Observations!$B97="","",ENTRY_Observations!$B97)</f>
        <v/>
      </c>
      <c r="H97" s="4">
        <f>IF(ENTRY_Observations!$D97="","",ENTRY_Observations!$D97)</f>
        <v/>
      </c>
      <c r="I97" s="4">
        <f>IF(G97&lt;&gt;"",G97,F97)</f>
        <v/>
      </c>
      <c r="J97" s="4">
        <f>IF(H97&lt;&gt;"",H97,IF(I97=FALSE,FALSE,P97))</f>
        <v/>
      </c>
      <c r="K97" s="4">
        <f>IF(COUNTIF(RAW_Questionnaire!$A$2:$A$121,ENTRY_Participants!$A97)=0,"",IF(SUMIFS(RAW_Questionnaire!$I$2:$I$121,RAW_Questionnaire!$A$2:$A$121,ENTRY_Participants!$A97)&gt;=ENDORSE_THRESHOLD,TRUE,FALSE))</f>
        <v/>
      </c>
      <c r="L97" s="4">
        <f>IF(COUNTIF(RAW_Questionnaire!$A$2:$A$121,ENTRY_Participants!$A97)=0,"",IF(SUMIFS(RAW_Questionnaire!$J$2:$J$121,RAW_Questionnaire!$A$2:$A$121,ENTRY_Participants!$A97)&gt;=INTENT_THRESHOLD,TRUE,FALSE))</f>
        <v/>
      </c>
      <c r="M97" s="4">
        <f>IFERROR(LOOKUP(2,1/((RAW_Sessions!$A$2:$A$1201=ENTRY_Participants!$A97)*(RAW_Sessions!$M$2:$M$1201&lt;&gt;"")),RAW_Sessions!$M$2:$M$1201),"")</f>
        <v/>
      </c>
      <c r="N97" s="4">
        <f>IF(OR(M97="",ENTRY_Participants!$I97=""),"",M97-ENTRY_Participants!$I97)</f>
        <v/>
      </c>
    </row>
    <row r="98">
      <c r="A98">
        <f>ENTRY_Participants!$A98</f>
        <v/>
      </c>
      <c r="B98" s="4">
        <f>COUNTIF(RAW_Sessions!$A$2:$A$1201,ENTRY_Participants!$A98)</f>
        <v/>
      </c>
      <c r="C98" s="4">
        <f>IF(COUNTIFS(RAW_Sessions!$A$2:$A$1201,ENTRY_Participants!$A98,RAW_Sessions!$B$2:$B$1201,1)&gt;0,TRUE,FALSE)</f>
        <v/>
      </c>
      <c r="D98" s="4">
        <f>IF(B98=0,0,COUNTIFS(RAW_Sessions!$A$2:$A$1201,ENTRY_Participants!$A98,RAW_Sessions!$C$2:$C$1201,"&lt;="&amp;MINIFS(RAW_Sessions!$C$2:$C$1201,RAW_Sessions!$A$2:$A$1201,ENTRY_Participants!$A98)+RETURN_GAP_DAYS*FIVE_ATTEMPTS))</f>
        <v/>
      </c>
      <c r="E98" s="4">
        <f>IF(B98=0,FALSE,COUNTIFS(RAW_Sessions!$A$2:$A$1201,ENTRY_Participants!$A98,RAW_Sessions!$B$2:$B$1201,"&lt;="&amp;FIVE_ATTEMPTS)&gt;=FIVE_ATTEMPTS)</f>
        <v/>
      </c>
      <c r="F98" s="4">
        <f>IF(B98=0,FALSE,NOT(E98))</f>
        <v/>
      </c>
      <c r="G98" s="4">
        <f>IF(ENTRY_Observations!$B98="","",ENTRY_Observations!$B98)</f>
        <v/>
      </c>
      <c r="H98" s="4">
        <f>IF(ENTRY_Observations!$D98="","",ENTRY_Observations!$D98)</f>
        <v/>
      </c>
      <c r="I98" s="4">
        <f>IF(G98&lt;&gt;"",G98,F98)</f>
        <v/>
      </c>
      <c r="J98" s="4">
        <f>IF(H98&lt;&gt;"",H98,IF(I98=FALSE,FALSE,P98))</f>
        <v/>
      </c>
      <c r="K98" s="4">
        <f>IF(COUNTIF(RAW_Questionnaire!$A$2:$A$121,ENTRY_Participants!$A98)=0,"",IF(SUMIFS(RAW_Questionnaire!$I$2:$I$121,RAW_Questionnaire!$A$2:$A$121,ENTRY_Participants!$A98)&gt;=ENDORSE_THRESHOLD,TRUE,FALSE))</f>
        <v/>
      </c>
      <c r="L98" s="4">
        <f>IF(COUNTIF(RAW_Questionnaire!$A$2:$A$121,ENTRY_Participants!$A98)=0,"",IF(SUMIFS(RAW_Questionnaire!$J$2:$J$121,RAW_Questionnaire!$A$2:$A$121,ENTRY_Participants!$A98)&gt;=INTENT_THRESHOLD,TRUE,FALSE))</f>
        <v/>
      </c>
      <c r="M98" s="4">
        <f>IFERROR(LOOKUP(2,1/((RAW_Sessions!$A$2:$A$1201=ENTRY_Participants!$A98)*(RAW_Sessions!$M$2:$M$1201&lt;&gt;"")),RAW_Sessions!$M$2:$M$1201),"")</f>
        <v/>
      </c>
      <c r="N98" s="4">
        <f>IF(OR(M98="",ENTRY_Participants!$I98=""),"",M98-ENTRY_Participants!$I98)</f>
        <v/>
      </c>
    </row>
    <row r="99">
      <c r="A99">
        <f>ENTRY_Participants!$A99</f>
        <v/>
      </c>
      <c r="B99" s="4">
        <f>COUNTIF(RAW_Sessions!$A$2:$A$1201,ENTRY_Participants!$A99)</f>
        <v/>
      </c>
      <c r="C99" s="4">
        <f>IF(COUNTIFS(RAW_Sessions!$A$2:$A$1201,ENTRY_Participants!$A99,RAW_Sessions!$B$2:$B$1201,1)&gt;0,TRUE,FALSE)</f>
        <v/>
      </c>
      <c r="D99" s="4">
        <f>IF(B99=0,0,COUNTIFS(RAW_Sessions!$A$2:$A$1201,ENTRY_Participants!$A99,RAW_Sessions!$C$2:$C$1201,"&lt;="&amp;MINIFS(RAW_Sessions!$C$2:$C$1201,RAW_Sessions!$A$2:$A$1201,ENTRY_Participants!$A99)+RETURN_GAP_DAYS*FIVE_ATTEMPTS))</f>
        <v/>
      </c>
      <c r="E99" s="4">
        <f>IF(B99=0,FALSE,COUNTIFS(RAW_Sessions!$A$2:$A$1201,ENTRY_Participants!$A99,RAW_Sessions!$B$2:$B$1201,"&lt;="&amp;FIVE_ATTEMPTS)&gt;=FIVE_ATTEMPTS)</f>
        <v/>
      </c>
      <c r="F99" s="4">
        <f>IF(B99=0,FALSE,NOT(E99))</f>
        <v/>
      </c>
      <c r="G99" s="4">
        <f>IF(ENTRY_Observations!$B99="","",ENTRY_Observations!$B99)</f>
        <v/>
      </c>
      <c r="H99" s="4">
        <f>IF(ENTRY_Observations!$D99="","",ENTRY_Observations!$D99)</f>
        <v/>
      </c>
      <c r="I99" s="4">
        <f>IF(G99&lt;&gt;"",G99,F99)</f>
        <v/>
      </c>
      <c r="J99" s="4">
        <f>IF(H99&lt;&gt;"",H99,IF(I99=FALSE,FALSE,P99))</f>
        <v/>
      </c>
      <c r="K99" s="4">
        <f>IF(COUNTIF(RAW_Questionnaire!$A$2:$A$121,ENTRY_Participants!$A99)=0,"",IF(SUMIFS(RAW_Questionnaire!$I$2:$I$121,RAW_Questionnaire!$A$2:$A$121,ENTRY_Participants!$A99)&gt;=ENDORSE_THRESHOLD,TRUE,FALSE))</f>
        <v/>
      </c>
      <c r="L99" s="4">
        <f>IF(COUNTIF(RAW_Questionnaire!$A$2:$A$121,ENTRY_Participants!$A99)=0,"",IF(SUMIFS(RAW_Questionnaire!$J$2:$J$121,RAW_Questionnaire!$A$2:$A$121,ENTRY_Participants!$A99)&gt;=INTENT_THRESHOLD,TRUE,FALSE))</f>
        <v/>
      </c>
      <c r="M99" s="4">
        <f>IFERROR(LOOKUP(2,1/((RAW_Sessions!$A$2:$A$1201=ENTRY_Participants!$A99)*(RAW_Sessions!$M$2:$M$1201&lt;&gt;"")),RAW_Sessions!$M$2:$M$1201),"")</f>
        <v/>
      </c>
      <c r="N99" s="4">
        <f>IF(OR(M99="",ENTRY_Participants!$I99=""),"",M99-ENTRY_Participants!$I99)</f>
        <v/>
      </c>
    </row>
    <row r="100">
      <c r="A100">
        <f>ENTRY_Participants!$A100</f>
        <v/>
      </c>
      <c r="B100" s="4">
        <f>COUNTIF(RAW_Sessions!$A$2:$A$1201,ENTRY_Participants!$A100)</f>
        <v/>
      </c>
      <c r="C100" s="4">
        <f>IF(COUNTIFS(RAW_Sessions!$A$2:$A$1201,ENTRY_Participants!$A100,RAW_Sessions!$B$2:$B$1201,1)&gt;0,TRUE,FALSE)</f>
        <v/>
      </c>
      <c r="D100" s="4">
        <f>IF(B100=0,0,COUNTIFS(RAW_Sessions!$A$2:$A$1201,ENTRY_Participants!$A100,RAW_Sessions!$C$2:$C$1201,"&lt;="&amp;MINIFS(RAW_Sessions!$C$2:$C$1201,RAW_Sessions!$A$2:$A$1201,ENTRY_Participants!$A100)+RETURN_GAP_DAYS*FIVE_ATTEMPTS))</f>
        <v/>
      </c>
      <c r="E100" s="4">
        <f>IF(B100=0,FALSE,COUNTIFS(RAW_Sessions!$A$2:$A$1201,ENTRY_Participants!$A100,RAW_Sessions!$B$2:$B$1201,"&lt;="&amp;FIVE_ATTEMPTS)&gt;=FIVE_ATTEMPTS)</f>
        <v/>
      </c>
      <c r="F100" s="4">
        <f>IF(B100=0,FALSE,NOT(E100))</f>
        <v/>
      </c>
      <c r="G100" s="4">
        <f>IF(ENTRY_Observations!$B100="","",ENTRY_Observations!$B100)</f>
        <v/>
      </c>
      <c r="H100" s="4">
        <f>IF(ENTRY_Observations!$D100="","",ENTRY_Observations!$D100)</f>
        <v/>
      </c>
      <c r="I100" s="4">
        <f>IF(G100&lt;&gt;"",G100,F100)</f>
        <v/>
      </c>
      <c r="J100" s="4">
        <f>IF(H100&lt;&gt;"",H100,IF(I100=FALSE,FALSE,P100))</f>
        <v/>
      </c>
      <c r="K100" s="4">
        <f>IF(COUNTIF(RAW_Questionnaire!$A$2:$A$121,ENTRY_Participants!$A100)=0,"",IF(SUMIFS(RAW_Questionnaire!$I$2:$I$121,RAW_Questionnaire!$A$2:$A$121,ENTRY_Participants!$A100)&gt;=ENDORSE_THRESHOLD,TRUE,FALSE))</f>
        <v/>
      </c>
      <c r="L100" s="4">
        <f>IF(COUNTIF(RAW_Questionnaire!$A$2:$A$121,ENTRY_Participants!$A100)=0,"",IF(SUMIFS(RAW_Questionnaire!$J$2:$J$121,RAW_Questionnaire!$A$2:$A$121,ENTRY_Participants!$A100)&gt;=INTENT_THRESHOLD,TRUE,FALSE))</f>
        <v/>
      </c>
      <c r="M100" s="4">
        <f>IFERROR(LOOKUP(2,1/((RAW_Sessions!$A$2:$A$1201=ENTRY_Participants!$A100)*(RAW_Sessions!$M$2:$M$1201&lt;&gt;"")),RAW_Sessions!$M$2:$M$1201),"")</f>
        <v/>
      </c>
      <c r="N100" s="4">
        <f>IF(OR(M100="",ENTRY_Participants!$I100=""),"",M100-ENTRY_Participants!$I100)</f>
        <v/>
      </c>
    </row>
    <row r="101">
      <c r="A101">
        <f>ENTRY_Participants!$A101</f>
        <v/>
      </c>
      <c r="B101" s="4">
        <f>COUNTIF(RAW_Sessions!$A$2:$A$1201,ENTRY_Participants!$A101)</f>
        <v/>
      </c>
      <c r="C101" s="4">
        <f>IF(COUNTIFS(RAW_Sessions!$A$2:$A$1201,ENTRY_Participants!$A101,RAW_Sessions!$B$2:$B$1201,1)&gt;0,TRUE,FALSE)</f>
        <v/>
      </c>
      <c r="D101" s="4">
        <f>IF(B101=0,0,COUNTIFS(RAW_Sessions!$A$2:$A$1201,ENTRY_Participants!$A101,RAW_Sessions!$C$2:$C$1201,"&lt;="&amp;MINIFS(RAW_Sessions!$C$2:$C$1201,RAW_Sessions!$A$2:$A$1201,ENTRY_Participants!$A101)+RETURN_GAP_DAYS*FIVE_ATTEMPTS))</f>
        <v/>
      </c>
      <c r="E101" s="4">
        <f>IF(B101=0,FALSE,COUNTIFS(RAW_Sessions!$A$2:$A$1201,ENTRY_Participants!$A101,RAW_Sessions!$B$2:$B$1201,"&lt;="&amp;FIVE_ATTEMPTS)&gt;=FIVE_ATTEMPTS)</f>
        <v/>
      </c>
      <c r="F101" s="4">
        <f>IF(B101=0,FALSE,NOT(E101))</f>
        <v/>
      </c>
      <c r="G101" s="4">
        <f>IF(ENTRY_Observations!$B101="","",ENTRY_Observations!$B101)</f>
        <v/>
      </c>
      <c r="H101" s="4">
        <f>IF(ENTRY_Observations!$D101="","",ENTRY_Observations!$D101)</f>
        <v/>
      </c>
      <c r="I101" s="4">
        <f>IF(G101&lt;&gt;"",G101,F101)</f>
        <v/>
      </c>
      <c r="J101" s="4">
        <f>IF(H101&lt;&gt;"",H101,IF(I101=FALSE,FALSE,P101))</f>
        <v/>
      </c>
      <c r="K101" s="4">
        <f>IF(COUNTIF(RAW_Questionnaire!$A$2:$A$121,ENTRY_Participants!$A101)=0,"",IF(SUMIFS(RAW_Questionnaire!$I$2:$I$121,RAW_Questionnaire!$A$2:$A$121,ENTRY_Participants!$A101)&gt;=ENDORSE_THRESHOLD,TRUE,FALSE))</f>
        <v/>
      </c>
      <c r="L101" s="4">
        <f>IF(COUNTIF(RAW_Questionnaire!$A$2:$A$121,ENTRY_Participants!$A101)=0,"",IF(SUMIFS(RAW_Questionnaire!$J$2:$J$121,RAW_Questionnaire!$A$2:$A$121,ENTRY_Participants!$A101)&gt;=INTENT_THRESHOLD,TRUE,FALSE))</f>
        <v/>
      </c>
      <c r="M101" s="4">
        <f>IFERROR(LOOKUP(2,1/((RAW_Sessions!$A$2:$A$1201=ENTRY_Participants!$A101)*(RAW_Sessions!$M$2:$M$1201&lt;&gt;"")),RAW_Sessions!$M$2:$M$1201),"")</f>
        <v/>
      </c>
      <c r="N101" s="4">
        <f>IF(OR(M101="",ENTRY_Participants!$I101=""),"",M101-ENTRY_Participants!$I101)</f>
        <v/>
      </c>
    </row>
    <row r="102">
      <c r="A102">
        <f>ENTRY_Participants!$A102</f>
        <v/>
      </c>
      <c r="B102" s="4">
        <f>COUNTIF(RAW_Sessions!$A$2:$A$1201,ENTRY_Participants!$A102)</f>
        <v/>
      </c>
      <c r="C102" s="4">
        <f>IF(COUNTIFS(RAW_Sessions!$A$2:$A$1201,ENTRY_Participants!$A102,RAW_Sessions!$B$2:$B$1201,1)&gt;0,TRUE,FALSE)</f>
        <v/>
      </c>
      <c r="D102" s="4">
        <f>IF(B102=0,0,COUNTIFS(RAW_Sessions!$A$2:$A$1201,ENTRY_Participants!$A102,RAW_Sessions!$C$2:$C$1201,"&lt;="&amp;MINIFS(RAW_Sessions!$C$2:$C$1201,RAW_Sessions!$A$2:$A$1201,ENTRY_Participants!$A102)+RETURN_GAP_DAYS*FIVE_ATTEMPTS))</f>
        <v/>
      </c>
      <c r="E102" s="4">
        <f>IF(B102=0,FALSE,COUNTIFS(RAW_Sessions!$A$2:$A$1201,ENTRY_Participants!$A102,RAW_Sessions!$B$2:$B$1201,"&lt;="&amp;FIVE_ATTEMPTS)&gt;=FIVE_ATTEMPTS)</f>
        <v/>
      </c>
      <c r="F102" s="4">
        <f>IF(B102=0,FALSE,NOT(E102))</f>
        <v/>
      </c>
      <c r="G102" s="4">
        <f>IF(ENTRY_Observations!$B102="","",ENTRY_Observations!$B102)</f>
        <v/>
      </c>
      <c r="H102" s="4">
        <f>IF(ENTRY_Observations!$D102="","",ENTRY_Observations!$D102)</f>
        <v/>
      </c>
      <c r="I102" s="4">
        <f>IF(G102&lt;&gt;"",G102,F102)</f>
        <v/>
      </c>
      <c r="J102" s="4">
        <f>IF(H102&lt;&gt;"",H102,IF(I102=FALSE,FALSE,P102))</f>
        <v/>
      </c>
      <c r="K102" s="4">
        <f>IF(COUNTIF(RAW_Questionnaire!$A$2:$A$121,ENTRY_Participants!$A102)=0,"",IF(SUMIFS(RAW_Questionnaire!$I$2:$I$121,RAW_Questionnaire!$A$2:$A$121,ENTRY_Participants!$A102)&gt;=ENDORSE_THRESHOLD,TRUE,FALSE))</f>
        <v/>
      </c>
      <c r="L102" s="4">
        <f>IF(COUNTIF(RAW_Questionnaire!$A$2:$A$121,ENTRY_Participants!$A102)=0,"",IF(SUMIFS(RAW_Questionnaire!$J$2:$J$121,RAW_Questionnaire!$A$2:$A$121,ENTRY_Participants!$A102)&gt;=INTENT_THRESHOLD,TRUE,FALSE))</f>
        <v/>
      </c>
      <c r="M102" s="4">
        <f>IFERROR(LOOKUP(2,1/((RAW_Sessions!$A$2:$A$1201=ENTRY_Participants!$A102)*(RAW_Sessions!$M$2:$M$1201&lt;&gt;"")),RAW_Sessions!$M$2:$M$1201),"")</f>
        <v/>
      </c>
      <c r="N102" s="4">
        <f>IF(OR(M102="",ENTRY_Participants!$I102=""),"",M102-ENTRY_Participants!$I102)</f>
        <v/>
      </c>
    </row>
    <row r="103">
      <c r="A103">
        <f>ENTRY_Participants!$A103</f>
        <v/>
      </c>
      <c r="B103" s="4">
        <f>COUNTIF(RAW_Sessions!$A$2:$A$1201,ENTRY_Participants!$A103)</f>
        <v/>
      </c>
      <c r="C103" s="4">
        <f>IF(COUNTIFS(RAW_Sessions!$A$2:$A$1201,ENTRY_Participants!$A103,RAW_Sessions!$B$2:$B$1201,1)&gt;0,TRUE,FALSE)</f>
        <v/>
      </c>
      <c r="D103" s="4">
        <f>IF(B103=0,0,COUNTIFS(RAW_Sessions!$A$2:$A$1201,ENTRY_Participants!$A103,RAW_Sessions!$C$2:$C$1201,"&lt;="&amp;MINIFS(RAW_Sessions!$C$2:$C$1201,RAW_Sessions!$A$2:$A$1201,ENTRY_Participants!$A103)+RETURN_GAP_DAYS*FIVE_ATTEMPTS))</f>
        <v/>
      </c>
      <c r="E103" s="4">
        <f>IF(B103=0,FALSE,COUNTIFS(RAW_Sessions!$A$2:$A$1201,ENTRY_Participants!$A103,RAW_Sessions!$B$2:$B$1201,"&lt;="&amp;FIVE_ATTEMPTS)&gt;=FIVE_ATTEMPTS)</f>
        <v/>
      </c>
      <c r="F103" s="4">
        <f>IF(B103=0,FALSE,NOT(E103))</f>
        <v/>
      </c>
      <c r="G103" s="4">
        <f>IF(ENTRY_Observations!$B103="","",ENTRY_Observations!$B103)</f>
        <v/>
      </c>
      <c r="H103" s="4">
        <f>IF(ENTRY_Observations!$D103="","",ENTRY_Observations!$D103)</f>
        <v/>
      </c>
      <c r="I103" s="4">
        <f>IF(G103&lt;&gt;"",G103,F103)</f>
        <v/>
      </c>
      <c r="J103" s="4">
        <f>IF(H103&lt;&gt;"",H103,IF(I103=FALSE,FALSE,P103))</f>
        <v/>
      </c>
      <c r="K103" s="4">
        <f>IF(COUNTIF(RAW_Questionnaire!$A$2:$A$121,ENTRY_Participants!$A103)=0,"",IF(SUMIFS(RAW_Questionnaire!$I$2:$I$121,RAW_Questionnaire!$A$2:$A$121,ENTRY_Participants!$A103)&gt;=ENDORSE_THRESHOLD,TRUE,FALSE))</f>
        <v/>
      </c>
      <c r="L103" s="4">
        <f>IF(COUNTIF(RAW_Questionnaire!$A$2:$A$121,ENTRY_Participants!$A103)=0,"",IF(SUMIFS(RAW_Questionnaire!$J$2:$J$121,RAW_Questionnaire!$A$2:$A$121,ENTRY_Participants!$A103)&gt;=INTENT_THRESHOLD,TRUE,FALSE))</f>
        <v/>
      </c>
      <c r="M103" s="4">
        <f>IFERROR(LOOKUP(2,1/((RAW_Sessions!$A$2:$A$1201=ENTRY_Participants!$A103)*(RAW_Sessions!$M$2:$M$1201&lt;&gt;"")),RAW_Sessions!$M$2:$M$1201),"")</f>
        <v/>
      </c>
      <c r="N103" s="4">
        <f>IF(OR(M103="",ENTRY_Participants!$I103=""),"",M103-ENTRY_Participants!$I103)</f>
        <v/>
      </c>
    </row>
    <row r="104">
      <c r="A104">
        <f>ENTRY_Participants!$A104</f>
        <v/>
      </c>
      <c r="B104" s="4">
        <f>COUNTIF(RAW_Sessions!$A$2:$A$1201,ENTRY_Participants!$A104)</f>
        <v/>
      </c>
      <c r="C104" s="4">
        <f>IF(COUNTIFS(RAW_Sessions!$A$2:$A$1201,ENTRY_Participants!$A104,RAW_Sessions!$B$2:$B$1201,1)&gt;0,TRUE,FALSE)</f>
        <v/>
      </c>
      <c r="D104" s="4">
        <f>IF(B104=0,0,COUNTIFS(RAW_Sessions!$A$2:$A$1201,ENTRY_Participants!$A104,RAW_Sessions!$C$2:$C$1201,"&lt;="&amp;MINIFS(RAW_Sessions!$C$2:$C$1201,RAW_Sessions!$A$2:$A$1201,ENTRY_Participants!$A104)+RETURN_GAP_DAYS*FIVE_ATTEMPTS))</f>
        <v/>
      </c>
      <c r="E104" s="4">
        <f>IF(B104=0,FALSE,COUNTIFS(RAW_Sessions!$A$2:$A$1201,ENTRY_Participants!$A104,RAW_Sessions!$B$2:$B$1201,"&lt;="&amp;FIVE_ATTEMPTS)&gt;=FIVE_ATTEMPTS)</f>
        <v/>
      </c>
      <c r="F104" s="4">
        <f>IF(B104=0,FALSE,NOT(E104))</f>
        <v/>
      </c>
      <c r="G104" s="4">
        <f>IF(ENTRY_Observations!$B104="","",ENTRY_Observations!$B104)</f>
        <v/>
      </c>
      <c r="H104" s="4">
        <f>IF(ENTRY_Observations!$D104="","",ENTRY_Observations!$D104)</f>
        <v/>
      </c>
      <c r="I104" s="4">
        <f>IF(G104&lt;&gt;"",G104,F104)</f>
        <v/>
      </c>
      <c r="J104" s="4">
        <f>IF(H104&lt;&gt;"",H104,IF(I104=FALSE,FALSE,P104))</f>
        <v/>
      </c>
      <c r="K104" s="4">
        <f>IF(COUNTIF(RAW_Questionnaire!$A$2:$A$121,ENTRY_Participants!$A104)=0,"",IF(SUMIFS(RAW_Questionnaire!$I$2:$I$121,RAW_Questionnaire!$A$2:$A$121,ENTRY_Participants!$A104)&gt;=ENDORSE_THRESHOLD,TRUE,FALSE))</f>
        <v/>
      </c>
      <c r="L104" s="4">
        <f>IF(COUNTIF(RAW_Questionnaire!$A$2:$A$121,ENTRY_Participants!$A104)=0,"",IF(SUMIFS(RAW_Questionnaire!$J$2:$J$121,RAW_Questionnaire!$A$2:$A$121,ENTRY_Participants!$A104)&gt;=INTENT_THRESHOLD,TRUE,FALSE))</f>
        <v/>
      </c>
      <c r="M104" s="4">
        <f>IFERROR(LOOKUP(2,1/((RAW_Sessions!$A$2:$A$1201=ENTRY_Participants!$A104)*(RAW_Sessions!$M$2:$M$1201&lt;&gt;"")),RAW_Sessions!$M$2:$M$1201),"")</f>
        <v/>
      </c>
      <c r="N104" s="4">
        <f>IF(OR(M104="",ENTRY_Participants!$I104=""),"",M104-ENTRY_Participants!$I104)</f>
        <v/>
      </c>
    </row>
    <row r="105">
      <c r="A105">
        <f>ENTRY_Participants!$A105</f>
        <v/>
      </c>
      <c r="B105" s="4">
        <f>COUNTIF(RAW_Sessions!$A$2:$A$1201,ENTRY_Participants!$A105)</f>
        <v/>
      </c>
      <c r="C105" s="4">
        <f>IF(COUNTIFS(RAW_Sessions!$A$2:$A$1201,ENTRY_Participants!$A105,RAW_Sessions!$B$2:$B$1201,1)&gt;0,TRUE,FALSE)</f>
        <v/>
      </c>
      <c r="D105" s="4">
        <f>IF(B105=0,0,COUNTIFS(RAW_Sessions!$A$2:$A$1201,ENTRY_Participants!$A105,RAW_Sessions!$C$2:$C$1201,"&lt;="&amp;MINIFS(RAW_Sessions!$C$2:$C$1201,RAW_Sessions!$A$2:$A$1201,ENTRY_Participants!$A105)+RETURN_GAP_DAYS*FIVE_ATTEMPTS))</f>
        <v/>
      </c>
      <c r="E105" s="4">
        <f>IF(B105=0,FALSE,COUNTIFS(RAW_Sessions!$A$2:$A$1201,ENTRY_Participants!$A105,RAW_Sessions!$B$2:$B$1201,"&lt;="&amp;FIVE_ATTEMPTS)&gt;=FIVE_ATTEMPTS)</f>
        <v/>
      </c>
      <c r="F105" s="4">
        <f>IF(B105=0,FALSE,NOT(E105))</f>
        <v/>
      </c>
      <c r="G105" s="4">
        <f>IF(ENTRY_Observations!$B105="","",ENTRY_Observations!$B105)</f>
        <v/>
      </c>
      <c r="H105" s="4">
        <f>IF(ENTRY_Observations!$D105="","",ENTRY_Observations!$D105)</f>
        <v/>
      </c>
      <c r="I105" s="4">
        <f>IF(G105&lt;&gt;"",G105,F105)</f>
        <v/>
      </c>
      <c r="J105" s="4">
        <f>IF(H105&lt;&gt;"",H105,IF(I105=FALSE,FALSE,P105))</f>
        <v/>
      </c>
      <c r="K105" s="4">
        <f>IF(COUNTIF(RAW_Questionnaire!$A$2:$A$121,ENTRY_Participants!$A105)=0,"",IF(SUMIFS(RAW_Questionnaire!$I$2:$I$121,RAW_Questionnaire!$A$2:$A$121,ENTRY_Participants!$A105)&gt;=ENDORSE_THRESHOLD,TRUE,FALSE))</f>
        <v/>
      </c>
      <c r="L105" s="4">
        <f>IF(COUNTIF(RAW_Questionnaire!$A$2:$A$121,ENTRY_Participants!$A105)=0,"",IF(SUMIFS(RAW_Questionnaire!$J$2:$J$121,RAW_Questionnaire!$A$2:$A$121,ENTRY_Participants!$A105)&gt;=INTENT_THRESHOLD,TRUE,FALSE))</f>
        <v/>
      </c>
      <c r="M105" s="4">
        <f>IFERROR(LOOKUP(2,1/((RAW_Sessions!$A$2:$A$1201=ENTRY_Participants!$A105)*(RAW_Sessions!$M$2:$M$1201&lt;&gt;"")),RAW_Sessions!$M$2:$M$1201),"")</f>
        <v/>
      </c>
      <c r="N105" s="4">
        <f>IF(OR(M105="",ENTRY_Participants!$I105=""),"",M105-ENTRY_Participants!$I105)</f>
        <v/>
      </c>
    </row>
    <row r="106">
      <c r="A106">
        <f>ENTRY_Participants!$A106</f>
        <v/>
      </c>
      <c r="B106" s="4">
        <f>COUNTIF(RAW_Sessions!$A$2:$A$1201,ENTRY_Participants!$A106)</f>
        <v/>
      </c>
      <c r="C106" s="4">
        <f>IF(COUNTIFS(RAW_Sessions!$A$2:$A$1201,ENTRY_Participants!$A106,RAW_Sessions!$B$2:$B$1201,1)&gt;0,TRUE,FALSE)</f>
        <v/>
      </c>
      <c r="D106" s="4">
        <f>IF(B106=0,0,COUNTIFS(RAW_Sessions!$A$2:$A$1201,ENTRY_Participants!$A106,RAW_Sessions!$C$2:$C$1201,"&lt;="&amp;MINIFS(RAW_Sessions!$C$2:$C$1201,RAW_Sessions!$A$2:$A$1201,ENTRY_Participants!$A106)+RETURN_GAP_DAYS*FIVE_ATTEMPTS))</f>
        <v/>
      </c>
      <c r="E106" s="4">
        <f>IF(B106=0,FALSE,COUNTIFS(RAW_Sessions!$A$2:$A$1201,ENTRY_Participants!$A106,RAW_Sessions!$B$2:$B$1201,"&lt;="&amp;FIVE_ATTEMPTS)&gt;=FIVE_ATTEMPTS)</f>
        <v/>
      </c>
      <c r="F106" s="4">
        <f>IF(B106=0,FALSE,NOT(E106))</f>
        <v/>
      </c>
      <c r="G106" s="4">
        <f>IF(ENTRY_Observations!$B106="","",ENTRY_Observations!$B106)</f>
        <v/>
      </c>
      <c r="H106" s="4">
        <f>IF(ENTRY_Observations!$D106="","",ENTRY_Observations!$D106)</f>
        <v/>
      </c>
      <c r="I106" s="4">
        <f>IF(G106&lt;&gt;"",G106,F106)</f>
        <v/>
      </c>
      <c r="J106" s="4">
        <f>IF(H106&lt;&gt;"",H106,IF(I106=FALSE,FALSE,P106))</f>
        <v/>
      </c>
      <c r="K106" s="4">
        <f>IF(COUNTIF(RAW_Questionnaire!$A$2:$A$121,ENTRY_Participants!$A106)=0,"",IF(SUMIFS(RAW_Questionnaire!$I$2:$I$121,RAW_Questionnaire!$A$2:$A$121,ENTRY_Participants!$A106)&gt;=ENDORSE_THRESHOLD,TRUE,FALSE))</f>
        <v/>
      </c>
      <c r="L106" s="4">
        <f>IF(COUNTIF(RAW_Questionnaire!$A$2:$A$121,ENTRY_Participants!$A106)=0,"",IF(SUMIFS(RAW_Questionnaire!$J$2:$J$121,RAW_Questionnaire!$A$2:$A$121,ENTRY_Participants!$A106)&gt;=INTENT_THRESHOLD,TRUE,FALSE))</f>
        <v/>
      </c>
      <c r="M106" s="4">
        <f>IFERROR(LOOKUP(2,1/((RAW_Sessions!$A$2:$A$1201=ENTRY_Participants!$A106)*(RAW_Sessions!$M$2:$M$1201&lt;&gt;"")),RAW_Sessions!$M$2:$M$1201),"")</f>
        <v/>
      </c>
      <c r="N106" s="4">
        <f>IF(OR(M106="",ENTRY_Participants!$I106=""),"",M106-ENTRY_Participants!$I106)</f>
        <v/>
      </c>
    </row>
    <row r="107">
      <c r="A107">
        <f>ENTRY_Participants!$A107</f>
        <v/>
      </c>
      <c r="B107" s="4">
        <f>COUNTIF(RAW_Sessions!$A$2:$A$1201,ENTRY_Participants!$A107)</f>
        <v/>
      </c>
      <c r="C107" s="4">
        <f>IF(COUNTIFS(RAW_Sessions!$A$2:$A$1201,ENTRY_Participants!$A107,RAW_Sessions!$B$2:$B$1201,1)&gt;0,TRUE,FALSE)</f>
        <v/>
      </c>
      <c r="D107" s="4">
        <f>IF(B107=0,0,COUNTIFS(RAW_Sessions!$A$2:$A$1201,ENTRY_Participants!$A107,RAW_Sessions!$C$2:$C$1201,"&lt;="&amp;MINIFS(RAW_Sessions!$C$2:$C$1201,RAW_Sessions!$A$2:$A$1201,ENTRY_Participants!$A107)+RETURN_GAP_DAYS*FIVE_ATTEMPTS))</f>
        <v/>
      </c>
      <c r="E107" s="4">
        <f>IF(B107=0,FALSE,COUNTIFS(RAW_Sessions!$A$2:$A$1201,ENTRY_Participants!$A107,RAW_Sessions!$B$2:$B$1201,"&lt;="&amp;FIVE_ATTEMPTS)&gt;=FIVE_ATTEMPTS)</f>
        <v/>
      </c>
      <c r="F107" s="4">
        <f>IF(B107=0,FALSE,NOT(E107))</f>
        <v/>
      </c>
      <c r="G107" s="4">
        <f>IF(ENTRY_Observations!$B107="","",ENTRY_Observations!$B107)</f>
        <v/>
      </c>
      <c r="H107" s="4">
        <f>IF(ENTRY_Observations!$D107="","",ENTRY_Observations!$D107)</f>
        <v/>
      </c>
      <c r="I107" s="4">
        <f>IF(G107&lt;&gt;"",G107,F107)</f>
        <v/>
      </c>
      <c r="J107" s="4">
        <f>IF(H107&lt;&gt;"",H107,IF(I107=FALSE,FALSE,P107))</f>
        <v/>
      </c>
      <c r="K107" s="4">
        <f>IF(COUNTIF(RAW_Questionnaire!$A$2:$A$121,ENTRY_Participants!$A107)=0,"",IF(SUMIFS(RAW_Questionnaire!$I$2:$I$121,RAW_Questionnaire!$A$2:$A$121,ENTRY_Participants!$A107)&gt;=ENDORSE_THRESHOLD,TRUE,FALSE))</f>
        <v/>
      </c>
      <c r="L107" s="4">
        <f>IF(COUNTIF(RAW_Questionnaire!$A$2:$A$121,ENTRY_Participants!$A107)=0,"",IF(SUMIFS(RAW_Questionnaire!$J$2:$J$121,RAW_Questionnaire!$A$2:$A$121,ENTRY_Participants!$A107)&gt;=INTENT_THRESHOLD,TRUE,FALSE))</f>
        <v/>
      </c>
      <c r="M107" s="4">
        <f>IFERROR(LOOKUP(2,1/((RAW_Sessions!$A$2:$A$1201=ENTRY_Participants!$A107)*(RAW_Sessions!$M$2:$M$1201&lt;&gt;"")),RAW_Sessions!$M$2:$M$1201),"")</f>
        <v/>
      </c>
      <c r="N107" s="4">
        <f>IF(OR(M107="",ENTRY_Participants!$I107=""),"",M107-ENTRY_Participants!$I107)</f>
        <v/>
      </c>
    </row>
    <row r="108">
      <c r="A108">
        <f>ENTRY_Participants!$A108</f>
        <v/>
      </c>
      <c r="B108" s="4">
        <f>COUNTIF(RAW_Sessions!$A$2:$A$1201,ENTRY_Participants!$A108)</f>
        <v/>
      </c>
      <c r="C108" s="4">
        <f>IF(COUNTIFS(RAW_Sessions!$A$2:$A$1201,ENTRY_Participants!$A108,RAW_Sessions!$B$2:$B$1201,1)&gt;0,TRUE,FALSE)</f>
        <v/>
      </c>
      <c r="D108" s="4">
        <f>IF(B108=0,0,COUNTIFS(RAW_Sessions!$A$2:$A$1201,ENTRY_Participants!$A108,RAW_Sessions!$C$2:$C$1201,"&lt;="&amp;MINIFS(RAW_Sessions!$C$2:$C$1201,RAW_Sessions!$A$2:$A$1201,ENTRY_Participants!$A108)+RETURN_GAP_DAYS*FIVE_ATTEMPTS))</f>
        <v/>
      </c>
      <c r="E108" s="4">
        <f>IF(B108=0,FALSE,COUNTIFS(RAW_Sessions!$A$2:$A$1201,ENTRY_Participants!$A108,RAW_Sessions!$B$2:$B$1201,"&lt;="&amp;FIVE_ATTEMPTS)&gt;=FIVE_ATTEMPTS)</f>
        <v/>
      </c>
      <c r="F108" s="4">
        <f>IF(B108=0,FALSE,NOT(E108))</f>
        <v/>
      </c>
      <c r="G108" s="4">
        <f>IF(ENTRY_Observations!$B108="","",ENTRY_Observations!$B108)</f>
        <v/>
      </c>
      <c r="H108" s="4">
        <f>IF(ENTRY_Observations!$D108="","",ENTRY_Observations!$D108)</f>
        <v/>
      </c>
      <c r="I108" s="4">
        <f>IF(G108&lt;&gt;"",G108,F108)</f>
        <v/>
      </c>
      <c r="J108" s="4">
        <f>IF(H108&lt;&gt;"",H108,IF(I108=FALSE,FALSE,P108))</f>
        <v/>
      </c>
      <c r="K108" s="4">
        <f>IF(COUNTIF(RAW_Questionnaire!$A$2:$A$121,ENTRY_Participants!$A108)=0,"",IF(SUMIFS(RAW_Questionnaire!$I$2:$I$121,RAW_Questionnaire!$A$2:$A$121,ENTRY_Participants!$A108)&gt;=ENDORSE_THRESHOLD,TRUE,FALSE))</f>
        <v/>
      </c>
      <c r="L108" s="4">
        <f>IF(COUNTIF(RAW_Questionnaire!$A$2:$A$121,ENTRY_Participants!$A108)=0,"",IF(SUMIFS(RAW_Questionnaire!$J$2:$J$121,RAW_Questionnaire!$A$2:$A$121,ENTRY_Participants!$A108)&gt;=INTENT_THRESHOLD,TRUE,FALSE))</f>
        <v/>
      </c>
      <c r="M108" s="4">
        <f>IFERROR(LOOKUP(2,1/((RAW_Sessions!$A$2:$A$1201=ENTRY_Participants!$A108)*(RAW_Sessions!$M$2:$M$1201&lt;&gt;"")),RAW_Sessions!$M$2:$M$1201),"")</f>
        <v/>
      </c>
      <c r="N108" s="4">
        <f>IF(OR(M108="",ENTRY_Participants!$I108=""),"",M108-ENTRY_Participants!$I108)</f>
        <v/>
      </c>
    </row>
    <row r="109">
      <c r="A109">
        <f>ENTRY_Participants!$A109</f>
        <v/>
      </c>
      <c r="B109" s="4">
        <f>COUNTIF(RAW_Sessions!$A$2:$A$1201,ENTRY_Participants!$A109)</f>
        <v/>
      </c>
      <c r="C109" s="4">
        <f>IF(COUNTIFS(RAW_Sessions!$A$2:$A$1201,ENTRY_Participants!$A109,RAW_Sessions!$B$2:$B$1201,1)&gt;0,TRUE,FALSE)</f>
        <v/>
      </c>
      <c r="D109" s="4">
        <f>IF(B109=0,0,COUNTIFS(RAW_Sessions!$A$2:$A$1201,ENTRY_Participants!$A109,RAW_Sessions!$C$2:$C$1201,"&lt;="&amp;MINIFS(RAW_Sessions!$C$2:$C$1201,RAW_Sessions!$A$2:$A$1201,ENTRY_Participants!$A109)+RETURN_GAP_DAYS*FIVE_ATTEMPTS))</f>
        <v/>
      </c>
      <c r="E109" s="4">
        <f>IF(B109=0,FALSE,COUNTIFS(RAW_Sessions!$A$2:$A$1201,ENTRY_Participants!$A109,RAW_Sessions!$B$2:$B$1201,"&lt;="&amp;FIVE_ATTEMPTS)&gt;=FIVE_ATTEMPTS)</f>
        <v/>
      </c>
      <c r="F109" s="4">
        <f>IF(B109=0,FALSE,NOT(E109))</f>
        <v/>
      </c>
      <c r="G109" s="4">
        <f>IF(ENTRY_Observations!$B109="","",ENTRY_Observations!$B109)</f>
        <v/>
      </c>
      <c r="H109" s="4">
        <f>IF(ENTRY_Observations!$D109="","",ENTRY_Observations!$D109)</f>
        <v/>
      </c>
      <c r="I109" s="4">
        <f>IF(G109&lt;&gt;"",G109,F109)</f>
        <v/>
      </c>
      <c r="J109" s="4">
        <f>IF(H109&lt;&gt;"",H109,IF(I109=FALSE,FALSE,P109))</f>
        <v/>
      </c>
      <c r="K109" s="4">
        <f>IF(COUNTIF(RAW_Questionnaire!$A$2:$A$121,ENTRY_Participants!$A109)=0,"",IF(SUMIFS(RAW_Questionnaire!$I$2:$I$121,RAW_Questionnaire!$A$2:$A$121,ENTRY_Participants!$A109)&gt;=ENDORSE_THRESHOLD,TRUE,FALSE))</f>
        <v/>
      </c>
      <c r="L109" s="4">
        <f>IF(COUNTIF(RAW_Questionnaire!$A$2:$A$121,ENTRY_Participants!$A109)=0,"",IF(SUMIFS(RAW_Questionnaire!$J$2:$J$121,RAW_Questionnaire!$A$2:$A$121,ENTRY_Participants!$A109)&gt;=INTENT_THRESHOLD,TRUE,FALSE))</f>
        <v/>
      </c>
      <c r="M109" s="4">
        <f>IFERROR(LOOKUP(2,1/((RAW_Sessions!$A$2:$A$1201=ENTRY_Participants!$A109)*(RAW_Sessions!$M$2:$M$1201&lt;&gt;"")),RAW_Sessions!$M$2:$M$1201),"")</f>
        <v/>
      </c>
      <c r="N109" s="4">
        <f>IF(OR(M109="",ENTRY_Participants!$I109=""),"",M109-ENTRY_Participants!$I109)</f>
        <v/>
      </c>
    </row>
    <row r="110">
      <c r="A110">
        <f>ENTRY_Participants!$A110</f>
        <v/>
      </c>
      <c r="B110" s="4">
        <f>COUNTIF(RAW_Sessions!$A$2:$A$1201,ENTRY_Participants!$A110)</f>
        <v/>
      </c>
      <c r="C110" s="4">
        <f>IF(COUNTIFS(RAW_Sessions!$A$2:$A$1201,ENTRY_Participants!$A110,RAW_Sessions!$B$2:$B$1201,1)&gt;0,TRUE,FALSE)</f>
        <v/>
      </c>
      <c r="D110" s="4">
        <f>IF(B110=0,0,COUNTIFS(RAW_Sessions!$A$2:$A$1201,ENTRY_Participants!$A110,RAW_Sessions!$C$2:$C$1201,"&lt;="&amp;MINIFS(RAW_Sessions!$C$2:$C$1201,RAW_Sessions!$A$2:$A$1201,ENTRY_Participants!$A110)+RETURN_GAP_DAYS*FIVE_ATTEMPTS))</f>
        <v/>
      </c>
      <c r="E110" s="4">
        <f>IF(B110=0,FALSE,COUNTIFS(RAW_Sessions!$A$2:$A$1201,ENTRY_Participants!$A110,RAW_Sessions!$B$2:$B$1201,"&lt;="&amp;FIVE_ATTEMPTS)&gt;=FIVE_ATTEMPTS)</f>
        <v/>
      </c>
      <c r="F110" s="4">
        <f>IF(B110=0,FALSE,NOT(E110))</f>
        <v/>
      </c>
      <c r="G110" s="4">
        <f>IF(ENTRY_Observations!$B110="","",ENTRY_Observations!$B110)</f>
        <v/>
      </c>
      <c r="H110" s="4">
        <f>IF(ENTRY_Observations!$D110="","",ENTRY_Observations!$D110)</f>
        <v/>
      </c>
      <c r="I110" s="4">
        <f>IF(G110&lt;&gt;"",G110,F110)</f>
        <v/>
      </c>
      <c r="J110" s="4">
        <f>IF(H110&lt;&gt;"",H110,IF(I110=FALSE,FALSE,P110))</f>
        <v/>
      </c>
      <c r="K110" s="4">
        <f>IF(COUNTIF(RAW_Questionnaire!$A$2:$A$121,ENTRY_Participants!$A110)=0,"",IF(SUMIFS(RAW_Questionnaire!$I$2:$I$121,RAW_Questionnaire!$A$2:$A$121,ENTRY_Participants!$A110)&gt;=ENDORSE_THRESHOLD,TRUE,FALSE))</f>
        <v/>
      </c>
      <c r="L110" s="4">
        <f>IF(COUNTIF(RAW_Questionnaire!$A$2:$A$121,ENTRY_Participants!$A110)=0,"",IF(SUMIFS(RAW_Questionnaire!$J$2:$J$121,RAW_Questionnaire!$A$2:$A$121,ENTRY_Participants!$A110)&gt;=INTENT_THRESHOLD,TRUE,FALSE))</f>
        <v/>
      </c>
      <c r="M110" s="4">
        <f>IFERROR(LOOKUP(2,1/((RAW_Sessions!$A$2:$A$1201=ENTRY_Participants!$A110)*(RAW_Sessions!$M$2:$M$1201&lt;&gt;"")),RAW_Sessions!$M$2:$M$1201),"")</f>
        <v/>
      </c>
      <c r="N110" s="4">
        <f>IF(OR(M110="",ENTRY_Participants!$I110=""),"",M110-ENTRY_Participants!$I110)</f>
        <v/>
      </c>
    </row>
    <row r="111">
      <c r="A111">
        <f>ENTRY_Participants!$A111</f>
        <v/>
      </c>
      <c r="B111" s="4">
        <f>COUNTIF(RAW_Sessions!$A$2:$A$1201,ENTRY_Participants!$A111)</f>
        <v/>
      </c>
      <c r="C111" s="4">
        <f>IF(COUNTIFS(RAW_Sessions!$A$2:$A$1201,ENTRY_Participants!$A111,RAW_Sessions!$B$2:$B$1201,1)&gt;0,TRUE,FALSE)</f>
        <v/>
      </c>
      <c r="D111" s="4">
        <f>IF(B111=0,0,COUNTIFS(RAW_Sessions!$A$2:$A$1201,ENTRY_Participants!$A111,RAW_Sessions!$C$2:$C$1201,"&lt;="&amp;MINIFS(RAW_Sessions!$C$2:$C$1201,RAW_Sessions!$A$2:$A$1201,ENTRY_Participants!$A111)+RETURN_GAP_DAYS*FIVE_ATTEMPTS))</f>
        <v/>
      </c>
      <c r="E111" s="4">
        <f>IF(B111=0,FALSE,COUNTIFS(RAW_Sessions!$A$2:$A$1201,ENTRY_Participants!$A111,RAW_Sessions!$B$2:$B$1201,"&lt;="&amp;FIVE_ATTEMPTS)&gt;=FIVE_ATTEMPTS)</f>
        <v/>
      </c>
      <c r="F111" s="4">
        <f>IF(B111=0,FALSE,NOT(E111))</f>
        <v/>
      </c>
      <c r="G111" s="4">
        <f>IF(ENTRY_Observations!$B111="","",ENTRY_Observations!$B111)</f>
        <v/>
      </c>
      <c r="H111" s="4">
        <f>IF(ENTRY_Observations!$D111="","",ENTRY_Observations!$D111)</f>
        <v/>
      </c>
      <c r="I111" s="4">
        <f>IF(G111&lt;&gt;"",G111,F111)</f>
        <v/>
      </c>
      <c r="J111" s="4">
        <f>IF(H111&lt;&gt;"",H111,IF(I111=FALSE,FALSE,P111))</f>
        <v/>
      </c>
      <c r="K111" s="4">
        <f>IF(COUNTIF(RAW_Questionnaire!$A$2:$A$121,ENTRY_Participants!$A111)=0,"",IF(SUMIFS(RAW_Questionnaire!$I$2:$I$121,RAW_Questionnaire!$A$2:$A$121,ENTRY_Participants!$A111)&gt;=ENDORSE_THRESHOLD,TRUE,FALSE))</f>
        <v/>
      </c>
      <c r="L111" s="4">
        <f>IF(COUNTIF(RAW_Questionnaire!$A$2:$A$121,ENTRY_Participants!$A111)=0,"",IF(SUMIFS(RAW_Questionnaire!$J$2:$J$121,RAW_Questionnaire!$A$2:$A$121,ENTRY_Participants!$A111)&gt;=INTENT_THRESHOLD,TRUE,FALSE))</f>
        <v/>
      </c>
      <c r="M111" s="4">
        <f>IFERROR(LOOKUP(2,1/((RAW_Sessions!$A$2:$A$1201=ENTRY_Participants!$A111)*(RAW_Sessions!$M$2:$M$1201&lt;&gt;"")),RAW_Sessions!$M$2:$M$1201),"")</f>
        <v/>
      </c>
      <c r="N111" s="4">
        <f>IF(OR(M111="",ENTRY_Participants!$I111=""),"",M111-ENTRY_Participants!$I111)</f>
        <v/>
      </c>
    </row>
    <row r="112">
      <c r="A112">
        <f>ENTRY_Participants!$A112</f>
        <v/>
      </c>
      <c r="B112" s="4">
        <f>COUNTIF(RAW_Sessions!$A$2:$A$1201,ENTRY_Participants!$A112)</f>
        <v/>
      </c>
      <c r="C112" s="4">
        <f>IF(COUNTIFS(RAW_Sessions!$A$2:$A$1201,ENTRY_Participants!$A112,RAW_Sessions!$B$2:$B$1201,1)&gt;0,TRUE,FALSE)</f>
        <v/>
      </c>
      <c r="D112" s="4">
        <f>IF(B112=0,0,COUNTIFS(RAW_Sessions!$A$2:$A$1201,ENTRY_Participants!$A112,RAW_Sessions!$C$2:$C$1201,"&lt;="&amp;MINIFS(RAW_Sessions!$C$2:$C$1201,RAW_Sessions!$A$2:$A$1201,ENTRY_Participants!$A112)+RETURN_GAP_DAYS*FIVE_ATTEMPTS))</f>
        <v/>
      </c>
      <c r="E112" s="4">
        <f>IF(B112=0,FALSE,COUNTIFS(RAW_Sessions!$A$2:$A$1201,ENTRY_Participants!$A112,RAW_Sessions!$B$2:$B$1201,"&lt;="&amp;FIVE_ATTEMPTS)&gt;=FIVE_ATTEMPTS)</f>
        <v/>
      </c>
      <c r="F112" s="4">
        <f>IF(B112=0,FALSE,NOT(E112))</f>
        <v/>
      </c>
      <c r="G112" s="4">
        <f>IF(ENTRY_Observations!$B112="","",ENTRY_Observations!$B112)</f>
        <v/>
      </c>
      <c r="H112" s="4">
        <f>IF(ENTRY_Observations!$D112="","",ENTRY_Observations!$D112)</f>
        <v/>
      </c>
      <c r="I112" s="4">
        <f>IF(G112&lt;&gt;"",G112,F112)</f>
        <v/>
      </c>
      <c r="J112" s="4">
        <f>IF(H112&lt;&gt;"",H112,IF(I112=FALSE,FALSE,P112))</f>
        <v/>
      </c>
      <c r="K112" s="4">
        <f>IF(COUNTIF(RAW_Questionnaire!$A$2:$A$121,ENTRY_Participants!$A112)=0,"",IF(SUMIFS(RAW_Questionnaire!$I$2:$I$121,RAW_Questionnaire!$A$2:$A$121,ENTRY_Participants!$A112)&gt;=ENDORSE_THRESHOLD,TRUE,FALSE))</f>
        <v/>
      </c>
      <c r="L112" s="4">
        <f>IF(COUNTIF(RAW_Questionnaire!$A$2:$A$121,ENTRY_Participants!$A112)=0,"",IF(SUMIFS(RAW_Questionnaire!$J$2:$J$121,RAW_Questionnaire!$A$2:$A$121,ENTRY_Participants!$A112)&gt;=INTENT_THRESHOLD,TRUE,FALSE))</f>
        <v/>
      </c>
      <c r="M112" s="4">
        <f>IFERROR(LOOKUP(2,1/((RAW_Sessions!$A$2:$A$1201=ENTRY_Participants!$A112)*(RAW_Sessions!$M$2:$M$1201&lt;&gt;"")),RAW_Sessions!$M$2:$M$1201),"")</f>
        <v/>
      </c>
      <c r="N112" s="4">
        <f>IF(OR(M112="",ENTRY_Participants!$I112=""),"",M112-ENTRY_Participants!$I112)</f>
        <v/>
      </c>
    </row>
    <row r="113">
      <c r="A113">
        <f>ENTRY_Participants!$A113</f>
        <v/>
      </c>
      <c r="B113" s="4">
        <f>COUNTIF(RAW_Sessions!$A$2:$A$1201,ENTRY_Participants!$A113)</f>
        <v/>
      </c>
      <c r="C113" s="4">
        <f>IF(COUNTIFS(RAW_Sessions!$A$2:$A$1201,ENTRY_Participants!$A113,RAW_Sessions!$B$2:$B$1201,1)&gt;0,TRUE,FALSE)</f>
        <v/>
      </c>
      <c r="D113" s="4">
        <f>IF(B113=0,0,COUNTIFS(RAW_Sessions!$A$2:$A$1201,ENTRY_Participants!$A113,RAW_Sessions!$C$2:$C$1201,"&lt;="&amp;MINIFS(RAW_Sessions!$C$2:$C$1201,RAW_Sessions!$A$2:$A$1201,ENTRY_Participants!$A113)+RETURN_GAP_DAYS*FIVE_ATTEMPTS))</f>
        <v/>
      </c>
      <c r="E113" s="4">
        <f>IF(B113=0,FALSE,COUNTIFS(RAW_Sessions!$A$2:$A$1201,ENTRY_Participants!$A113,RAW_Sessions!$B$2:$B$1201,"&lt;="&amp;FIVE_ATTEMPTS)&gt;=FIVE_ATTEMPTS)</f>
        <v/>
      </c>
      <c r="F113" s="4">
        <f>IF(B113=0,FALSE,NOT(E113))</f>
        <v/>
      </c>
      <c r="G113" s="4">
        <f>IF(ENTRY_Observations!$B113="","",ENTRY_Observations!$B113)</f>
        <v/>
      </c>
      <c r="H113" s="4">
        <f>IF(ENTRY_Observations!$D113="","",ENTRY_Observations!$D113)</f>
        <v/>
      </c>
      <c r="I113" s="4">
        <f>IF(G113&lt;&gt;"",G113,F113)</f>
        <v/>
      </c>
      <c r="J113" s="4">
        <f>IF(H113&lt;&gt;"",H113,IF(I113=FALSE,FALSE,P113))</f>
        <v/>
      </c>
      <c r="K113" s="4">
        <f>IF(COUNTIF(RAW_Questionnaire!$A$2:$A$121,ENTRY_Participants!$A113)=0,"",IF(SUMIFS(RAW_Questionnaire!$I$2:$I$121,RAW_Questionnaire!$A$2:$A$121,ENTRY_Participants!$A113)&gt;=ENDORSE_THRESHOLD,TRUE,FALSE))</f>
        <v/>
      </c>
      <c r="L113" s="4">
        <f>IF(COUNTIF(RAW_Questionnaire!$A$2:$A$121,ENTRY_Participants!$A113)=0,"",IF(SUMIFS(RAW_Questionnaire!$J$2:$J$121,RAW_Questionnaire!$A$2:$A$121,ENTRY_Participants!$A113)&gt;=INTENT_THRESHOLD,TRUE,FALSE))</f>
        <v/>
      </c>
      <c r="M113" s="4">
        <f>IFERROR(LOOKUP(2,1/((RAW_Sessions!$A$2:$A$1201=ENTRY_Participants!$A113)*(RAW_Sessions!$M$2:$M$1201&lt;&gt;"")),RAW_Sessions!$M$2:$M$1201),"")</f>
        <v/>
      </c>
      <c r="N113" s="4">
        <f>IF(OR(M113="",ENTRY_Participants!$I113=""),"",M113-ENTRY_Participants!$I113)</f>
        <v/>
      </c>
    </row>
    <row r="114">
      <c r="A114">
        <f>ENTRY_Participants!$A114</f>
        <v/>
      </c>
      <c r="B114" s="4">
        <f>COUNTIF(RAW_Sessions!$A$2:$A$1201,ENTRY_Participants!$A114)</f>
        <v/>
      </c>
      <c r="C114" s="4">
        <f>IF(COUNTIFS(RAW_Sessions!$A$2:$A$1201,ENTRY_Participants!$A114,RAW_Sessions!$B$2:$B$1201,1)&gt;0,TRUE,FALSE)</f>
        <v/>
      </c>
      <c r="D114" s="4">
        <f>IF(B114=0,0,COUNTIFS(RAW_Sessions!$A$2:$A$1201,ENTRY_Participants!$A114,RAW_Sessions!$C$2:$C$1201,"&lt;="&amp;MINIFS(RAW_Sessions!$C$2:$C$1201,RAW_Sessions!$A$2:$A$1201,ENTRY_Participants!$A114)+RETURN_GAP_DAYS*FIVE_ATTEMPTS))</f>
        <v/>
      </c>
      <c r="E114" s="4">
        <f>IF(B114=0,FALSE,COUNTIFS(RAW_Sessions!$A$2:$A$1201,ENTRY_Participants!$A114,RAW_Sessions!$B$2:$B$1201,"&lt;="&amp;FIVE_ATTEMPTS)&gt;=FIVE_ATTEMPTS)</f>
        <v/>
      </c>
      <c r="F114" s="4">
        <f>IF(B114=0,FALSE,NOT(E114))</f>
        <v/>
      </c>
      <c r="G114" s="4">
        <f>IF(ENTRY_Observations!$B114="","",ENTRY_Observations!$B114)</f>
        <v/>
      </c>
      <c r="H114" s="4">
        <f>IF(ENTRY_Observations!$D114="","",ENTRY_Observations!$D114)</f>
        <v/>
      </c>
      <c r="I114" s="4">
        <f>IF(G114&lt;&gt;"",G114,F114)</f>
        <v/>
      </c>
      <c r="J114" s="4">
        <f>IF(H114&lt;&gt;"",H114,IF(I114=FALSE,FALSE,P114))</f>
        <v/>
      </c>
      <c r="K114" s="4">
        <f>IF(COUNTIF(RAW_Questionnaire!$A$2:$A$121,ENTRY_Participants!$A114)=0,"",IF(SUMIFS(RAW_Questionnaire!$I$2:$I$121,RAW_Questionnaire!$A$2:$A$121,ENTRY_Participants!$A114)&gt;=ENDORSE_THRESHOLD,TRUE,FALSE))</f>
        <v/>
      </c>
      <c r="L114" s="4">
        <f>IF(COUNTIF(RAW_Questionnaire!$A$2:$A$121,ENTRY_Participants!$A114)=0,"",IF(SUMIFS(RAW_Questionnaire!$J$2:$J$121,RAW_Questionnaire!$A$2:$A$121,ENTRY_Participants!$A114)&gt;=INTENT_THRESHOLD,TRUE,FALSE))</f>
        <v/>
      </c>
      <c r="M114" s="4">
        <f>IFERROR(LOOKUP(2,1/((RAW_Sessions!$A$2:$A$1201=ENTRY_Participants!$A114)*(RAW_Sessions!$M$2:$M$1201&lt;&gt;"")),RAW_Sessions!$M$2:$M$1201),"")</f>
        <v/>
      </c>
      <c r="N114" s="4">
        <f>IF(OR(M114="",ENTRY_Participants!$I114=""),"",M114-ENTRY_Participants!$I114)</f>
        <v/>
      </c>
    </row>
    <row r="115">
      <c r="A115">
        <f>ENTRY_Participants!$A115</f>
        <v/>
      </c>
      <c r="B115" s="4">
        <f>COUNTIF(RAW_Sessions!$A$2:$A$1201,ENTRY_Participants!$A115)</f>
        <v/>
      </c>
      <c r="C115" s="4">
        <f>IF(COUNTIFS(RAW_Sessions!$A$2:$A$1201,ENTRY_Participants!$A115,RAW_Sessions!$B$2:$B$1201,1)&gt;0,TRUE,FALSE)</f>
        <v/>
      </c>
      <c r="D115" s="4">
        <f>IF(B115=0,0,COUNTIFS(RAW_Sessions!$A$2:$A$1201,ENTRY_Participants!$A115,RAW_Sessions!$C$2:$C$1201,"&lt;="&amp;MINIFS(RAW_Sessions!$C$2:$C$1201,RAW_Sessions!$A$2:$A$1201,ENTRY_Participants!$A115)+RETURN_GAP_DAYS*FIVE_ATTEMPTS))</f>
        <v/>
      </c>
      <c r="E115" s="4">
        <f>IF(B115=0,FALSE,COUNTIFS(RAW_Sessions!$A$2:$A$1201,ENTRY_Participants!$A115,RAW_Sessions!$B$2:$B$1201,"&lt;="&amp;FIVE_ATTEMPTS)&gt;=FIVE_ATTEMPTS)</f>
        <v/>
      </c>
      <c r="F115" s="4">
        <f>IF(B115=0,FALSE,NOT(E115))</f>
        <v/>
      </c>
      <c r="G115" s="4">
        <f>IF(ENTRY_Observations!$B115="","",ENTRY_Observations!$B115)</f>
        <v/>
      </c>
      <c r="H115" s="4">
        <f>IF(ENTRY_Observations!$D115="","",ENTRY_Observations!$D115)</f>
        <v/>
      </c>
      <c r="I115" s="4">
        <f>IF(G115&lt;&gt;"",G115,F115)</f>
        <v/>
      </c>
      <c r="J115" s="4">
        <f>IF(H115&lt;&gt;"",H115,IF(I115=FALSE,FALSE,P115))</f>
        <v/>
      </c>
      <c r="K115" s="4">
        <f>IF(COUNTIF(RAW_Questionnaire!$A$2:$A$121,ENTRY_Participants!$A115)=0,"",IF(SUMIFS(RAW_Questionnaire!$I$2:$I$121,RAW_Questionnaire!$A$2:$A$121,ENTRY_Participants!$A115)&gt;=ENDORSE_THRESHOLD,TRUE,FALSE))</f>
        <v/>
      </c>
      <c r="L115" s="4">
        <f>IF(COUNTIF(RAW_Questionnaire!$A$2:$A$121,ENTRY_Participants!$A115)=0,"",IF(SUMIFS(RAW_Questionnaire!$J$2:$J$121,RAW_Questionnaire!$A$2:$A$121,ENTRY_Participants!$A115)&gt;=INTENT_THRESHOLD,TRUE,FALSE))</f>
        <v/>
      </c>
      <c r="M115" s="4">
        <f>IFERROR(LOOKUP(2,1/((RAW_Sessions!$A$2:$A$1201=ENTRY_Participants!$A115)*(RAW_Sessions!$M$2:$M$1201&lt;&gt;"")),RAW_Sessions!$M$2:$M$1201),"")</f>
        <v/>
      </c>
      <c r="N115" s="4">
        <f>IF(OR(M115="",ENTRY_Participants!$I115=""),"",M115-ENTRY_Participants!$I115)</f>
        <v/>
      </c>
    </row>
    <row r="116">
      <c r="A116">
        <f>ENTRY_Participants!$A116</f>
        <v/>
      </c>
      <c r="B116" s="4">
        <f>COUNTIF(RAW_Sessions!$A$2:$A$1201,ENTRY_Participants!$A116)</f>
        <v/>
      </c>
      <c r="C116" s="4">
        <f>IF(COUNTIFS(RAW_Sessions!$A$2:$A$1201,ENTRY_Participants!$A116,RAW_Sessions!$B$2:$B$1201,1)&gt;0,TRUE,FALSE)</f>
        <v/>
      </c>
      <c r="D116" s="4">
        <f>IF(B116=0,0,COUNTIFS(RAW_Sessions!$A$2:$A$1201,ENTRY_Participants!$A116,RAW_Sessions!$C$2:$C$1201,"&lt;="&amp;MINIFS(RAW_Sessions!$C$2:$C$1201,RAW_Sessions!$A$2:$A$1201,ENTRY_Participants!$A116)+RETURN_GAP_DAYS*FIVE_ATTEMPTS))</f>
        <v/>
      </c>
      <c r="E116" s="4">
        <f>IF(B116=0,FALSE,COUNTIFS(RAW_Sessions!$A$2:$A$1201,ENTRY_Participants!$A116,RAW_Sessions!$B$2:$B$1201,"&lt;="&amp;FIVE_ATTEMPTS)&gt;=FIVE_ATTEMPTS)</f>
        <v/>
      </c>
      <c r="F116" s="4">
        <f>IF(B116=0,FALSE,NOT(E116))</f>
        <v/>
      </c>
      <c r="G116" s="4">
        <f>IF(ENTRY_Observations!$B116="","",ENTRY_Observations!$B116)</f>
        <v/>
      </c>
      <c r="H116" s="4">
        <f>IF(ENTRY_Observations!$D116="","",ENTRY_Observations!$D116)</f>
        <v/>
      </c>
      <c r="I116" s="4">
        <f>IF(G116&lt;&gt;"",G116,F116)</f>
        <v/>
      </c>
      <c r="J116" s="4">
        <f>IF(H116&lt;&gt;"",H116,IF(I116=FALSE,FALSE,P116))</f>
        <v/>
      </c>
      <c r="K116" s="4">
        <f>IF(COUNTIF(RAW_Questionnaire!$A$2:$A$121,ENTRY_Participants!$A116)=0,"",IF(SUMIFS(RAW_Questionnaire!$I$2:$I$121,RAW_Questionnaire!$A$2:$A$121,ENTRY_Participants!$A116)&gt;=ENDORSE_THRESHOLD,TRUE,FALSE))</f>
        <v/>
      </c>
      <c r="L116" s="4">
        <f>IF(COUNTIF(RAW_Questionnaire!$A$2:$A$121,ENTRY_Participants!$A116)=0,"",IF(SUMIFS(RAW_Questionnaire!$J$2:$J$121,RAW_Questionnaire!$A$2:$A$121,ENTRY_Participants!$A116)&gt;=INTENT_THRESHOLD,TRUE,FALSE))</f>
        <v/>
      </c>
      <c r="M116" s="4">
        <f>IFERROR(LOOKUP(2,1/((RAW_Sessions!$A$2:$A$1201=ENTRY_Participants!$A116)*(RAW_Sessions!$M$2:$M$1201&lt;&gt;"")),RAW_Sessions!$M$2:$M$1201),"")</f>
        <v/>
      </c>
      <c r="N116" s="4">
        <f>IF(OR(M116="",ENTRY_Participants!$I116=""),"",M116-ENTRY_Participants!$I116)</f>
        <v/>
      </c>
    </row>
    <row r="117">
      <c r="A117">
        <f>ENTRY_Participants!$A117</f>
        <v/>
      </c>
      <c r="B117" s="4">
        <f>COUNTIF(RAW_Sessions!$A$2:$A$1201,ENTRY_Participants!$A117)</f>
        <v/>
      </c>
      <c r="C117" s="4">
        <f>IF(COUNTIFS(RAW_Sessions!$A$2:$A$1201,ENTRY_Participants!$A117,RAW_Sessions!$B$2:$B$1201,1)&gt;0,TRUE,FALSE)</f>
        <v/>
      </c>
      <c r="D117" s="4">
        <f>IF(B117=0,0,COUNTIFS(RAW_Sessions!$A$2:$A$1201,ENTRY_Participants!$A117,RAW_Sessions!$C$2:$C$1201,"&lt;="&amp;MINIFS(RAW_Sessions!$C$2:$C$1201,RAW_Sessions!$A$2:$A$1201,ENTRY_Participants!$A117)+RETURN_GAP_DAYS*FIVE_ATTEMPTS))</f>
        <v/>
      </c>
      <c r="E117" s="4">
        <f>IF(B117=0,FALSE,COUNTIFS(RAW_Sessions!$A$2:$A$1201,ENTRY_Participants!$A117,RAW_Sessions!$B$2:$B$1201,"&lt;="&amp;FIVE_ATTEMPTS)&gt;=FIVE_ATTEMPTS)</f>
        <v/>
      </c>
      <c r="F117" s="4">
        <f>IF(B117=0,FALSE,NOT(E117))</f>
        <v/>
      </c>
      <c r="G117" s="4">
        <f>IF(ENTRY_Observations!$B117="","",ENTRY_Observations!$B117)</f>
        <v/>
      </c>
      <c r="H117" s="4">
        <f>IF(ENTRY_Observations!$D117="","",ENTRY_Observations!$D117)</f>
        <v/>
      </c>
      <c r="I117" s="4">
        <f>IF(G117&lt;&gt;"",G117,F117)</f>
        <v/>
      </c>
      <c r="J117" s="4">
        <f>IF(H117&lt;&gt;"",H117,IF(I117=FALSE,FALSE,P117))</f>
        <v/>
      </c>
      <c r="K117" s="4">
        <f>IF(COUNTIF(RAW_Questionnaire!$A$2:$A$121,ENTRY_Participants!$A117)=0,"",IF(SUMIFS(RAW_Questionnaire!$I$2:$I$121,RAW_Questionnaire!$A$2:$A$121,ENTRY_Participants!$A117)&gt;=ENDORSE_THRESHOLD,TRUE,FALSE))</f>
        <v/>
      </c>
      <c r="L117" s="4">
        <f>IF(COUNTIF(RAW_Questionnaire!$A$2:$A$121,ENTRY_Participants!$A117)=0,"",IF(SUMIFS(RAW_Questionnaire!$J$2:$J$121,RAW_Questionnaire!$A$2:$A$121,ENTRY_Participants!$A117)&gt;=INTENT_THRESHOLD,TRUE,FALSE))</f>
        <v/>
      </c>
      <c r="M117" s="4">
        <f>IFERROR(LOOKUP(2,1/((RAW_Sessions!$A$2:$A$1201=ENTRY_Participants!$A117)*(RAW_Sessions!$M$2:$M$1201&lt;&gt;"")),RAW_Sessions!$M$2:$M$1201),"")</f>
        <v/>
      </c>
      <c r="N117" s="4">
        <f>IF(OR(M117="",ENTRY_Participants!$I117=""),"",M117-ENTRY_Participants!$I117)</f>
        <v/>
      </c>
    </row>
    <row r="118">
      <c r="A118">
        <f>ENTRY_Participants!$A118</f>
        <v/>
      </c>
      <c r="B118" s="4">
        <f>COUNTIF(RAW_Sessions!$A$2:$A$1201,ENTRY_Participants!$A118)</f>
        <v/>
      </c>
      <c r="C118" s="4">
        <f>IF(COUNTIFS(RAW_Sessions!$A$2:$A$1201,ENTRY_Participants!$A118,RAW_Sessions!$B$2:$B$1201,1)&gt;0,TRUE,FALSE)</f>
        <v/>
      </c>
      <c r="D118" s="4">
        <f>IF(B118=0,0,COUNTIFS(RAW_Sessions!$A$2:$A$1201,ENTRY_Participants!$A118,RAW_Sessions!$C$2:$C$1201,"&lt;="&amp;MINIFS(RAW_Sessions!$C$2:$C$1201,RAW_Sessions!$A$2:$A$1201,ENTRY_Participants!$A118)+RETURN_GAP_DAYS*FIVE_ATTEMPTS))</f>
        <v/>
      </c>
      <c r="E118" s="4">
        <f>IF(B118=0,FALSE,COUNTIFS(RAW_Sessions!$A$2:$A$1201,ENTRY_Participants!$A118,RAW_Sessions!$B$2:$B$1201,"&lt;="&amp;FIVE_ATTEMPTS)&gt;=FIVE_ATTEMPTS)</f>
        <v/>
      </c>
      <c r="F118" s="4">
        <f>IF(B118=0,FALSE,NOT(E118))</f>
        <v/>
      </c>
      <c r="G118" s="4">
        <f>IF(ENTRY_Observations!$B118="","",ENTRY_Observations!$B118)</f>
        <v/>
      </c>
      <c r="H118" s="4">
        <f>IF(ENTRY_Observations!$D118="","",ENTRY_Observations!$D118)</f>
        <v/>
      </c>
      <c r="I118" s="4">
        <f>IF(G118&lt;&gt;"",G118,F118)</f>
        <v/>
      </c>
      <c r="J118" s="4">
        <f>IF(H118&lt;&gt;"",H118,IF(I118=FALSE,FALSE,P118))</f>
        <v/>
      </c>
      <c r="K118" s="4">
        <f>IF(COUNTIF(RAW_Questionnaire!$A$2:$A$121,ENTRY_Participants!$A118)=0,"",IF(SUMIFS(RAW_Questionnaire!$I$2:$I$121,RAW_Questionnaire!$A$2:$A$121,ENTRY_Participants!$A118)&gt;=ENDORSE_THRESHOLD,TRUE,FALSE))</f>
        <v/>
      </c>
      <c r="L118" s="4">
        <f>IF(COUNTIF(RAW_Questionnaire!$A$2:$A$121,ENTRY_Participants!$A118)=0,"",IF(SUMIFS(RAW_Questionnaire!$J$2:$J$121,RAW_Questionnaire!$A$2:$A$121,ENTRY_Participants!$A118)&gt;=INTENT_THRESHOLD,TRUE,FALSE))</f>
        <v/>
      </c>
      <c r="M118" s="4">
        <f>IFERROR(LOOKUP(2,1/((RAW_Sessions!$A$2:$A$1201=ENTRY_Participants!$A118)*(RAW_Sessions!$M$2:$M$1201&lt;&gt;"")),RAW_Sessions!$M$2:$M$1201),"")</f>
        <v/>
      </c>
      <c r="N118" s="4">
        <f>IF(OR(M118="",ENTRY_Participants!$I118=""),"",M118-ENTRY_Participants!$I118)</f>
        <v/>
      </c>
    </row>
    <row r="119">
      <c r="A119">
        <f>ENTRY_Participants!$A119</f>
        <v/>
      </c>
      <c r="B119" s="4">
        <f>COUNTIF(RAW_Sessions!$A$2:$A$1201,ENTRY_Participants!$A119)</f>
        <v/>
      </c>
      <c r="C119" s="4">
        <f>IF(COUNTIFS(RAW_Sessions!$A$2:$A$1201,ENTRY_Participants!$A119,RAW_Sessions!$B$2:$B$1201,1)&gt;0,TRUE,FALSE)</f>
        <v/>
      </c>
      <c r="D119" s="4">
        <f>IF(B119=0,0,COUNTIFS(RAW_Sessions!$A$2:$A$1201,ENTRY_Participants!$A119,RAW_Sessions!$C$2:$C$1201,"&lt;="&amp;MINIFS(RAW_Sessions!$C$2:$C$1201,RAW_Sessions!$A$2:$A$1201,ENTRY_Participants!$A119)+RETURN_GAP_DAYS*FIVE_ATTEMPTS))</f>
        <v/>
      </c>
      <c r="E119" s="4">
        <f>IF(B119=0,FALSE,COUNTIFS(RAW_Sessions!$A$2:$A$1201,ENTRY_Participants!$A119,RAW_Sessions!$B$2:$B$1201,"&lt;="&amp;FIVE_ATTEMPTS)&gt;=FIVE_ATTEMPTS)</f>
        <v/>
      </c>
      <c r="F119" s="4">
        <f>IF(B119=0,FALSE,NOT(E119))</f>
        <v/>
      </c>
      <c r="G119" s="4">
        <f>IF(ENTRY_Observations!$B119="","",ENTRY_Observations!$B119)</f>
        <v/>
      </c>
      <c r="H119" s="4">
        <f>IF(ENTRY_Observations!$D119="","",ENTRY_Observations!$D119)</f>
        <v/>
      </c>
      <c r="I119" s="4">
        <f>IF(G119&lt;&gt;"",G119,F119)</f>
        <v/>
      </c>
      <c r="J119" s="4">
        <f>IF(H119&lt;&gt;"",H119,IF(I119=FALSE,FALSE,P119))</f>
        <v/>
      </c>
      <c r="K119" s="4">
        <f>IF(COUNTIF(RAW_Questionnaire!$A$2:$A$121,ENTRY_Participants!$A119)=0,"",IF(SUMIFS(RAW_Questionnaire!$I$2:$I$121,RAW_Questionnaire!$A$2:$A$121,ENTRY_Participants!$A119)&gt;=ENDORSE_THRESHOLD,TRUE,FALSE))</f>
        <v/>
      </c>
      <c r="L119" s="4">
        <f>IF(COUNTIF(RAW_Questionnaire!$A$2:$A$121,ENTRY_Participants!$A119)=0,"",IF(SUMIFS(RAW_Questionnaire!$J$2:$J$121,RAW_Questionnaire!$A$2:$A$121,ENTRY_Participants!$A119)&gt;=INTENT_THRESHOLD,TRUE,FALSE))</f>
        <v/>
      </c>
      <c r="M119" s="4">
        <f>IFERROR(LOOKUP(2,1/((RAW_Sessions!$A$2:$A$1201=ENTRY_Participants!$A119)*(RAW_Sessions!$M$2:$M$1201&lt;&gt;"")),RAW_Sessions!$M$2:$M$1201),"")</f>
        <v/>
      </c>
      <c r="N119" s="4">
        <f>IF(OR(M119="",ENTRY_Participants!$I119=""),"",M119-ENTRY_Participants!$I119)</f>
        <v/>
      </c>
    </row>
    <row r="120">
      <c r="A120">
        <f>ENTRY_Participants!$A120</f>
        <v/>
      </c>
      <c r="B120" s="4">
        <f>COUNTIF(RAW_Sessions!$A$2:$A$1201,ENTRY_Participants!$A120)</f>
        <v/>
      </c>
      <c r="C120" s="4">
        <f>IF(COUNTIFS(RAW_Sessions!$A$2:$A$1201,ENTRY_Participants!$A120,RAW_Sessions!$B$2:$B$1201,1)&gt;0,TRUE,FALSE)</f>
        <v/>
      </c>
      <c r="D120" s="4">
        <f>IF(B120=0,0,COUNTIFS(RAW_Sessions!$A$2:$A$1201,ENTRY_Participants!$A120,RAW_Sessions!$C$2:$C$1201,"&lt;="&amp;MINIFS(RAW_Sessions!$C$2:$C$1201,RAW_Sessions!$A$2:$A$1201,ENTRY_Participants!$A120)+RETURN_GAP_DAYS*FIVE_ATTEMPTS))</f>
        <v/>
      </c>
      <c r="E120" s="4">
        <f>IF(B120=0,FALSE,COUNTIFS(RAW_Sessions!$A$2:$A$1201,ENTRY_Participants!$A120,RAW_Sessions!$B$2:$B$1201,"&lt;="&amp;FIVE_ATTEMPTS)&gt;=FIVE_ATTEMPTS)</f>
        <v/>
      </c>
      <c r="F120" s="4">
        <f>IF(B120=0,FALSE,NOT(E120))</f>
        <v/>
      </c>
      <c r="G120" s="4">
        <f>IF(ENTRY_Observations!$B120="","",ENTRY_Observations!$B120)</f>
        <v/>
      </c>
      <c r="H120" s="4">
        <f>IF(ENTRY_Observations!$D120="","",ENTRY_Observations!$D120)</f>
        <v/>
      </c>
      <c r="I120" s="4">
        <f>IF(G120&lt;&gt;"",G120,F120)</f>
        <v/>
      </c>
      <c r="J120" s="4">
        <f>IF(H120&lt;&gt;"",H120,IF(I120=FALSE,FALSE,P120))</f>
        <v/>
      </c>
      <c r="K120" s="4">
        <f>IF(COUNTIF(RAW_Questionnaire!$A$2:$A$121,ENTRY_Participants!$A120)=0,"",IF(SUMIFS(RAW_Questionnaire!$I$2:$I$121,RAW_Questionnaire!$A$2:$A$121,ENTRY_Participants!$A120)&gt;=ENDORSE_THRESHOLD,TRUE,FALSE))</f>
        <v/>
      </c>
      <c r="L120" s="4">
        <f>IF(COUNTIF(RAW_Questionnaire!$A$2:$A$121,ENTRY_Participants!$A120)=0,"",IF(SUMIFS(RAW_Questionnaire!$J$2:$J$121,RAW_Questionnaire!$A$2:$A$121,ENTRY_Participants!$A120)&gt;=INTENT_THRESHOLD,TRUE,FALSE))</f>
        <v/>
      </c>
      <c r="M120" s="4">
        <f>IFERROR(LOOKUP(2,1/((RAW_Sessions!$A$2:$A$1201=ENTRY_Participants!$A120)*(RAW_Sessions!$M$2:$M$1201&lt;&gt;"")),RAW_Sessions!$M$2:$M$1201),"")</f>
        <v/>
      </c>
      <c r="N120" s="4">
        <f>IF(OR(M120="",ENTRY_Participants!$I120=""),"",M120-ENTRY_Participants!$I120)</f>
        <v/>
      </c>
    </row>
    <row r="121">
      <c r="A121">
        <f>ENTRY_Participants!$A121</f>
        <v/>
      </c>
      <c r="B121" s="4">
        <f>COUNTIF(RAW_Sessions!$A$2:$A$1201,ENTRY_Participants!$A121)</f>
        <v/>
      </c>
      <c r="C121" s="4">
        <f>IF(COUNTIFS(RAW_Sessions!$A$2:$A$1201,ENTRY_Participants!$A121,RAW_Sessions!$B$2:$B$1201,1)&gt;0,TRUE,FALSE)</f>
        <v/>
      </c>
      <c r="D121" s="4">
        <f>IF(B121=0,0,COUNTIFS(RAW_Sessions!$A$2:$A$1201,ENTRY_Participants!$A121,RAW_Sessions!$C$2:$C$1201,"&lt;="&amp;MINIFS(RAW_Sessions!$C$2:$C$1201,RAW_Sessions!$A$2:$A$1201,ENTRY_Participants!$A121)+RETURN_GAP_DAYS*FIVE_ATTEMPTS))</f>
        <v/>
      </c>
      <c r="E121" s="4">
        <f>IF(B121=0,FALSE,COUNTIFS(RAW_Sessions!$A$2:$A$1201,ENTRY_Participants!$A121,RAW_Sessions!$B$2:$B$1201,"&lt;="&amp;FIVE_ATTEMPTS)&gt;=FIVE_ATTEMPTS)</f>
        <v/>
      </c>
      <c r="F121" s="4">
        <f>IF(B121=0,FALSE,NOT(E121))</f>
        <v/>
      </c>
      <c r="G121" s="4">
        <f>IF(ENTRY_Observations!$B121="","",ENTRY_Observations!$B121)</f>
        <v/>
      </c>
      <c r="H121" s="4">
        <f>IF(ENTRY_Observations!$D121="","",ENTRY_Observations!$D121)</f>
        <v/>
      </c>
      <c r="I121" s="4">
        <f>IF(G121&lt;&gt;"",G121,F121)</f>
        <v/>
      </c>
      <c r="J121" s="4">
        <f>IF(H121&lt;&gt;"",H121,IF(I121=FALSE,FALSE,P121))</f>
        <v/>
      </c>
      <c r="K121" s="4">
        <f>IF(COUNTIF(RAW_Questionnaire!$A$2:$A$121,ENTRY_Participants!$A121)=0,"",IF(SUMIFS(RAW_Questionnaire!$I$2:$I$121,RAW_Questionnaire!$A$2:$A$121,ENTRY_Participants!$A121)&gt;=ENDORSE_THRESHOLD,TRUE,FALSE))</f>
        <v/>
      </c>
      <c r="L121" s="4">
        <f>IF(COUNTIF(RAW_Questionnaire!$A$2:$A$121,ENTRY_Participants!$A121)=0,"",IF(SUMIFS(RAW_Questionnaire!$J$2:$J$121,RAW_Questionnaire!$A$2:$A$121,ENTRY_Participants!$A121)&gt;=INTENT_THRESHOLD,TRUE,FALSE))</f>
        <v/>
      </c>
      <c r="M121" s="4">
        <f>IFERROR(LOOKUP(2,1/((RAW_Sessions!$A$2:$A$1201=ENTRY_Participants!$A121)*(RAW_Sessions!$M$2:$M$1201&lt;&gt;"")),RAW_Sessions!$M$2:$M$1201),"")</f>
        <v/>
      </c>
      <c r="N121" s="4">
        <f>IF(OR(M121="",ENTRY_Participants!$I121=""),"",M121-ENTRY_Participants!$I121)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0" customWidth="1" min="3" max="3"/>
  </cols>
  <sheetData>
    <row r="1">
      <c r="A1" s="3" t="inlineStr">
        <is>
          <t>Check</t>
        </is>
      </c>
      <c r="B1" s="3" t="inlineStr">
        <is>
          <t>Count (must be 0)</t>
        </is>
      </c>
      <c r="C1" s="3" t="inlineStr">
        <is>
          <t>Where to look</t>
        </is>
      </c>
    </row>
    <row r="2">
      <c r="A2" t="inlineStr">
        <is>
          <t>Duplicate participant IDs</t>
        </is>
      </c>
      <c r="B2" s="5">
        <f>SUMPRODUCT((COUNTIF(ENTRY_Participants!$A$2:$A$121,ENTRY_Participants!$A$2:$A$121)&gt;1)*1)</f>
        <v/>
      </c>
      <c r="C2" t="inlineStr">
        <is>
          <t>ENTRY_Participants</t>
        </is>
      </c>
    </row>
    <row r="3">
      <c r="A3" t="inlineStr">
        <is>
          <t>Ages outside 25-80</t>
        </is>
      </c>
      <c r="B3" s="5">
        <f>COUNTIF(ENTRY_Participants!$C$2:$C$121,"&lt;25")+COUNTIF(ENTRY_Participants!$C$2:$C$121,"&gt;80")</f>
        <v/>
      </c>
      <c r="C3" t="inlineStr">
        <is>
          <t>ENTRY_Participants col C</t>
        </is>
      </c>
    </row>
    <row r="4">
      <c r="A4" t="inlineStr">
        <is>
          <t>Sessions with ID not in participants</t>
        </is>
      </c>
      <c r="B4" s="5">
        <f>SUMPRODUCT((RAW_Sessions!$A$2:$A$1201&lt;&gt;"")*(COUNTIF(ENTRY_Participants!$A$2:$A$121,RAW_Sessions!$A$2:$A$1201)=0))</f>
        <v/>
      </c>
      <c r="C4" t="inlineStr">
        <is>
          <t>RAW_Sessions col A</t>
        </is>
      </c>
    </row>
    <row r="5">
      <c r="A5" t="inlineStr">
        <is>
          <t>Duplicate participant+session pairs</t>
        </is>
      </c>
      <c r="B5" s="5">
        <f>SUMPRODUCT((RAW_Sessions!$A$2:$A$1201&lt;&gt;"")*(COUNTIFS(RAW_Sessions!$A$2:$A$1201,RAW_Sessions!$A$2:$A$1201,RAW_Sessions!$B$2:$B$1201,RAW_Sessions!$B$2:$B$1201)&gt;1))</f>
        <v/>
      </c>
      <c r="C5" t="inlineStr">
        <is>
          <t>RAW_Sessions</t>
        </is>
      </c>
    </row>
    <row r="6">
      <c r="A6" t="inlineStr">
        <is>
          <t>Session dates before STUDY_START</t>
        </is>
      </c>
      <c r="B6" s="5">
        <f>COUNTIFS(RAW_Sessions!$C$2:$C$1201,"&lt;"&amp;DATEVALUE(STUDY_START),RAW_Sessions!$C$2:$C$1201,"&lt;&gt;")</f>
        <v/>
      </c>
      <c r="C6" t="inlineStr">
        <is>
          <t>RAW_Sessions col C</t>
        </is>
      </c>
    </row>
    <row r="7">
      <c r="A7" t="inlineStr">
        <is>
          <t>Session dates after STUDY_END</t>
        </is>
      </c>
      <c r="B7" s="5">
        <f>COUNTIF(RAW_Sessions!$C$2:$C$1201,"&gt;"&amp;DATEVALUE(STUDY_END))</f>
        <v/>
      </c>
      <c r="C7" t="inlineStr">
        <is>
          <t>RAW_Sessions col C</t>
        </is>
      </c>
    </row>
    <row r="8">
      <c r="A8" t="inlineStr">
        <is>
          <t>Obstacles_Hit outside 0-3</t>
        </is>
      </c>
      <c r="B8" s="5">
        <f>COUNTIF(RAW_Sessions!$G$2:$G$1201,"&gt;3")+COUNTIF(RAW_Sessions!$G$2:$G$1201,"&lt;0")</f>
        <v/>
      </c>
      <c r="C8" t="inlineStr">
        <is>
          <t>RAW_Sessions col G</t>
        </is>
      </c>
    </row>
    <row r="9">
      <c r="A9" t="inlineStr">
        <is>
          <t>Balance % outside 0-100</t>
        </is>
      </c>
      <c r="B9" s="5">
        <f>COUNTIF(RAW_Sessions!$I$2:$I$1201,"&gt;100")+COUNTIF(RAW_Sessions!$I$2:$I$1201,"&lt;0")</f>
        <v/>
      </c>
      <c r="C9" t="inlineStr">
        <is>
          <t>RAW_Sessions col I</t>
        </is>
      </c>
    </row>
    <row r="10">
      <c r="A10" t="inlineStr">
        <is>
          <t>Post FRA index outside 0-100</t>
        </is>
      </c>
      <c r="B10" s="5">
        <f>COUNTIF(RAW_Sessions!$M$2:$M$1201,"&gt;100")+COUNTIF(RAW_Sessions!$M$2:$M$1201,"&lt;0")</f>
        <v/>
      </c>
      <c r="C10" t="inlineStr">
        <is>
          <t>RAW_Sessions col M</t>
        </is>
      </c>
    </row>
    <row r="11">
      <c r="A11" t="inlineStr">
        <is>
          <t>Questionnaire IDs not in participants</t>
        </is>
      </c>
      <c r="B11" s="5">
        <f>SUMPRODUCT((RAW_Questionnaire!$A$2:$A$121&lt;&gt;"")*(COUNTIF(ENTRY_Participants!$A$2:$A$121,RAW_Questionnaire!$A$2:$A$121)=0))</f>
        <v/>
      </c>
      <c r="C11" t="inlineStr">
        <is>
          <t>RAW_Questionnaire col A</t>
        </is>
      </c>
    </row>
    <row r="12">
      <c r="A12" t="inlineStr">
        <is>
          <t>Duplicate questionnaire IDs</t>
        </is>
      </c>
      <c r="B12" s="5">
        <f>SUMPRODUCT((RAW_Questionnaire!$A$2:$A$121&lt;&gt;"")*(COUNTIF(RAW_Questionnaire!$A$2:$A$121,RAW_Questionnaire!$A$2:$A$121)&gt;1))</f>
        <v/>
      </c>
      <c r="C12" t="inlineStr">
        <is>
          <t>RAW_Questionnaire</t>
        </is>
      </c>
    </row>
    <row r="13">
      <c r="A13" t="inlineStr">
        <is>
          <t>Staff dropout record contradicts telemetry (staff FALSE but &lt;5 sessions)</t>
        </is>
      </c>
      <c r="B13" s="5">
        <f>SUMPRODUCT((AUTO_Outcomes!$G$2:$G$121=FALSE)*(AUTO_Outcomes!$F$2:$F$121=TRUE))</f>
        <v/>
      </c>
      <c r="C13" t="inlineStr">
        <is>
          <t>AUTO_Outcomes G vs F</t>
        </is>
      </c>
    </row>
    <row r="14">
      <c r="A14" t="inlineStr">
        <is>
          <t>Return recorded without dropout</t>
        </is>
      </c>
      <c r="B14" s="5">
        <f>SUMPRODUCT((AUTO_Outcomes!$J$2:$J$121=TRUE)*(AUTO_Outcomes!$I$2:$I$121=FALSE))</f>
        <v/>
      </c>
      <c r="C14" t="inlineStr">
        <is>
          <t>AUTO_Outcomes I vs J</t>
        </is>
      </c>
    </row>
    <row r="15">
      <c r="A15" t="inlineStr">
        <is>
          <t>Participants with sessions but no session 1</t>
        </is>
      </c>
      <c r="B15" s="5">
        <f>SUMPRODUCT((COUNTIF(RAW_Sessions!$A$2:$A$1201,ENTRY_Participants!$A$2:$A$121)&gt;0)*(COUNTIFS(RAW_Sessions!$A$2:$A$1201,ENTRY_Participants!$A$2:$A$121,RAW_Sessions!$B$2:$B$1201,1)=0))</f>
        <v/>
      </c>
      <c r="C15" t="inlineStr">
        <is>
          <t>cross-check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2026-07-13T12:13:42Z</dcterms:created>
  <dcterms:modified xmlns:dcterms="http://purl.org/dc/terms/" xmlns:xsi="http://www.w3.org/2001/XMLSchema-instance" xsi:type="dcterms:W3CDTF">2026-07-13T12:13:42Z</dcterms:modified>
</cp:coreProperties>
</file>